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Y" sheetId="1" state="visible" r:id="rId1"/>
    <sheet name="RESEARCH" sheetId="2" state="visible" r:id="rId2"/>
    <sheet name="ORDER" sheetId="3" state="visible" r:id="rId3"/>
    <sheet name="KEEPA" sheetId="4" state="visible" r:id="rId4"/>
    <sheet name="IP Q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D966"/>
        <b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9" fontId="0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0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Min Est Qty</t>
        </is>
      </c>
      <c r="C1" s="1" t="inlineStr">
        <is>
          <t>Min Sell Price</t>
        </is>
      </c>
      <c r="D1" s="1" t="inlineStr">
        <is>
          <t>Max BSR</t>
        </is>
      </c>
      <c r="E1" s="1" t="inlineStr">
        <is>
          <t>Total Profit</t>
        </is>
      </c>
      <c r="F1" s="1" t="inlineStr">
        <is>
          <t>Overall ROI</t>
        </is>
      </c>
      <c r="G1" s="1" t="inlineStr">
        <is>
          <t>Total Sales</t>
        </is>
      </c>
      <c r="K1" s="1" t="inlineStr">
        <is>
          <t>Max Order Qty</t>
        </is>
      </c>
      <c r="L1" s="1" t="inlineStr">
        <is>
          <t>Days of Stock</t>
        </is>
      </c>
      <c r="M1" s="1" t="inlineStr">
        <is>
          <t>Supplier Commission</t>
        </is>
      </c>
      <c r="N1" s="1" t="inlineStr">
        <is>
          <t>Discount</t>
        </is>
      </c>
      <c r="O1" s="1" t="inlineStr">
        <is>
          <t>Total Units</t>
        </is>
      </c>
      <c r="P1" s="1" t="inlineStr">
        <is>
          <t>Total Amount</t>
        </is>
      </c>
      <c r="Q1" s="1" t="inlineStr">
        <is>
          <t>AMZ Less</t>
        </is>
      </c>
      <c r="R1" s="1" t="inlineStr">
        <is>
          <t>Case Pk Default</t>
        </is>
      </c>
      <c r="S1" s="1" t="inlineStr">
        <is>
          <t>Min ROI</t>
        </is>
      </c>
      <c r="T1" s="1" t="inlineStr">
        <is>
          <t>25%</t>
        </is>
      </c>
      <c r="U1" s="1" t="inlineStr">
        <is>
          <t>20%</t>
        </is>
      </c>
      <c r="X1" s="1" t="inlineStr">
        <is>
          <t>Max BSR 30</t>
        </is>
      </c>
      <c r="Y1" s="1" t="inlineStr">
        <is>
          <t>Max Chng 30</t>
        </is>
      </c>
      <c r="Z1" s="1" t="inlineStr">
        <is>
          <t>Max BSR 90</t>
        </is>
      </c>
      <c r="AA1" s="1" t="inlineStr">
        <is>
          <t>Max Chng 90</t>
        </is>
      </c>
      <c r="AB1" s="1" t="inlineStr">
        <is>
          <t>Min Est Qty</t>
        </is>
      </c>
      <c r="AC1" s="1" t="inlineStr">
        <is>
          <t>Var Opp</t>
        </is>
      </c>
      <c r="AD1" s="1" t="inlineStr">
        <is>
          <t>Max AMZ OOS</t>
        </is>
      </c>
      <c r="AE1" s="1" t="inlineStr">
        <is>
          <t>Max Bbox OOS</t>
        </is>
      </c>
    </row>
    <row r="2">
      <c r="B2" s="2" t="n">
        <v>30</v>
      </c>
      <c r="C2" s="3" t="n">
        <v>9</v>
      </c>
      <c r="D2" s="2" t="n">
        <v>100000</v>
      </c>
      <c r="E2" s="2">
        <f>SUM(F4:F204)</f>
        <v/>
      </c>
      <c r="F2" s="2" t="n">
        <v>0</v>
      </c>
      <c r="G2" s="2">
        <f>SUM(P4:P204)</f>
        <v/>
      </c>
      <c r="K2" s="2" t="n">
        <v>240</v>
      </c>
      <c r="L2" s="2" t="n">
        <v>60</v>
      </c>
      <c r="M2" s="2" t="n">
        <v>0</v>
      </c>
      <c r="N2" s="2" t="n">
        <v>0</v>
      </c>
      <c r="O2" s="2">
        <f>SUM(O4:O204)</f>
        <v/>
      </c>
      <c r="P2" s="2">
        <f>SUM(P4:P204)</f>
        <v/>
      </c>
      <c r="Q2" s="4" t="n">
        <v>0.05</v>
      </c>
      <c r="R2" s="2" t="n">
        <v>12</v>
      </c>
      <c r="S2" s="2" t="inlineStr">
        <is>
          <t>Min Profit</t>
        </is>
      </c>
      <c r="T2" s="3" t="n">
        <v>1.5</v>
      </c>
      <c r="U2" s="3" t="n">
        <v>2</v>
      </c>
      <c r="X2" s="2" t="n">
        <v>125000</v>
      </c>
      <c r="Y2" s="4" t="n">
        <v>0.5</v>
      </c>
      <c r="Z2" s="2" t="n">
        <v>150000</v>
      </c>
      <c r="AA2" s="4" t="n">
        <v>0.75</v>
      </c>
      <c r="AB2" s="2" t="n">
        <v>300</v>
      </c>
      <c r="AC2" s="4" t="n">
        <v>0.07000000000000001</v>
      </c>
      <c r="AD2" s="4" t="n">
        <v>0.35</v>
      </c>
      <c r="AE2" s="4" t="n">
        <v>0.5</v>
      </c>
    </row>
    <row r="3">
      <c r="A3" s="5" t="inlineStr">
        <is>
          <t>ASIN</t>
        </is>
      </c>
      <c r="B3" s="5" t="inlineStr">
        <is>
          <t>AMZ Title</t>
        </is>
      </c>
      <c r="C3" s="5" t="inlineStr">
        <is>
          <t>Est. Qty</t>
        </is>
      </c>
      <c r="D3" s="5" t="inlineStr">
        <is>
          <t>Sell Price</t>
        </is>
      </c>
      <c r="E3" s="5" t="inlineStr">
        <is>
          <t>Current BSR</t>
        </is>
      </c>
      <c r="F3" s="5" t="inlineStr">
        <is>
          <t>Profit</t>
        </is>
      </c>
      <c r="G3" s="5" t="inlineStr">
        <is>
          <t>ROI</t>
        </is>
      </c>
      <c r="H3" s="5" t="inlineStr">
        <is>
          <t>Sales Opp.</t>
        </is>
      </c>
      <c r="I3" s="5" t="inlineStr">
        <is>
          <t>Suggested Pk</t>
        </is>
      </c>
      <c r="J3" s="5" t="inlineStr">
        <is>
          <t>Pack Qty</t>
        </is>
      </c>
      <c r="K3" s="5" t="inlineStr">
        <is>
          <t>Odr Qty (Pk)</t>
        </is>
      </c>
      <c r="L3" s="5" t="inlineStr">
        <is>
          <t>Item Code</t>
        </is>
      </c>
      <c r="M3" s="5" t="inlineStr">
        <is>
          <t>Description</t>
        </is>
      </c>
      <c r="N3" s="5" t="inlineStr">
        <is>
          <t>Cost</t>
        </is>
      </c>
      <c r="O3" s="5" t="inlineStr">
        <is>
          <t>Order Qty (Unit)</t>
        </is>
      </c>
      <c r="P3" s="5" t="inlineStr">
        <is>
          <t>Order Amount</t>
        </is>
      </c>
      <c r="Q3" s="5" t="inlineStr">
        <is>
          <t>Var Weight</t>
        </is>
      </c>
      <c r="R3" s="5" t="inlineStr">
        <is>
          <t>Case Pack</t>
        </is>
      </c>
      <c r="S3" s="5" t="inlineStr">
        <is>
          <t>Offers 90d</t>
        </is>
      </c>
      <c r="T3" s="5" t="inlineStr">
        <is>
          <t>ROI/Profit</t>
        </is>
      </c>
      <c r="U3" s="5" t="inlineStr">
        <is>
          <t>Visible</t>
        </is>
      </c>
      <c r="V3" s="5" t="inlineStr">
        <is>
          <t>Var. Opp.</t>
        </is>
      </c>
      <c r="W3" s="5" t="inlineStr">
        <is>
          <t>Use Qty</t>
        </is>
      </c>
      <c r="X3" s="5" t="inlineStr">
        <is>
          <t>BSR 30 Avg</t>
        </is>
      </c>
      <c r="Y3" s="5" t="inlineStr">
        <is>
          <t>% Chng30</t>
        </is>
      </c>
      <c r="Z3" s="5" t="inlineStr">
        <is>
          <t>BSR 90 Avg</t>
        </is>
      </c>
      <c r="AA3" s="5" t="inlineStr">
        <is>
          <t>% Chng90</t>
        </is>
      </c>
      <c r="AB3" s="5" t="inlineStr">
        <is>
          <t>Avail. Qty</t>
        </is>
      </c>
      <c r="AC3" s="5" t="inlineStr">
        <is>
          <t>AMZ Boss</t>
        </is>
      </c>
      <c r="AD3" s="5" t="inlineStr">
        <is>
          <t>AMZ OOS</t>
        </is>
      </c>
      <c r="AE3" s="5" t="inlineStr">
        <is>
          <t>Bbox OOS</t>
        </is>
      </c>
      <c r="AF3" s="5" t="inlineStr">
        <is>
          <t>Brand</t>
        </is>
      </c>
      <c r="AG3" s="5" t="inlineStr">
        <is>
          <t>Keepa Link</t>
        </is>
      </c>
      <c r="AH3" s="5" t="inlineStr">
        <is>
          <t>AMZ Product Page</t>
        </is>
      </c>
      <c r="AI3" s="5" t="inlineStr">
        <is>
          <t>Check Gated in SC</t>
        </is>
      </c>
      <c r="AJ3" s="5" t="inlineStr">
        <is>
          <t>Extra1</t>
        </is>
      </c>
      <c r="AK3" s="5" t="inlineStr">
        <is>
          <t>Extra2</t>
        </is>
      </c>
      <c r="AL3" s="5" t="inlineStr">
        <is>
          <t>Extra3</t>
        </is>
      </c>
    </row>
    <row r="4">
      <c r="F4">
        <f>D4-N4</f>
        <v/>
      </c>
      <c r="G4">
        <f>IF(N4=0,0,F4/N4)</f>
        <v/>
      </c>
      <c r="L4">
        <f>IF(H4=0,0,AB4/(H4/30))</f>
        <v/>
      </c>
      <c r="O4">
        <f>MAX(0,(30*H4/30)-AB4)</f>
        <v/>
      </c>
      <c r="P4">
        <f>N4*O4</f>
        <v/>
      </c>
      <c r="Y4">
        <f>IF(C4=0,0,(C4-X4)/C4)</f>
        <v/>
      </c>
      <c r="AA4">
        <f>IF(C4=0,0,(C4-Z4)/C4)</f>
        <v/>
      </c>
      <c r="AB4">
        <f>IF(D4=0,0,F4/D4)</f>
        <v/>
      </c>
    </row>
    <row r="5">
      <c r="F5">
        <f>D5-N5</f>
        <v/>
      </c>
      <c r="G5">
        <f>IF(N5=0,0,F5/N5)</f>
        <v/>
      </c>
      <c r="L5">
        <f>IF(H5=0,0,AB5/(H5/30))</f>
        <v/>
      </c>
      <c r="O5">
        <f>MAX(0,(30*H5/30)-AB5)</f>
        <v/>
      </c>
      <c r="P5">
        <f>N5*O5</f>
        <v/>
      </c>
      <c r="Y5">
        <f>IF(C5=0,0,(C5-X5)/C5)</f>
        <v/>
      </c>
      <c r="AA5">
        <f>IF(C5=0,0,(C5-Z5)/C5)</f>
        <v/>
      </c>
      <c r="AB5">
        <f>IF(D5=0,0,F5/D5)</f>
        <v/>
      </c>
    </row>
    <row r="6">
      <c r="F6">
        <f>D6-N6</f>
        <v/>
      </c>
      <c r="G6">
        <f>IF(N6=0,0,F6/N6)</f>
        <v/>
      </c>
      <c r="L6">
        <f>IF(H6=0,0,AB6/(H6/30))</f>
        <v/>
      </c>
      <c r="O6">
        <f>MAX(0,(30*H6/30)-AB6)</f>
        <v/>
      </c>
      <c r="P6">
        <f>N6*O6</f>
        <v/>
      </c>
      <c r="Y6">
        <f>IF(C6=0,0,(C6-X6)/C6)</f>
        <v/>
      </c>
      <c r="AA6">
        <f>IF(C6=0,0,(C6-Z6)/C6)</f>
        <v/>
      </c>
      <c r="AB6">
        <f>IF(D6=0,0,F6/D6)</f>
        <v/>
      </c>
    </row>
    <row r="7">
      <c r="F7">
        <f>D7-N7</f>
        <v/>
      </c>
      <c r="G7">
        <f>IF(N7=0,0,F7/N7)</f>
        <v/>
      </c>
      <c r="L7">
        <f>IF(H7=0,0,AB7/(H7/30))</f>
        <v/>
      </c>
      <c r="O7">
        <f>MAX(0,(30*H7/30)-AB7)</f>
        <v/>
      </c>
      <c r="P7">
        <f>N7*O7</f>
        <v/>
      </c>
      <c r="Y7">
        <f>IF(C7=0,0,(C7-X7)/C7)</f>
        <v/>
      </c>
      <c r="AA7">
        <f>IF(C7=0,0,(C7-Z7)/C7)</f>
        <v/>
      </c>
      <c r="AB7">
        <f>IF(D7=0,0,F7/D7)</f>
        <v/>
      </c>
    </row>
    <row r="8">
      <c r="F8">
        <f>D8-N8</f>
        <v/>
      </c>
      <c r="G8">
        <f>IF(N8=0,0,F8/N8)</f>
        <v/>
      </c>
      <c r="L8">
        <f>IF(H8=0,0,AB8/(H8/30))</f>
        <v/>
      </c>
      <c r="O8">
        <f>MAX(0,(30*H8/30)-AB8)</f>
        <v/>
      </c>
      <c r="P8">
        <f>N8*O8</f>
        <v/>
      </c>
      <c r="Y8">
        <f>IF(C8=0,0,(C8-X8)/C8)</f>
        <v/>
      </c>
      <c r="AA8">
        <f>IF(C8=0,0,(C8-Z8)/C8)</f>
        <v/>
      </c>
      <c r="AB8">
        <f>IF(D8=0,0,F8/D8)</f>
        <v/>
      </c>
    </row>
    <row r="9">
      <c r="F9">
        <f>D9-N9</f>
        <v/>
      </c>
      <c r="G9">
        <f>IF(N9=0,0,F9/N9)</f>
        <v/>
      </c>
      <c r="L9">
        <f>IF(H9=0,0,AB9/(H9/30))</f>
        <v/>
      </c>
      <c r="O9">
        <f>MAX(0,(30*H9/30)-AB9)</f>
        <v/>
      </c>
      <c r="P9">
        <f>N9*O9</f>
        <v/>
      </c>
      <c r="Y9">
        <f>IF(C9=0,0,(C9-X9)/C9)</f>
        <v/>
      </c>
      <c r="AA9">
        <f>IF(C9=0,0,(C9-Z9)/C9)</f>
        <v/>
      </c>
      <c r="AB9">
        <f>IF(D9=0,0,F9/D9)</f>
        <v/>
      </c>
    </row>
    <row r="10">
      <c r="F10">
        <f>D10-N10</f>
        <v/>
      </c>
      <c r="G10">
        <f>IF(N10=0,0,F10/N10)</f>
        <v/>
      </c>
      <c r="L10">
        <f>IF(H10=0,0,AB10/(H10/30))</f>
        <v/>
      </c>
      <c r="O10">
        <f>MAX(0,(30*H10/30)-AB10)</f>
        <v/>
      </c>
      <c r="P10">
        <f>N10*O10</f>
        <v/>
      </c>
      <c r="Y10">
        <f>IF(C10=0,0,(C10-X10)/C10)</f>
        <v/>
      </c>
      <c r="AA10">
        <f>IF(C10=0,0,(C10-Z10)/C10)</f>
        <v/>
      </c>
      <c r="AB10">
        <f>IF(D10=0,0,F10/D10)</f>
        <v/>
      </c>
    </row>
    <row r="11">
      <c r="F11">
        <f>D11-N11</f>
        <v/>
      </c>
      <c r="G11">
        <f>IF(N11=0,0,F11/N11)</f>
        <v/>
      </c>
      <c r="L11">
        <f>IF(H11=0,0,AB11/(H11/30))</f>
        <v/>
      </c>
      <c r="O11">
        <f>MAX(0,(30*H11/30)-AB11)</f>
        <v/>
      </c>
      <c r="P11">
        <f>N11*O11</f>
        <v/>
      </c>
      <c r="Y11">
        <f>IF(C11=0,0,(C11-X11)/C11)</f>
        <v/>
      </c>
      <c r="AA11">
        <f>IF(C11=0,0,(C11-Z11)/C11)</f>
        <v/>
      </c>
      <c r="AB11">
        <f>IF(D11=0,0,F11/D11)</f>
        <v/>
      </c>
    </row>
    <row r="12">
      <c r="F12">
        <f>D12-N12</f>
        <v/>
      </c>
      <c r="G12">
        <f>IF(N12=0,0,F12/N12)</f>
        <v/>
      </c>
      <c r="L12">
        <f>IF(H12=0,0,AB12/(H12/30))</f>
        <v/>
      </c>
      <c r="O12">
        <f>MAX(0,(30*H12/30)-AB12)</f>
        <v/>
      </c>
      <c r="P12">
        <f>N12*O12</f>
        <v/>
      </c>
      <c r="Y12">
        <f>IF(C12=0,0,(C12-X12)/C12)</f>
        <v/>
      </c>
      <c r="AA12">
        <f>IF(C12=0,0,(C12-Z12)/C12)</f>
        <v/>
      </c>
      <c r="AB12">
        <f>IF(D12=0,0,F12/D12)</f>
        <v/>
      </c>
    </row>
    <row r="13">
      <c r="F13">
        <f>D13-N13</f>
        <v/>
      </c>
      <c r="G13">
        <f>IF(N13=0,0,F13/N13)</f>
        <v/>
      </c>
      <c r="L13">
        <f>IF(H13=0,0,AB13/(H13/30))</f>
        <v/>
      </c>
      <c r="O13">
        <f>MAX(0,(30*H13/30)-AB13)</f>
        <v/>
      </c>
      <c r="P13">
        <f>N13*O13</f>
        <v/>
      </c>
      <c r="Y13">
        <f>IF(C13=0,0,(C13-X13)/C13)</f>
        <v/>
      </c>
      <c r="AA13">
        <f>IF(C13=0,0,(C13-Z13)/C13)</f>
        <v/>
      </c>
      <c r="AB13">
        <f>IF(D13=0,0,F13/D13)</f>
        <v/>
      </c>
    </row>
    <row r="14">
      <c r="F14">
        <f>D14-N14</f>
        <v/>
      </c>
      <c r="G14">
        <f>IF(N14=0,0,F14/N14)</f>
        <v/>
      </c>
      <c r="L14">
        <f>IF(H14=0,0,AB14/(H14/30))</f>
        <v/>
      </c>
      <c r="O14">
        <f>MAX(0,(30*H14/30)-AB14)</f>
        <v/>
      </c>
      <c r="P14">
        <f>N14*O14</f>
        <v/>
      </c>
      <c r="Y14">
        <f>IF(C14=0,0,(C14-X14)/C14)</f>
        <v/>
      </c>
      <c r="AA14">
        <f>IF(C14=0,0,(C14-Z14)/C14)</f>
        <v/>
      </c>
      <c r="AB14">
        <f>IF(D14=0,0,F14/D14)</f>
        <v/>
      </c>
    </row>
    <row r="15">
      <c r="F15">
        <f>D15-N15</f>
        <v/>
      </c>
      <c r="G15">
        <f>IF(N15=0,0,F15/N15)</f>
        <v/>
      </c>
      <c r="L15">
        <f>IF(H15=0,0,AB15/(H15/30))</f>
        <v/>
      </c>
      <c r="O15">
        <f>MAX(0,(30*H15/30)-AB15)</f>
        <v/>
      </c>
      <c r="P15">
        <f>N15*O15</f>
        <v/>
      </c>
      <c r="Y15">
        <f>IF(C15=0,0,(C15-X15)/C15)</f>
        <v/>
      </c>
      <c r="AA15">
        <f>IF(C15=0,0,(C15-Z15)/C15)</f>
        <v/>
      </c>
      <c r="AB15">
        <f>IF(D15=0,0,F15/D15)</f>
        <v/>
      </c>
    </row>
    <row r="16">
      <c r="F16">
        <f>D16-N16</f>
        <v/>
      </c>
      <c r="G16">
        <f>IF(N16=0,0,F16/N16)</f>
        <v/>
      </c>
      <c r="L16">
        <f>IF(H16=0,0,AB16/(H16/30))</f>
        <v/>
      </c>
      <c r="O16">
        <f>MAX(0,(30*H16/30)-AB16)</f>
        <v/>
      </c>
      <c r="P16">
        <f>N16*O16</f>
        <v/>
      </c>
      <c r="Y16">
        <f>IF(C16=0,0,(C16-X16)/C16)</f>
        <v/>
      </c>
      <c r="AA16">
        <f>IF(C16=0,0,(C16-Z16)/C16)</f>
        <v/>
      </c>
      <c r="AB16">
        <f>IF(D16=0,0,F16/D16)</f>
        <v/>
      </c>
    </row>
    <row r="17">
      <c r="F17">
        <f>D17-N17</f>
        <v/>
      </c>
      <c r="G17">
        <f>IF(N17=0,0,F17/N17)</f>
        <v/>
      </c>
      <c r="L17">
        <f>IF(H17=0,0,AB17/(H17/30))</f>
        <v/>
      </c>
      <c r="O17">
        <f>MAX(0,(30*H17/30)-AB17)</f>
        <v/>
      </c>
      <c r="P17">
        <f>N17*O17</f>
        <v/>
      </c>
      <c r="Y17">
        <f>IF(C17=0,0,(C17-X17)/C17)</f>
        <v/>
      </c>
      <c r="AA17">
        <f>IF(C17=0,0,(C17-Z17)/C17)</f>
        <v/>
      </c>
      <c r="AB17">
        <f>IF(D17=0,0,F17/D17)</f>
        <v/>
      </c>
    </row>
    <row r="18">
      <c r="F18">
        <f>D18-N18</f>
        <v/>
      </c>
      <c r="G18">
        <f>IF(N18=0,0,F18/N18)</f>
        <v/>
      </c>
      <c r="L18">
        <f>IF(H18=0,0,AB18/(H18/30))</f>
        <v/>
      </c>
      <c r="O18">
        <f>MAX(0,(30*H18/30)-AB18)</f>
        <v/>
      </c>
      <c r="P18">
        <f>N18*O18</f>
        <v/>
      </c>
      <c r="Y18">
        <f>IF(C18=0,0,(C18-X18)/C18)</f>
        <v/>
      </c>
      <c r="AA18">
        <f>IF(C18=0,0,(C18-Z18)/C18)</f>
        <v/>
      </c>
      <c r="AB18">
        <f>IF(D18=0,0,F18/D18)</f>
        <v/>
      </c>
    </row>
    <row r="19">
      <c r="F19">
        <f>D19-N19</f>
        <v/>
      </c>
      <c r="G19">
        <f>IF(N19=0,0,F19/N19)</f>
        <v/>
      </c>
      <c r="L19">
        <f>IF(H19=0,0,AB19/(H19/30))</f>
        <v/>
      </c>
      <c r="O19">
        <f>MAX(0,(30*H19/30)-AB19)</f>
        <v/>
      </c>
      <c r="P19">
        <f>N19*O19</f>
        <v/>
      </c>
      <c r="Y19">
        <f>IF(C19=0,0,(C19-X19)/C19)</f>
        <v/>
      </c>
      <c r="AA19">
        <f>IF(C19=0,0,(C19-Z19)/C19)</f>
        <v/>
      </c>
      <c r="AB19">
        <f>IF(D19=0,0,F19/D19)</f>
        <v/>
      </c>
    </row>
    <row r="20">
      <c r="F20">
        <f>D20-N20</f>
        <v/>
      </c>
      <c r="G20">
        <f>IF(N20=0,0,F20/N20)</f>
        <v/>
      </c>
      <c r="L20">
        <f>IF(H20=0,0,AB20/(H20/30))</f>
        <v/>
      </c>
      <c r="O20">
        <f>MAX(0,(30*H20/30)-AB20)</f>
        <v/>
      </c>
      <c r="P20">
        <f>N20*O20</f>
        <v/>
      </c>
      <c r="Y20">
        <f>IF(C20=0,0,(C20-X20)/C20)</f>
        <v/>
      </c>
      <c r="AA20">
        <f>IF(C20=0,0,(C20-Z20)/C20)</f>
        <v/>
      </c>
      <c r="AB20">
        <f>IF(D20=0,0,F20/D20)</f>
        <v/>
      </c>
    </row>
    <row r="21">
      <c r="F21">
        <f>D21-N21</f>
        <v/>
      </c>
      <c r="G21">
        <f>IF(N21=0,0,F21/N21)</f>
        <v/>
      </c>
      <c r="L21">
        <f>IF(H21=0,0,AB21/(H21/30))</f>
        <v/>
      </c>
      <c r="O21">
        <f>MAX(0,(30*H21/30)-AB21)</f>
        <v/>
      </c>
      <c r="P21">
        <f>N21*O21</f>
        <v/>
      </c>
      <c r="Y21">
        <f>IF(C21=0,0,(C21-X21)/C21)</f>
        <v/>
      </c>
      <c r="AA21">
        <f>IF(C21=0,0,(C21-Z21)/C21)</f>
        <v/>
      </c>
      <c r="AB21">
        <f>IF(D21=0,0,F21/D21)</f>
        <v/>
      </c>
    </row>
    <row r="22">
      <c r="F22">
        <f>D22-N22</f>
        <v/>
      </c>
      <c r="G22">
        <f>IF(N22=0,0,F22/N22)</f>
        <v/>
      </c>
      <c r="L22">
        <f>IF(H22=0,0,AB22/(H22/30))</f>
        <v/>
      </c>
      <c r="O22">
        <f>MAX(0,(30*H22/30)-AB22)</f>
        <v/>
      </c>
      <c r="P22">
        <f>N22*O22</f>
        <v/>
      </c>
      <c r="Y22">
        <f>IF(C22=0,0,(C22-X22)/C22)</f>
        <v/>
      </c>
      <c r="AA22">
        <f>IF(C22=0,0,(C22-Z22)/C22)</f>
        <v/>
      </c>
      <c r="AB22">
        <f>IF(D22=0,0,F22/D22)</f>
        <v/>
      </c>
    </row>
    <row r="23">
      <c r="F23">
        <f>D23-N23</f>
        <v/>
      </c>
      <c r="G23">
        <f>IF(N23=0,0,F23/N23)</f>
        <v/>
      </c>
      <c r="L23">
        <f>IF(H23=0,0,AB23/(H23/30))</f>
        <v/>
      </c>
      <c r="O23">
        <f>MAX(0,(30*H23/30)-AB23)</f>
        <v/>
      </c>
      <c r="P23">
        <f>N23*O23</f>
        <v/>
      </c>
      <c r="Y23">
        <f>IF(C23=0,0,(C23-X23)/C23)</f>
        <v/>
      </c>
      <c r="AA23">
        <f>IF(C23=0,0,(C23-Z23)/C23)</f>
        <v/>
      </c>
      <c r="AB23">
        <f>IF(D23=0,0,F23/D23)</f>
        <v/>
      </c>
    </row>
    <row r="24">
      <c r="F24">
        <f>D24-N24</f>
        <v/>
      </c>
      <c r="G24">
        <f>IF(N24=0,0,F24/N24)</f>
        <v/>
      </c>
      <c r="L24">
        <f>IF(H24=0,0,AB24/(H24/30))</f>
        <v/>
      </c>
      <c r="O24">
        <f>MAX(0,(30*H24/30)-AB24)</f>
        <v/>
      </c>
      <c r="P24">
        <f>N24*O24</f>
        <v/>
      </c>
      <c r="Y24">
        <f>IF(C24=0,0,(C24-X24)/C24)</f>
        <v/>
      </c>
      <c r="AA24">
        <f>IF(C24=0,0,(C24-Z24)/C24)</f>
        <v/>
      </c>
      <c r="AB24">
        <f>IF(D24=0,0,F24/D24)</f>
        <v/>
      </c>
    </row>
    <row r="25">
      <c r="F25">
        <f>D25-N25</f>
        <v/>
      </c>
      <c r="G25">
        <f>IF(N25=0,0,F25/N25)</f>
        <v/>
      </c>
      <c r="L25">
        <f>IF(H25=0,0,AB25/(H25/30))</f>
        <v/>
      </c>
      <c r="O25">
        <f>MAX(0,(30*H25/30)-AB25)</f>
        <v/>
      </c>
      <c r="P25">
        <f>N25*O25</f>
        <v/>
      </c>
      <c r="Y25">
        <f>IF(C25=0,0,(C25-X25)/C25)</f>
        <v/>
      </c>
      <c r="AA25">
        <f>IF(C25=0,0,(C25-Z25)/C25)</f>
        <v/>
      </c>
      <c r="AB25">
        <f>IF(D25=0,0,F25/D25)</f>
        <v/>
      </c>
    </row>
    <row r="26">
      <c r="F26">
        <f>D26-N26</f>
        <v/>
      </c>
      <c r="G26">
        <f>IF(N26=0,0,F26/N26)</f>
        <v/>
      </c>
      <c r="L26">
        <f>IF(H26=0,0,AB26/(H26/30))</f>
        <v/>
      </c>
      <c r="O26">
        <f>MAX(0,(30*H26/30)-AB26)</f>
        <v/>
      </c>
      <c r="P26">
        <f>N26*O26</f>
        <v/>
      </c>
      <c r="Y26">
        <f>IF(C26=0,0,(C26-X26)/C26)</f>
        <v/>
      </c>
      <c r="AA26">
        <f>IF(C26=0,0,(C26-Z26)/C26)</f>
        <v/>
      </c>
      <c r="AB26">
        <f>IF(D26=0,0,F26/D26)</f>
        <v/>
      </c>
    </row>
    <row r="27">
      <c r="F27">
        <f>D27-N27</f>
        <v/>
      </c>
      <c r="G27">
        <f>IF(N27=0,0,F27/N27)</f>
        <v/>
      </c>
      <c r="L27">
        <f>IF(H27=0,0,AB27/(H27/30))</f>
        <v/>
      </c>
      <c r="O27">
        <f>MAX(0,(30*H27/30)-AB27)</f>
        <v/>
      </c>
      <c r="P27">
        <f>N27*O27</f>
        <v/>
      </c>
      <c r="Y27">
        <f>IF(C27=0,0,(C27-X27)/C27)</f>
        <v/>
      </c>
      <c r="AA27">
        <f>IF(C27=0,0,(C27-Z27)/C27)</f>
        <v/>
      </c>
      <c r="AB27">
        <f>IF(D27=0,0,F27/D27)</f>
        <v/>
      </c>
    </row>
    <row r="28">
      <c r="F28">
        <f>D28-N28</f>
        <v/>
      </c>
      <c r="G28">
        <f>IF(N28=0,0,F28/N28)</f>
        <v/>
      </c>
      <c r="L28">
        <f>IF(H28=0,0,AB28/(H28/30))</f>
        <v/>
      </c>
      <c r="O28">
        <f>MAX(0,(30*H28/30)-AB28)</f>
        <v/>
      </c>
      <c r="P28">
        <f>N28*O28</f>
        <v/>
      </c>
      <c r="Y28">
        <f>IF(C28=0,0,(C28-X28)/C28)</f>
        <v/>
      </c>
      <c r="AA28">
        <f>IF(C28=0,0,(C28-Z28)/C28)</f>
        <v/>
      </c>
      <c r="AB28">
        <f>IF(D28=0,0,F28/D28)</f>
        <v/>
      </c>
    </row>
    <row r="29">
      <c r="F29">
        <f>D29-N29</f>
        <v/>
      </c>
      <c r="G29">
        <f>IF(N29=0,0,F29/N29)</f>
        <v/>
      </c>
      <c r="L29">
        <f>IF(H29=0,0,AB29/(H29/30))</f>
        <v/>
      </c>
      <c r="O29">
        <f>MAX(0,(30*H29/30)-AB29)</f>
        <v/>
      </c>
      <c r="P29">
        <f>N29*O29</f>
        <v/>
      </c>
      <c r="Y29">
        <f>IF(C29=0,0,(C29-X29)/C29)</f>
        <v/>
      </c>
      <c r="AA29">
        <f>IF(C29=0,0,(C29-Z29)/C29)</f>
        <v/>
      </c>
      <c r="AB29">
        <f>IF(D29=0,0,F29/D29)</f>
        <v/>
      </c>
    </row>
    <row r="30">
      <c r="F30">
        <f>D30-N30</f>
        <v/>
      </c>
      <c r="G30">
        <f>IF(N30=0,0,F30/N30)</f>
        <v/>
      </c>
      <c r="L30">
        <f>IF(H30=0,0,AB30/(H30/30))</f>
        <v/>
      </c>
      <c r="O30">
        <f>MAX(0,(30*H30/30)-AB30)</f>
        <v/>
      </c>
      <c r="P30">
        <f>N30*O30</f>
        <v/>
      </c>
      <c r="Y30">
        <f>IF(C30=0,0,(C30-X30)/C30)</f>
        <v/>
      </c>
      <c r="AA30">
        <f>IF(C30=0,0,(C30-Z30)/C30)</f>
        <v/>
      </c>
      <c r="AB30">
        <f>IF(D30=0,0,F30/D30)</f>
        <v/>
      </c>
    </row>
    <row r="31">
      <c r="F31">
        <f>D31-N31</f>
        <v/>
      </c>
      <c r="G31">
        <f>IF(N31=0,0,F31/N31)</f>
        <v/>
      </c>
      <c r="L31">
        <f>IF(H31=0,0,AB31/(H31/30))</f>
        <v/>
      </c>
      <c r="O31">
        <f>MAX(0,(30*H31/30)-AB31)</f>
        <v/>
      </c>
      <c r="P31">
        <f>N31*O31</f>
        <v/>
      </c>
      <c r="Y31">
        <f>IF(C31=0,0,(C31-X31)/C31)</f>
        <v/>
      </c>
      <c r="AA31">
        <f>IF(C31=0,0,(C31-Z31)/C31)</f>
        <v/>
      </c>
      <c r="AB31">
        <f>IF(D31=0,0,F31/D31)</f>
        <v/>
      </c>
    </row>
    <row r="32">
      <c r="F32">
        <f>D32-N32</f>
        <v/>
      </c>
      <c r="G32">
        <f>IF(N32=0,0,F32/N32)</f>
        <v/>
      </c>
      <c r="L32">
        <f>IF(H32=0,0,AB32/(H32/30))</f>
        <v/>
      </c>
      <c r="O32">
        <f>MAX(0,(30*H32/30)-AB32)</f>
        <v/>
      </c>
      <c r="P32">
        <f>N32*O32</f>
        <v/>
      </c>
      <c r="Y32">
        <f>IF(C32=0,0,(C32-X32)/C32)</f>
        <v/>
      </c>
      <c r="AA32">
        <f>IF(C32=0,0,(C32-Z32)/C32)</f>
        <v/>
      </c>
      <c r="AB32">
        <f>IF(D32=0,0,F32/D32)</f>
        <v/>
      </c>
    </row>
    <row r="33">
      <c r="F33">
        <f>D33-N33</f>
        <v/>
      </c>
      <c r="G33">
        <f>IF(N33=0,0,F33/N33)</f>
        <v/>
      </c>
      <c r="L33">
        <f>IF(H33=0,0,AB33/(H33/30))</f>
        <v/>
      </c>
      <c r="O33">
        <f>MAX(0,(30*H33/30)-AB33)</f>
        <v/>
      </c>
      <c r="P33">
        <f>N33*O33</f>
        <v/>
      </c>
      <c r="Y33">
        <f>IF(C33=0,0,(C33-X33)/C33)</f>
        <v/>
      </c>
      <c r="AA33">
        <f>IF(C33=0,0,(C33-Z33)/C33)</f>
        <v/>
      </c>
      <c r="AB33">
        <f>IF(D33=0,0,F33/D33)</f>
        <v/>
      </c>
    </row>
    <row r="34">
      <c r="F34">
        <f>D34-N34</f>
        <v/>
      </c>
      <c r="G34">
        <f>IF(N34=0,0,F34/N34)</f>
        <v/>
      </c>
      <c r="L34">
        <f>IF(H34=0,0,AB34/(H34/30))</f>
        <v/>
      </c>
      <c r="O34">
        <f>MAX(0,(30*H34/30)-AB34)</f>
        <v/>
      </c>
      <c r="P34">
        <f>N34*O34</f>
        <v/>
      </c>
      <c r="Y34">
        <f>IF(C34=0,0,(C34-X34)/C34)</f>
        <v/>
      </c>
      <c r="AA34">
        <f>IF(C34=0,0,(C34-Z34)/C34)</f>
        <v/>
      </c>
      <c r="AB34">
        <f>IF(D34=0,0,F34/D34)</f>
        <v/>
      </c>
    </row>
    <row r="35">
      <c r="F35">
        <f>D35-N35</f>
        <v/>
      </c>
      <c r="G35">
        <f>IF(N35=0,0,F35/N35)</f>
        <v/>
      </c>
      <c r="L35">
        <f>IF(H35=0,0,AB35/(H35/30))</f>
        <v/>
      </c>
      <c r="O35">
        <f>MAX(0,(30*H35/30)-AB35)</f>
        <v/>
      </c>
      <c r="P35">
        <f>N35*O35</f>
        <v/>
      </c>
      <c r="Y35">
        <f>IF(C35=0,0,(C35-X35)/C35)</f>
        <v/>
      </c>
      <c r="AA35">
        <f>IF(C35=0,0,(C35-Z35)/C35)</f>
        <v/>
      </c>
      <c r="AB35">
        <f>IF(D35=0,0,F35/D35)</f>
        <v/>
      </c>
    </row>
    <row r="36">
      <c r="F36">
        <f>D36-N36</f>
        <v/>
      </c>
      <c r="G36">
        <f>IF(N36=0,0,F36/N36)</f>
        <v/>
      </c>
      <c r="L36">
        <f>IF(H36=0,0,AB36/(H36/30))</f>
        <v/>
      </c>
      <c r="O36">
        <f>MAX(0,(30*H36/30)-AB36)</f>
        <v/>
      </c>
      <c r="P36">
        <f>N36*O36</f>
        <v/>
      </c>
      <c r="Y36">
        <f>IF(C36=0,0,(C36-X36)/C36)</f>
        <v/>
      </c>
      <c r="AA36">
        <f>IF(C36=0,0,(C36-Z36)/C36)</f>
        <v/>
      </c>
      <c r="AB36">
        <f>IF(D36=0,0,F36/D36)</f>
        <v/>
      </c>
    </row>
    <row r="37">
      <c r="F37">
        <f>D37-N37</f>
        <v/>
      </c>
      <c r="G37">
        <f>IF(N37=0,0,F37/N37)</f>
        <v/>
      </c>
      <c r="L37">
        <f>IF(H37=0,0,AB37/(H37/30))</f>
        <v/>
      </c>
      <c r="O37">
        <f>MAX(0,(30*H37/30)-AB37)</f>
        <v/>
      </c>
      <c r="P37">
        <f>N37*O37</f>
        <v/>
      </c>
      <c r="Y37">
        <f>IF(C37=0,0,(C37-X37)/C37)</f>
        <v/>
      </c>
      <c r="AA37">
        <f>IF(C37=0,0,(C37-Z37)/C37)</f>
        <v/>
      </c>
      <c r="AB37">
        <f>IF(D37=0,0,F37/D37)</f>
        <v/>
      </c>
    </row>
    <row r="38">
      <c r="F38">
        <f>D38-N38</f>
        <v/>
      </c>
      <c r="G38">
        <f>IF(N38=0,0,F38/N38)</f>
        <v/>
      </c>
      <c r="L38">
        <f>IF(H38=0,0,AB38/(H38/30))</f>
        <v/>
      </c>
      <c r="O38">
        <f>MAX(0,(30*H38/30)-AB38)</f>
        <v/>
      </c>
      <c r="P38">
        <f>N38*O38</f>
        <v/>
      </c>
      <c r="Y38">
        <f>IF(C38=0,0,(C38-X38)/C38)</f>
        <v/>
      </c>
      <c r="AA38">
        <f>IF(C38=0,0,(C38-Z38)/C38)</f>
        <v/>
      </c>
      <c r="AB38">
        <f>IF(D38=0,0,F38/D38)</f>
        <v/>
      </c>
    </row>
    <row r="39">
      <c r="F39">
        <f>D39-N39</f>
        <v/>
      </c>
      <c r="G39">
        <f>IF(N39=0,0,F39/N39)</f>
        <v/>
      </c>
      <c r="L39">
        <f>IF(H39=0,0,AB39/(H39/30))</f>
        <v/>
      </c>
      <c r="O39">
        <f>MAX(0,(30*H39/30)-AB39)</f>
        <v/>
      </c>
      <c r="P39">
        <f>N39*O39</f>
        <v/>
      </c>
      <c r="Y39">
        <f>IF(C39=0,0,(C39-X39)/C39)</f>
        <v/>
      </c>
      <c r="AA39">
        <f>IF(C39=0,0,(C39-Z39)/C39)</f>
        <v/>
      </c>
      <c r="AB39">
        <f>IF(D39=0,0,F39/D39)</f>
        <v/>
      </c>
    </row>
    <row r="40">
      <c r="F40">
        <f>D40-N40</f>
        <v/>
      </c>
      <c r="G40">
        <f>IF(N40=0,0,F40/N40)</f>
        <v/>
      </c>
      <c r="L40">
        <f>IF(H40=0,0,AB40/(H40/30))</f>
        <v/>
      </c>
      <c r="O40">
        <f>MAX(0,(30*H40/30)-AB40)</f>
        <v/>
      </c>
      <c r="P40">
        <f>N40*O40</f>
        <v/>
      </c>
      <c r="Y40">
        <f>IF(C40=0,0,(C40-X40)/C40)</f>
        <v/>
      </c>
      <c r="AA40">
        <f>IF(C40=0,0,(C40-Z40)/C40)</f>
        <v/>
      </c>
      <c r="AB40">
        <f>IF(D40=0,0,F40/D40)</f>
        <v/>
      </c>
    </row>
    <row r="41">
      <c r="F41">
        <f>D41-N41</f>
        <v/>
      </c>
      <c r="G41">
        <f>IF(N41=0,0,F41/N41)</f>
        <v/>
      </c>
      <c r="L41">
        <f>IF(H41=0,0,AB41/(H41/30))</f>
        <v/>
      </c>
      <c r="O41">
        <f>MAX(0,(30*H41/30)-AB41)</f>
        <v/>
      </c>
      <c r="P41">
        <f>N41*O41</f>
        <v/>
      </c>
      <c r="Y41">
        <f>IF(C41=0,0,(C41-X41)/C41)</f>
        <v/>
      </c>
      <c r="AA41">
        <f>IF(C41=0,0,(C41-Z41)/C41)</f>
        <v/>
      </c>
      <c r="AB41">
        <f>IF(D41=0,0,F41/D41)</f>
        <v/>
      </c>
    </row>
    <row r="42">
      <c r="F42">
        <f>D42-N42</f>
        <v/>
      </c>
      <c r="G42">
        <f>IF(N42=0,0,F42/N42)</f>
        <v/>
      </c>
      <c r="L42">
        <f>IF(H42=0,0,AB42/(H42/30))</f>
        <v/>
      </c>
      <c r="O42">
        <f>MAX(0,(30*H42/30)-AB42)</f>
        <v/>
      </c>
      <c r="P42">
        <f>N42*O42</f>
        <v/>
      </c>
      <c r="Y42">
        <f>IF(C42=0,0,(C42-X42)/C42)</f>
        <v/>
      </c>
      <c r="AA42">
        <f>IF(C42=0,0,(C42-Z42)/C42)</f>
        <v/>
      </c>
      <c r="AB42">
        <f>IF(D42=0,0,F42/D42)</f>
        <v/>
      </c>
    </row>
    <row r="43">
      <c r="F43">
        <f>D43-N43</f>
        <v/>
      </c>
      <c r="G43">
        <f>IF(N43=0,0,F43/N43)</f>
        <v/>
      </c>
      <c r="L43">
        <f>IF(H43=0,0,AB43/(H43/30))</f>
        <v/>
      </c>
      <c r="O43">
        <f>MAX(0,(30*H43/30)-AB43)</f>
        <v/>
      </c>
      <c r="P43">
        <f>N43*O43</f>
        <v/>
      </c>
      <c r="Y43">
        <f>IF(C43=0,0,(C43-X43)/C43)</f>
        <v/>
      </c>
      <c r="AA43">
        <f>IF(C43=0,0,(C43-Z43)/C43)</f>
        <v/>
      </c>
      <c r="AB43">
        <f>IF(D43=0,0,F43/D43)</f>
        <v/>
      </c>
    </row>
    <row r="44">
      <c r="F44">
        <f>D44-N44</f>
        <v/>
      </c>
      <c r="G44">
        <f>IF(N44=0,0,F44/N44)</f>
        <v/>
      </c>
      <c r="L44">
        <f>IF(H44=0,0,AB44/(H44/30))</f>
        <v/>
      </c>
      <c r="O44">
        <f>MAX(0,(30*H44/30)-AB44)</f>
        <v/>
      </c>
      <c r="P44">
        <f>N44*O44</f>
        <v/>
      </c>
      <c r="Y44">
        <f>IF(C44=0,0,(C44-X44)/C44)</f>
        <v/>
      </c>
      <c r="AA44">
        <f>IF(C44=0,0,(C44-Z44)/C44)</f>
        <v/>
      </c>
      <c r="AB44">
        <f>IF(D44=0,0,F44/D44)</f>
        <v/>
      </c>
    </row>
    <row r="45">
      <c r="F45">
        <f>D45-N45</f>
        <v/>
      </c>
      <c r="G45">
        <f>IF(N45=0,0,F45/N45)</f>
        <v/>
      </c>
      <c r="L45">
        <f>IF(H45=0,0,AB45/(H45/30))</f>
        <v/>
      </c>
      <c r="O45">
        <f>MAX(0,(30*H45/30)-AB45)</f>
        <v/>
      </c>
      <c r="P45">
        <f>N45*O45</f>
        <v/>
      </c>
      <c r="Y45">
        <f>IF(C45=0,0,(C45-X45)/C45)</f>
        <v/>
      </c>
      <c r="AA45">
        <f>IF(C45=0,0,(C45-Z45)/C45)</f>
        <v/>
      </c>
      <c r="AB45">
        <f>IF(D45=0,0,F45/D45)</f>
        <v/>
      </c>
    </row>
    <row r="46">
      <c r="F46">
        <f>D46-N46</f>
        <v/>
      </c>
      <c r="G46">
        <f>IF(N46=0,0,F46/N46)</f>
        <v/>
      </c>
      <c r="L46">
        <f>IF(H46=0,0,AB46/(H46/30))</f>
        <v/>
      </c>
      <c r="O46">
        <f>MAX(0,(30*H46/30)-AB46)</f>
        <v/>
      </c>
      <c r="P46">
        <f>N46*O46</f>
        <v/>
      </c>
      <c r="Y46">
        <f>IF(C46=0,0,(C46-X46)/C46)</f>
        <v/>
      </c>
      <c r="AA46">
        <f>IF(C46=0,0,(C46-Z46)/C46)</f>
        <v/>
      </c>
      <c r="AB46">
        <f>IF(D46=0,0,F46/D46)</f>
        <v/>
      </c>
    </row>
    <row r="47">
      <c r="F47">
        <f>D47-N47</f>
        <v/>
      </c>
      <c r="G47">
        <f>IF(N47=0,0,F47/N47)</f>
        <v/>
      </c>
      <c r="L47">
        <f>IF(H47=0,0,AB47/(H47/30))</f>
        <v/>
      </c>
      <c r="O47">
        <f>MAX(0,(30*H47/30)-AB47)</f>
        <v/>
      </c>
      <c r="P47">
        <f>N47*O47</f>
        <v/>
      </c>
      <c r="Y47">
        <f>IF(C47=0,0,(C47-X47)/C47)</f>
        <v/>
      </c>
      <c r="AA47">
        <f>IF(C47=0,0,(C47-Z47)/C47)</f>
        <v/>
      </c>
      <c r="AB47">
        <f>IF(D47=0,0,F47/D47)</f>
        <v/>
      </c>
    </row>
    <row r="48">
      <c r="F48">
        <f>D48-N48</f>
        <v/>
      </c>
      <c r="G48">
        <f>IF(N48=0,0,F48/N48)</f>
        <v/>
      </c>
      <c r="L48">
        <f>IF(H48=0,0,AB48/(H48/30))</f>
        <v/>
      </c>
      <c r="O48">
        <f>MAX(0,(30*H48/30)-AB48)</f>
        <v/>
      </c>
      <c r="P48">
        <f>N48*O48</f>
        <v/>
      </c>
      <c r="Y48">
        <f>IF(C48=0,0,(C48-X48)/C48)</f>
        <v/>
      </c>
      <c r="AA48">
        <f>IF(C48=0,0,(C48-Z48)/C48)</f>
        <v/>
      </c>
      <c r="AB48">
        <f>IF(D48=0,0,F48/D48)</f>
        <v/>
      </c>
    </row>
    <row r="49">
      <c r="F49">
        <f>D49-N49</f>
        <v/>
      </c>
      <c r="G49">
        <f>IF(N49=0,0,F49/N49)</f>
        <v/>
      </c>
      <c r="L49">
        <f>IF(H49=0,0,AB49/(H49/30))</f>
        <v/>
      </c>
      <c r="O49">
        <f>MAX(0,(30*H49/30)-AB49)</f>
        <v/>
      </c>
      <c r="P49">
        <f>N49*O49</f>
        <v/>
      </c>
      <c r="Y49">
        <f>IF(C49=0,0,(C49-X49)/C49)</f>
        <v/>
      </c>
      <c r="AA49">
        <f>IF(C49=0,0,(C49-Z49)/C49)</f>
        <v/>
      </c>
      <c r="AB49">
        <f>IF(D49=0,0,F49/D49)</f>
        <v/>
      </c>
    </row>
    <row r="50">
      <c r="F50">
        <f>D50-N50</f>
        <v/>
      </c>
      <c r="G50">
        <f>IF(N50=0,0,F50/N50)</f>
        <v/>
      </c>
      <c r="L50">
        <f>IF(H50=0,0,AB50/(H50/30))</f>
        <v/>
      </c>
      <c r="O50">
        <f>MAX(0,(30*H50/30)-AB50)</f>
        <v/>
      </c>
      <c r="P50">
        <f>N50*O50</f>
        <v/>
      </c>
      <c r="Y50">
        <f>IF(C50=0,0,(C50-X50)/C50)</f>
        <v/>
      </c>
      <c r="AA50">
        <f>IF(C50=0,0,(C50-Z50)/C50)</f>
        <v/>
      </c>
      <c r="AB50">
        <f>IF(D50=0,0,F50/D50)</f>
        <v/>
      </c>
    </row>
    <row r="51">
      <c r="F51">
        <f>D51-N51</f>
        <v/>
      </c>
      <c r="G51">
        <f>IF(N51=0,0,F51/N51)</f>
        <v/>
      </c>
      <c r="L51">
        <f>IF(H51=0,0,AB51/(H51/30))</f>
        <v/>
      </c>
      <c r="O51">
        <f>MAX(0,(30*H51/30)-AB51)</f>
        <v/>
      </c>
      <c r="P51">
        <f>N51*O51</f>
        <v/>
      </c>
      <c r="Y51">
        <f>IF(C51=0,0,(C51-X51)/C51)</f>
        <v/>
      </c>
      <c r="AA51">
        <f>IF(C51=0,0,(C51-Z51)/C51)</f>
        <v/>
      </c>
      <c r="AB51">
        <f>IF(D51=0,0,F51/D51)</f>
        <v/>
      </c>
    </row>
    <row r="52">
      <c r="F52">
        <f>D52-N52</f>
        <v/>
      </c>
      <c r="G52">
        <f>IF(N52=0,0,F52/N52)</f>
        <v/>
      </c>
      <c r="L52">
        <f>IF(H52=0,0,AB52/(H52/30))</f>
        <v/>
      </c>
      <c r="O52">
        <f>MAX(0,(30*H52/30)-AB52)</f>
        <v/>
      </c>
      <c r="P52">
        <f>N52*O52</f>
        <v/>
      </c>
      <c r="Y52">
        <f>IF(C52=0,0,(C52-X52)/C52)</f>
        <v/>
      </c>
      <c r="AA52">
        <f>IF(C52=0,0,(C52-Z52)/C52)</f>
        <v/>
      </c>
      <c r="AB52">
        <f>IF(D52=0,0,F52/D52)</f>
        <v/>
      </c>
    </row>
    <row r="53">
      <c r="F53">
        <f>D53-N53</f>
        <v/>
      </c>
      <c r="G53">
        <f>IF(N53=0,0,F53/N53)</f>
        <v/>
      </c>
      <c r="L53">
        <f>IF(H53=0,0,AB53/(H53/30))</f>
        <v/>
      </c>
      <c r="O53">
        <f>MAX(0,(30*H53/30)-AB53)</f>
        <v/>
      </c>
      <c r="P53">
        <f>N53*O53</f>
        <v/>
      </c>
      <c r="Y53">
        <f>IF(C53=0,0,(C53-X53)/C53)</f>
        <v/>
      </c>
      <c r="AA53">
        <f>IF(C53=0,0,(C53-Z53)/C53)</f>
        <v/>
      </c>
      <c r="AB53">
        <f>IF(D53=0,0,F53/D53)</f>
        <v/>
      </c>
    </row>
    <row r="54">
      <c r="F54">
        <f>D54-N54</f>
        <v/>
      </c>
      <c r="G54">
        <f>IF(N54=0,0,F54/N54)</f>
        <v/>
      </c>
      <c r="L54">
        <f>IF(H54=0,0,AB54/(H54/30))</f>
        <v/>
      </c>
      <c r="O54">
        <f>MAX(0,(30*H54/30)-AB54)</f>
        <v/>
      </c>
      <c r="P54">
        <f>N54*O54</f>
        <v/>
      </c>
      <c r="Y54">
        <f>IF(C54=0,0,(C54-X54)/C54)</f>
        <v/>
      </c>
      <c r="AA54">
        <f>IF(C54=0,0,(C54-Z54)/C54)</f>
        <v/>
      </c>
      <c r="AB54">
        <f>IF(D54=0,0,F54/D54)</f>
        <v/>
      </c>
    </row>
    <row r="55">
      <c r="F55">
        <f>D55-N55</f>
        <v/>
      </c>
      <c r="G55">
        <f>IF(N55=0,0,F55/N55)</f>
        <v/>
      </c>
      <c r="L55">
        <f>IF(H55=0,0,AB55/(H55/30))</f>
        <v/>
      </c>
      <c r="O55">
        <f>MAX(0,(30*H55/30)-AB55)</f>
        <v/>
      </c>
      <c r="P55">
        <f>N55*O55</f>
        <v/>
      </c>
      <c r="Y55">
        <f>IF(C55=0,0,(C55-X55)/C55)</f>
        <v/>
      </c>
      <c r="AA55">
        <f>IF(C55=0,0,(C55-Z55)/C55)</f>
        <v/>
      </c>
      <c r="AB55">
        <f>IF(D55=0,0,F55/D55)</f>
        <v/>
      </c>
    </row>
    <row r="56">
      <c r="F56">
        <f>D56-N56</f>
        <v/>
      </c>
      <c r="G56">
        <f>IF(N56=0,0,F56/N56)</f>
        <v/>
      </c>
      <c r="L56">
        <f>IF(H56=0,0,AB56/(H56/30))</f>
        <v/>
      </c>
      <c r="O56">
        <f>MAX(0,(30*H56/30)-AB56)</f>
        <v/>
      </c>
      <c r="P56">
        <f>N56*O56</f>
        <v/>
      </c>
      <c r="Y56">
        <f>IF(C56=0,0,(C56-X56)/C56)</f>
        <v/>
      </c>
      <c r="AA56">
        <f>IF(C56=0,0,(C56-Z56)/C56)</f>
        <v/>
      </c>
      <c r="AB56">
        <f>IF(D56=0,0,F56/D56)</f>
        <v/>
      </c>
    </row>
    <row r="57">
      <c r="F57">
        <f>D57-N57</f>
        <v/>
      </c>
      <c r="G57">
        <f>IF(N57=0,0,F57/N57)</f>
        <v/>
      </c>
      <c r="L57">
        <f>IF(H57=0,0,AB57/(H57/30))</f>
        <v/>
      </c>
      <c r="O57">
        <f>MAX(0,(30*H57/30)-AB57)</f>
        <v/>
      </c>
      <c r="P57">
        <f>N57*O57</f>
        <v/>
      </c>
      <c r="Y57">
        <f>IF(C57=0,0,(C57-X57)/C57)</f>
        <v/>
      </c>
      <c r="AA57">
        <f>IF(C57=0,0,(C57-Z57)/C57)</f>
        <v/>
      </c>
      <c r="AB57">
        <f>IF(D57=0,0,F57/D57)</f>
        <v/>
      </c>
    </row>
    <row r="58">
      <c r="F58">
        <f>D58-N58</f>
        <v/>
      </c>
      <c r="G58">
        <f>IF(N58=0,0,F58/N58)</f>
        <v/>
      </c>
      <c r="L58">
        <f>IF(H58=0,0,AB58/(H58/30))</f>
        <v/>
      </c>
      <c r="O58">
        <f>MAX(0,(30*H58/30)-AB58)</f>
        <v/>
      </c>
      <c r="P58">
        <f>N58*O58</f>
        <v/>
      </c>
      <c r="Y58">
        <f>IF(C58=0,0,(C58-X58)/C58)</f>
        <v/>
      </c>
      <c r="AA58">
        <f>IF(C58=0,0,(C58-Z58)/C58)</f>
        <v/>
      </c>
      <c r="AB58">
        <f>IF(D58=0,0,F58/D58)</f>
        <v/>
      </c>
    </row>
    <row r="59">
      <c r="F59">
        <f>D59-N59</f>
        <v/>
      </c>
      <c r="G59">
        <f>IF(N59=0,0,F59/N59)</f>
        <v/>
      </c>
      <c r="L59">
        <f>IF(H59=0,0,AB59/(H59/30))</f>
        <v/>
      </c>
      <c r="O59">
        <f>MAX(0,(30*H59/30)-AB59)</f>
        <v/>
      </c>
      <c r="P59">
        <f>N59*O59</f>
        <v/>
      </c>
      <c r="Y59">
        <f>IF(C59=0,0,(C59-X59)/C59)</f>
        <v/>
      </c>
      <c r="AA59">
        <f>IF(C59=0,0,(C59-Z59)/C59)</f>
        <v/>
      </c>
      <c r="AB59">
        <f>IF(D59=0,0,F59/D59)</f>
        <v/>
      </c>
    </row>
    <row r="60">
      <c r="F60">
        <f>D60-N60</f>
        <v/>
      </c>
      <c r="G60">
        <f>IF(N60=0,0,F60/N60)</f>
        <v/>
      </c>
      <c r="L60">
        <f>IF(H60=0,0,AB60/(H60/30))</f>
        <v/>
      </c>
      <c r="O60">
        <f>MAX(0,(30*H60/30)-AB60)</f>
        <v/>
      </c>
      <c r="P60">
        <f>N60*O60</f>
        <v/>
      </c>
      <c r="Y60">
        <f>IF(C60=0,0,(C60-X60)/C60)</f>
        <v/>
      </c>
      <c r="AA60">
        <f>IF(C60=0,0,(C60-Z60)/C60)</f>
        <v/>
      </c>
      <c r="AB60">
        <f>IF(D60=0,0,F60/D60)</f>
        <v/>
      </c>
    </row>
    <row r="61">
      <c r="F61">
        <f>D61-N61</f>
        <v/>
      </c>
      <c r="G61">
        <f>IF(N61=0,0,F61/N61)</f>
        <v/>
      </c>
      <c r="L61">
        <f>IF(H61=0,0,AB61/(H61/30))</f>
        <v/>
      </c>
      <c r="O61">
        <f>MAX(0,(30*H61/30)-AB61)</f>
        <v/>
      </c>
      <c r="P61">
        <f>N61*O61</f>
        <v/>
      </c>
      <c r="Y61">
        <f>IF(C61=0,0,(C61-X61)/C61)</f>
        <v/>
      </c>
      <c r="AA61">
        <f>IF(C61=0,0,(C61-Z61)/C61)</f>
        <v/>
      </c>
      <c r="AB61">
        <f>IF(D61=0,0,F61/D61)</f>
        <v/>
      </c>
    </row>
    <row r="62">
      <c r="F62">
        <f>D62-N62</f>
        <v/>
      </c>
      <c r="G62">
        <f>IF(N62=0,0,F62/N62)</f>
        <v/>
      </c>
      <c r="L62">
        <f>IF(H62=0,0,AB62/(H62/30))</f>
        <v/>
      </c>
      <c r="O62">
        <f>MAX(0,(30*H62/30)-AB62)</f>
        <v/>
      </c>
      <c r="P62">
        <f>N62*O62</f>
        <v/>
      </c>
      <c r="Y62">
        <f>IF(C62=0,0,(C62-X62)/C62)</f>
        <v/>
      </c>
      <c r="AA62">
        <f>IF(C62=0,0,(C62-Z62)/C62)</f>
        <v/>
      </c>
      <c r="AB62">
        <f>IF(D62=0,0,F62/D62)</f>
        <v/>
      </c>
    </row>
    <row r="63">
      <c r="F63">
        <f>D63-N63</f>
        <v/>
      </c>
      <c r="G63">
        <f>IF(N63=0,0,F63/N63)</f>
        <v/>
      </c>
      <c r="L63">
        <f>IF(H63=0,0,AB63/(H63/30))</f>
        <v/>
      </c>
      <c r="O63">
        <f>MAX(0,(30*H63/30)-AB63)</f>
        <v/>
      </c>
      <c r="P63">
        <f>N63*O63</f>
        <v/>
      </c>
      <c r="Y63">
        <f>IF(C63=0,0,(C63-X63)/C63)</f>
        <v/>
      </c>
      <c r="AA63">
        <f>IF(C63=0,0,(C63-Z63)/C63)</f>
        <v/>
      </c>
      <c r="AB63">
        <f>IF(D63=0,0,F63/D63)</f>
        <v/>
      </c>
    </row>
    <row r="64">
      <c r="F64">
        <f>D64-N64</f>
        <v/>
      </c>
      <c r="G64">
        <f>IF(N64=0,0,F64/N64)</f>
        <v/>
      </c>
      <c r="L64">
        <f>IF(H64=0,0,AB64/(H64/30))</f>
        <v/>
      </c>
      <c r="O64">
        <f>MAX(0,(30*H64/30)-AB64)</f>
        <v/>
      </c>
      <c r="P64">
        <f>N64*O64</f>
        <v/>
      </c>
      <c r="Y64">
        <f>IF(C64=0,0,(C64-X64)/C64)</f>
        <v/>
      </c>
      <c r="AA64">
        <f>IF(C64=0,0,(C64-Z64)/C64)</f>
        <v/>
      </c>
      <c r="AB64">
        <f>IF(D64=0,0,F64/D64)</f>
        <v/>
      </c>
    </row>
    <row r="65">
      <c r="F65">
        <f>D65-N65</f>
        <v/>
      </c>
      <c r="G65">
        <f>IF(N65=0,0,F65/N65)</f>
        <v/>
      </c>
      <c r="L65">
        <f>IF(H65=0,0,AB65/(H65/30))</f>
        <v/>
      </c>
      <c r="O65">
        <f>MAX(0,(30*H65/30)-AB65)</f>
        <v/>
      </c>
      <c r="P65">
        <f>N65*O65</f>
        <v/>
      </c>
      <c r="Y65">
        <f>IF(C65=0,0,(C65-X65)/C65)</f>
        <v/>
      </c>
      <c r="AA65">
        <f>IF(C65=0,0,(C65-Z65)/C65)</f>
        <v/>
      </c>
      <c r="AB65">
        <f>IF(D65=0,0,F65/D65)</f>
        <v/>
      </c>
    </row>
    <row r="66">
      <c r="F66">
        <f>D66-N66</f>
        <v/>
      </c>
      <c r="G66">
        <f>IF(N66=0,0,F66/N66)</f>
        <v/>
      </c>
      <c r="L66">
        <f>IF(H66=0,0,AB66/(H66/30))</f>
        <v/>
      </c>
      <c r="O66">
        <f>MAX(0,(30*H66/30)-AB66)</f>
        <v/>
      </c>
      <c r="P66">
        <f>N66*O66</f>
        <v/>
      </c>
      <c r="Y66">
        <f>IF(C66=0,0,(C66-X66)/C66)</f>
        <v/>
      </c>
      <c r="AA66">
        <f>IF(C66=0,0,(C66-Z66)/C66)</f>
        <v/>
      </c>
      <c r="AB66">
        <f>IF(D66=0,0,F66/D66)</f>
        <v/>
      </c>
    </row>
    <row r="67">
      <c r="F67">
        <f>D67-N67</f>
        <v/>
      </c>
      <c r="G67">
        <f>IF(N67=0,0,F67/N67)</f>
        <v/>
      </c>
      <c r="L67">
        <f>IF(H67=0,0,AB67/(H67/30))</f>
        <v/>
      </c>
      <c r="O67">
        <f>MAX(0,(30*H67/30)-AB67)</f>
        <v/>
      </c>
      <c r="P67">
        <f>N67*O67</f>
        <v/>
      </c>
      <c r="Y67">
        <f>IF(C67=0,0,(C67-X67)/C67)</f>
        <v/>
      </c>
      <c r="AA67">
        <f>IF(C67=0,0,(C67-Z67)/C67)</f>
        <v/>
      </c>
      <c r="AB67">
        <f>IF(D67=0,0,F67/D67)</f>
        <v/>
      </c>
    </row>
    <row r="68">
      <c r="F68">
        <f>D68-N68</f>
        <v/>
      </c>
      <c r="G68">
        <f>IF(N68=0,0,F68/N68)</f>
        <v/>
      </c>
      <c r="L68">
        <f>IF(H68=0,0,AB68/(H68/30))</f>
        <v/>
      </c>
      <c r="O68">
        <f>MAX(0,(30*H68/30)-AB68)</f>
        <v/>
      </c>
      <c r="P68">
        <f>N68*O68</f>
        <v/>
      </c>
      <c r="Y68">
        <f>IF(C68=0,0,(C68-X68)/C68)</f>
        <v/>
      </c>
      <c r="AA68">
        <f>IF(C68=0,0,(C68-Z68)/C68)</f>
        <v/>
      </c>
      <c r="AB68">
        <f>IF(D68=0,0,F68/D68)</f>
        <v/>
      </c>
    </row>
    <row r="69">
      <c r="F69">
        <f>D69-N69</f>
        <v/>
      </c>
      <c r="G69">
        <f>IF(N69=0,0,F69/N69)</f>
        <v/>
      </c>
      <c r="L69">
        <f>IF(H69=0,0,AB69/(H69/30))</f>
        <v/>
      </c>
      <c r="O69">
        <f>MAX(0,(30*H69/30)-AB69)</f>
        <v/>
      </c>
      <c r="P69">
        <f>N69*O69</f>
        <v/>
      </c>
      <c r="Y69">
        <f>IF(C69=0,0,(C69-X69)/C69)</f>
        <v/>
      </c>
      <c r="AA69">
        <f>IF(C69=0,0,(C69-Z69)/C69)</f>
        <v/>
      </c>
      <c r="AB69">
        <f>IF(D69=0,0,F69/D69)</f>
        <v/>
      </c>
    </row>
    <row r="70">
      <c r="F70">
        <f>D70-N70</f>
        <v/>
      </c>
      <c r="G70">
        <f>IF(N70=0,0,F70/N70)</f>
        <v/>
      </c>
      <c r="L70">
        <f>IF(H70=0,0,AB70/(H70/30))</f>
        <v/>
      </c>
      <c r="O70">
        <f>MAX(0,(30*H70/30)-AB70)</f>
        <v/>
      </c>
      <c r="P70">
        <f>N70*O70</f>
        <v/>
      </c>
      <c r="Y70">
        <f>IF(C70=0,0,(C70-X70)/C70)</f>
        <v/>
      </c>
      <c r="AA70">
        <f>IF(C70=0,0,(C70-Z70)/C70)</f>
        <v/>
      </c>
      <c r="AB70">
        <f>IF(D70=0,0,F70/D70)</f>
        <v/>
      </c>
    </row>
    <row r="71">
      <c r="F71">
        <f>D71-N71</f>
        <v/>
      </c>
      <c r="G71">
        <f>IF(N71=0,0,F71/N71)</f>
        <v/>
      </c>
      <c r="L71">
        <f>IF(H71=0,0,AB71/(H71/30))</f>
        <v/>
      </c>
      <c r="O71">
        <f>MAX(0,(30*H71/30)-AB71)</f>
        <v/>
      </c>
      <c r="P71">
        <f>N71*O71</f>
        <v/>
      </c>
      <c r="Y71">
        <f>IF(C71=0,0,(C71-X71)/C71)</f>
        <v/>
      </c>
      <c r="AA71">
        <f>IF(C71=0,0,(C71-Z71)/C71)</f>
        <v/>
      </c>
      <c r="AB71">
        <f>IF(D71=0,0,F71/D71)</f>
        <v/>
      </c>
    </row>
    <row r="72">
      <c r="F72">
        <f>D72-N72</f>
        <v/>
      </c>
      <c r="G72">
        <f>IF(N72=0,0,F72/N72)</f>
        <v/>
      </c>
      <c r="L72">
        <f>IF(H72=0,0,AB72/(H72/30))</f>
        <v/>
      </c>
      <c r="O72">
        <f>MAX(0,(30*H72/30)-AB72)</f>
        <v/>
      </c>
      <c r="P72">
        <f>N72*O72</f>
        <v/>
      </c>
      <c r="Y72">
        <f>IF(C72=0,0,(C72-X72)/C72)</f>
        <v/>
      </c>
      <c r="AA72">
        <f>IF(C72=0,0,(C72-Z72)/C72)</f>
        <v/>
      </c>
      <c r="AB72">
        <f>IF(D72=0,0,F72/D72)</f>
        <v/>
      </c>
    </row>
    <row r="73">
      <c r="F73">
        <f>D73-N73</f>
        <v/>
      </c>
      <c r="G73">
        <f>IF(N73=0,0,F73/N73)</f>
        <v/>
      </c>
      <c r="L73">
        <f>IF(H73=0,0,AB73/(H73/30))</f>
        <v/>
      </c>
      <c r="O73">
        <f>MAX(0,(30*H73/30)-AB73)</f>
        <v/>
      </c>
      <c r="P73">
        <f>N73*O73</f>
        <v/>
      </c>
      <c r="Y73">
        <f>IF(C73=0,0,(C73-X73)/C73)</f>
        <v/>
      </c>
      <c r="AA73">
        <f>IF(C73=0,0,(C73-Z73)/C73)</f>
        <v/>
      </c>
      <c r="AB73">
        <f>IF(D73=0,0,F73/D73)</f>
        <v/>
      </c>
    </row>
    <row r="74">
      <c r="F74">
        <f>D74-N74</f>
        <v/>
      </c>
      <c r="G74">
        <f>IF(N74=0,0,F74/N74)</f>
        <v/>
      </c>
      <c r="L74">
        <f>IF(H74=0,0,AB74/(H74/30))</f>
        <v/>
      </c>
      <c r="O74">
        <f>MAX(0,(30*H74/30)-AB74)</f>
        <v/>
      </c>
      <c r="P74">
        <f>N74*O74</f>
        <v/>
      </c>
      <c r="Y74">
        <f>IF(C74=0,0,(C74-X74)/C74)</f>
        <v/>
      </c>
      <c r="AA74">
        <f>IF(C74=0,0,(C74-Z74)/C74)</f>
        <v/>
      </c>
      <c r="AB74">
        <f>IF(D74=0,0,F74/D74)</f>
        <v/>
      </c>
    </row>
    <row r="75">
      <c r="F75">
        <f>D75-N75</f>
        <v/>
      </c>
      <c r="G75">
        <f>IF(N75=0,0,F75/N75)</f>
        <v/>
      </c>
      <c r="L75">
        <f>IF(H75=0,0,AB75/(H75/30))</f>
        <v/>
      </c>
      <c r="O75">
        <f>MAX(0,(30*H75/30)-AB75)</f>
        <v/>
      </c>
      <c r="P75">
        <f>N75*O75</f>
        <v/>
      </c>
      <c r="Y75">
        <f>IF(C75=0,0,(C75-X75)/C75)</f>
        <v/>
      </c>
      <c r="AA75">
        <f>IF(C75=0,0,(C75-Z75)/C75)</f>
        <v/>
      </c>
      <c r="AB75">
        <f>IF(D75=0,0,F75/D75)</f>
        <v/>
      </c>
    </row>
    <row r="76">
      <c r="F76">
        <f>D76-N76</f>
        <v/>
      </c>
      <c r="G76">
        <f>IF(N76=0,0,F76/N76)</f>
        <v/>
      </c>
      <c r="L76">
        <f>IF(H76=0,0,AB76/(H76/30))</f>
        <v/>
      </c>
      <c r="O76">
        <f>MAX(0,(30*H76/30)-AB76)</f>
        <v/>
      </c>
      <c r="P76">
        <f>N76*O76</f>
        <v/>
      </c>
      <c r="Y76">
        <f>IF(C76=0,0,(C76-X76)/C76)</f>
        <v/>
      </c>
      <c r="AA76">
        <f>IF(C76=0,0,(C76-Z76)/C76)</f>
        <v/>
      </c>
      <c r="AB76">
        <f>IF(D76=0,0,F76/D76)</f>
        <v/>
      </c>
    </row>
    <row r="77">
      <c r="F77">
        <f>D77-N77</f>
        <v/>
      </c>
      <c r="G77">
        <f>IF(N77=0,0,F77/N77)</f>
        <v/>
      </c>
      <c r="L77">
        <f>IF(H77=0,0,AB77/(H77/30))</f>
        <v/>
      </c>
      <c r="O77">
        <f>MAX(0,(30*H77/30)-AB77)</f>
        <v/>
      </c>
      <c r="P77">
        <f>N77*O77</f>
        <v/>
      </c>
      <c r="Y77">
        <f>IF(C77=0,0,(C77-X77)/C77)</f>
        <v/>
      </c>
      <c r="AA77">
        <f>IF(C77=0,0,(C77-Z77)/C77)</f>
        <v/>
      </c>
      <c r="AB77">
        <f>IF(D77=0,0,F77/D77)</f>
        <v/>
      </c>
    </row>
    <row r="78">
      <c r="F78">
        <f>D78-N78</f>
        <v/>
      </c>
      <c r="G78">
        <f>IF(N78=0,0,F78/N78)</f>
        <v/>
      </c>
      <c r="L78">
        <f>IF(H78=0,0,AB78/(H78/30))</f>
        <v/>
      </c>
      <c r="O78">
        <f>MAX(0,(30*H78/30)-AB78)</f>
        <v/>
      </c>
      <c r="P78">
        <f>N78*O78</f>
        <v/>
      </c>
      <c r="Y78">
        <f>IF(C78=0,0,(C78-X78)/C78)</f>
        <v/>
      </c>
      <c r="AA78">
        <f>IF(C78=0,0,(C78-Z78)/C78)</f>
        <v/>
      </c>
      <c r="AB78">
        <f>IF(D78=0,0,F78/D78)</f>
        <v/>
      </c>
    </row>
    <row r="79">
      <c r="F79">
        <f>D79-N79</f>
        <v/>
      </c>
      <c r="G79">
        <f>IF(N79=0,0,F79/N79)</f>
        <v/>
      </c>
      <c r="L79">
        <f>IF(H79=0,0,AB79/(H79/30))</f>
        <v/>
      </c>
      <c r="O79">
        <f>MAX(0,(30*H79/30)-AB79)</f>
        <v/>
      </c>
      <c r="P79">
        <f>N79*O79</f>
        <v/>
      </c>
      <c r="Y79">
        <f>IF(C79=0,0,(C79-X79)/C79)</f>
        <v/>
      </c>
      <c r="AA79">
        <f>IF(C79=0,0,(C79-Z79)/C79)</f>
        <v/>
      </c>
      <c r="AB79">
        <f>IF(D79=0,0,F79/D79)</f>
        <v/>
      </c>
    </row>
    <row r="80">
      <c r="F80">
        <f>D80-N80</f>
        <v/>
      </c>
      <c r="G80">
        <f>IF(N80=0,0,F80/N80)</f>
        <v/>
      </c>
      <c r="L80">
        <f>IF(H80=0,0,AB80/(H80/30))</f>
        <v/>
      </c>
      <c r="O80">
        <f>MAX(0,(30*H80/30)-AB80)</f>
        <v/>
      </c>
      <c r="P80">
        <f>N80*O80</f>
        <v/>
      </c>
      <c r="Y80">
        <f>IF(C80=0,0,(C80-X80)/C80)</f>
        <v/>
      </c>
      <c r="AA80">
        <f>IF(C80=0,0,(C80-Z80)/C80)</f>
        <v/>
      </c>
      <c r="AB80">
        <f>IF(D80=0,0,F80/D80)</f>
        <v/>
      </c>
    </row>
    <row r="81">
      <c r="F81">
        <f>D81-N81</f>
        <v/>
      </c>
      <c r="G81">
        <f>IF(N81=0,0,F81/N81)</f>
        <v/>
      </c>
      <c r="L81">
        <f>IF(H81=0,0,AB81/(H81/30))</f>
        <v/>
      </c>
      <c r="O81">
        <f>MAX(0,(30*H81/30)-AB81)</f>
        <v/>
      </c>
      <c r="P81">
        <f>N81*O81</f>
        <v/>
      </c>
      <c r="Y81">
        <f>IF(C81=0,0,(C81-X81)/C81)</f>
        <v/>
      </c>
      <c r="AA81">
        <f>IF(C81=0,0,(C81-Z81)/C81)</f>
        <v/>
      </c>
      <c r="AB81">
        <f>IF(D81=0,0,F81/D81)</f>
        <v/>
      </c>
    </row>
    <row r="82">
      <c r="F82">
        <f>D82-N82</f>
        <v/>
      </c>
      <c r="G82">
        <f>IF(N82=0,0,F82/N82)</f>
        <v/>
      </c>
      <c r="L82">
        <f>IF(H82=0,0,AB82/(H82/30))</f>
        <v/>
      </c>
      <c r="O82">
        <f>MAX(0,(30*H82/30)-AB82)</f>
        <v/>
      </c>
      <c r="P82">
        <f>N82*O82</f>
        <v/>
      </c>
      <c r="Y82">
        <f>IF(C82=0,0,(C82-X82)/C82)</f>
        <v/>
      </c>
      <c r="AA82">
        <f>IF(C82=0,0,(C82-Z82)/C82)</f>
        <v/>
      </c>
      <c r="AB82">
        <f>IF(D82=0,0,F82/D82)</f>
        <v/>
      </c>
    </row>
    <row r="83">
      <c r="F83">
        <f>D83-N83</f>
        <v/>
      </c>
      <c r="G83">
        <f>IF(N83=0,0,F83/N83)</f>
        <v/>
      </c>
      <c r="L83">
        <f>IF(H83=0,0,AB83/(H83/30))</f>
        <v/>
      </c>
      <c r="O83">
        <f>MAX(0,(30*H83/30)-AB83)</f>
        <v/>
      </c>
      <c r="P83">
        <f>N83*O83</f>
        <v/>
      </c>
      <c r="Y83">
        <f>IF(C83=0,0,(C83-X83)/C83)</f>
        <v/>
      </c>
      <c r="AA83">
        <f>IF(C83=0,0,(C83-Z83)/C83)</f>
        <v/>
      </c>
      <c r="AB83">
        <f>IF(D83=0,0,F83/D83)</f>
        <v/>
      </c>
    </row>
    <row r="84">
      <c r="F84">
        <f>D84-N84</f>
        <v/>
      </c>
      <c r="G84">
        <f>IF(N84=0,0,F84/N84)</f>
        <v/>
      </c>
      <c r="L84">
        <f>IF(H84=0,0,AB84/(H84/30))</f>
        <v/>
      </c>
      <c r="O84">
        <f>MAX(0,(30*H84/30)-AB84)</f>
        <v/>
      </c>
      <c r="P84">
        <f>N84*O84</f>
        <v/>
      </c>
      <c r="Y84">
        <f>IF(C84=0,0,(C84-X84)/C84)</f>
        <v/>
      </c>
      <c r="AA84">
        <f>IF(C84=0,0,(C84-Z84)/C84)</f>
        <v/>
      </c>
      <c r="AB84">
        <f>IF(D84=0,0,F84/D84)</f>
        <v/>
      </c>
    </row>
    <row r="85">
      <c r="F85">
        <f>D85-N85</f>
        <v/>
      </c>
      <c r="G85">
        <f>IF(N85=0,0,F85/N85)</f>
        <v/>
      </c>
      <c r="L85">
        <f>IF(H85=0,0,AB85/(H85/30))</f>
        <v/>
      </c>
      <c r="O85">
        <f>MAX(0,(30*H85/30)-AB85)</f>
        <v/>
      </c>
      <c r="P85">
        <f>N85*O85</f>
        <v/>
      </c>
      <c r="Y85">
        <f>IF(C85=0,0,(C85-X85)/C85)</f>
        <v/>
      </c>
      <c r="AA85">
        <f>IF(C85=0,0,(C85-Z85)/C85)</f>
        <v/>
      </c>
      <c r="AB85">
        <f>IF(D85=0,0,F85/D85)</f>
        <v/>
      </c>
    </row>
    <row r="86">
      <c r="F86">
        <f>D86-N86</f>
        <v/>
      </c>
      <c r="G86">
        <f>IF(N86=0,0,F86/N86)</f>
        <v/>
      </c>
      <c r="L86">
        <f>IF(H86=0,0,AB86/(H86/30))</f>
        <v/>
      </c>
      <c r="O86">
        <f>MAX(0,(30*H86/30)-AB86)</f>
        <v/>
      </c>
      <c r="P86">
        <f>N86*O86</f>
        <v/>
      </c>
      <c r="Y86">
        <f>IF(C86=0,0,(C86-X86)/C86)</f>
        <v/>
      </c>
      <c r="AA86">
        <f>IF(C86=0,0,(C86-Z86)/C86)</f>
        <v/>
      </c>
      <c r="AB86">
        <f>IF(D86=0,0,F86/D86)</f>
        <v/>
      </c>
    </row>
    <row r="87">
      <c r="F87">
        <f>D87-N87</f>
        <v/>
      </c>
      <c r="G87">
        <f>IF(N87=0,0,F87/N87)</f>
        <v/>
      </c>
      <c r="L87">
        <f>IF(H87=0,0,AB87/(H87/30))</f>
        <v/>
      </c>
      <c r="O87">
        <f>MAX(0,(30*H87/30)-AB87)</f>
        <v/>
      </c>
      <c r="P87">
        <f>N87*O87</f>
        <v/>
      </c>
      <c r="Y87">
        <f>IF(C87=0,0,(C87-X87)/C87)</f>
        <v/>
      </c>
      <c r="AA87">
        <f>IF(C87=0,0,(C87-Z87)/C87)</f>
        <v/>
      </c>
      <c r="AB87">
        <f>IF(D87=0,0,F87/D87)</f>
        <v/>
      </c>
    </row>
    <row r="88">
      <c r="F88">
        <f>D88-N88</f>
        <v/>
      </c>
      <c r="G88">
        <f>IF(N88=0,0,F88/N88)</f>
        <v/>
      </c>
      <c r="L88">
        <f>IF(H88=0,0,AB88/(H88/30))</f>
        <v/>
      </c>
      <c r="O88">
        <f>MAX(0,(30*H88/30)-AB88)</f>
        <v/>
      </c>
      <c r="P88">
        <f>N88*O88</f>
        <v/>
      </c>
      <c r="Y88">
        <f>IF(C88=0,0,(C88-X88)/C88)</f>
        <v/>
      </c>
      <c r="AA88">
        <f>IF(C88=0,0,(C88-Z88)/C88)</f>
        <v/>
      </c>
      <c r="AB88">
        <f>IF(D88=0,0,F88/D88)</f>
        <v/>
      </c>
    </row>
    <row r="89">
      <c r="F89">
        <f>D89-N89</f>
        <v/>
      </c>
      <c r="G89">
        <f>IF(N89=0,0,F89/N89)</f>
        <v/>
      </c>
      <c r="L89">
        <f>IF(H89=0,0,AB89/(H89/30))</f>
        <v/>
      </c>
      <c r="O89">
        <f>MAX(0,(30*H89/30)-AB89)</f>
        <v/>
      </c>
      <c r="P89">
        <f>N89*O89</f>
        <v/>
      </c>
      <c r="Y89">
        <f>IF(C89=0,0,(C89-X89)/C89)</f>
        <v/>
      </c>
      <c r="AA89">
        <f>IF(C89=0,0,(C89-Z89)/C89)</f>
        <v/>
      </c>
      <c r="AB89">
        <f>IF(D89=0,0,F89/D89)</f>
        <v/>
      </c>
    </row>
    <row r="90">
      <c r="F90">
        <f>D90-N90</f>
        <v/>
      </c>
      <c r="G90">
        <f>IF(N90=0,0,F90/N90)</f>
        <v/>
      </c>
      <c r="L90">
        <f>IF(H90=0,0,AB90/(H90/30))</f>
        <v/>
      </c>
      <c r="O90">
        <f>MAX(0,(30*H90/30)-AB90)</f>
        <v/>
      </c>
      <c r="P90">
        <f>N90*O90</f>
        <v/>
      </c>
      <c r="Y90">
        <f>IF(C90=0,0,(C90-X90)/C90)</f>
        <v/>
      </c>
      <c r="AA90">
        <f>IF(C90=0,0,(C90-Z90)/C90)</f>
        <v/>
      </c>
      <c r="AB90">
        <f>IF(D90=0,0,F90/D90)</f>
        <v/>
      </c>
    </row>
    <row r="91">
      <c r="F91">
        <f>D91-N91</f>
        <v/>
      </c>
      <c r="G91">
        <f>IF(N91=0,0,F91/N91)</f>
        <v/>
      </c>
      <c r="L91">
        <f>IF(H91=0,0,AB91/(H91/30))</f>
        <v/>
      </c>
      <c r="O91">
        <f>MAX(0,(30*H91/30)-AB91)</f>
        <v/>
      </c>
      <c r="P91">
        <f>N91*O91</f>
        <v/>
      </c>
      <c r="Y91">
        <f>IF(C91=0,0,(C91-X91)/C91)</f>
        <v/>
      </c>
      <c r="AA91">
        <f>IF(C91=0,0,(C91-Z91)/C91)</f>
        <v/>
      </c>
      <c r="AB91">
        <f>IF(D91=0,0,F91/D91)</f>
        <v/>
      </c>
    </row>
    <row r="92">
      <c r="F92">
        <f>D92-N92</f>
        <v/>
      </c>
      <c r="G92">
        <f>IF(N92=0,0,F92/N92)</f>
        <v/>
      </c>
      <c r="L92">
        <f>IF(H92=0,0,AB92/(H92/30))</f>
        <v/>
      </c>
      <c r="O92">
        <f>MAX(0,(30*H92/30)-AB92)</f>
        <v/>
      </c>
      <c r="P92">
        <f>N92*O92</f>
        <v/>
      </c>
      <c r="Y92">
        <f>IF(C92=0,0,(C92-X92)/C92)</f>
        <v/>
      </c>
      <c r="AA92">
        <f>IF(C92=0,0,(C92-Z92)/C92)</f>
        <v/>
      </c>
      <c r="AB92">
        <f>IF(D92=0,0,F92/D92)</f>
        <v/>
      </c>
    </row>
    <row r="93">
      <c r="F93">
        <f>D93-N93</f>
        <v/>
      </c>
      <c r="G93">
        <f>IF(N93=0,0,F93/N93)</f>
        <v/>
      </c>
      <c r="L93">
        <f>IF(H93=0,0,AB93/(H93/30))</f>
        <v/>
      </c>
      <c r="O93">
        <f>MAX(0,(30*H93/30)-AB93)</f>
        <v/>
      </c>
      <c r="P93">
        <f>N93*O93</f>
        <v/>
      </c>
      <c r="Y93">
        <f>IF(C93=0,0,(C93-X93)/C93)</f>
        <v/>
      </c>
      <c r="AA93">
        <f>IF(C93=0,0,(C93-Z93)/C93)</f>
        <v/>
      </c>
      <c r="AB93">
        <f>IF(D93=0,0,F93/D93)</f>
        <v/>
      </c>
    </row>
    <row r="94">
      <c r="F94">
        <f>D94-N94</f>
        <v/>
      </c>
      <c r="G94">
        <f>IF(N94=0,0,F94/N94)</f>
        <v/>
      </c>
      <c r="L94">
        <f>IF(H94=0,0,AB94/(H94/30))</f>
        <v/>
      </c>
      <c r="O94">
        <f>MAX(0,(30*H94/30)-AB94)</f>
        <v/>
      </c>
      <c r="P94">
        <f>N94*O94</f>
        <v/>
      </c>
      <c r="Y94">
        <f>IF(C94=0,0,(C94-X94)/C94)</f>
        <v/>
      </c>
      <c r="AA94">
        <f>IF(C94=0,0,(C94-Z94)/C94)</f>
        <v/>
      </c>
      <c r="AB94">
        <f>IF(D94=0,0,F94/D94)</f>
        <v/>
      </c>
    </row>
    <row r="95">
      <c r="F95">
        <f>D95-N95</f>
        <v/>
      </c>
      <c r="G95">
        <f>IF(N95=0,0,F95/N95)</f>
        <v/>
      </c>
      <c r="L95">
        <f>IF(H95=0,0,AB95/(H95/30))</f>
        <v/>
      </c>
      <c r="O95">
        <f>MAX(0,(30*H95/30)-AB95)</f>
        <v/>
      </c>
      <c r="P95">
        <f>N95*O95</f>
        <v/>
      </c>
      <c r="Y95">
        <f>IF(C95=0,0,(C95-X95)/C95)</f>
        <v/>
      </c>
      <c r="AA95">
        <f>IF(C95=0,0,(C95-Z95)/C95)</f>
        <v/>
      </c>
      <c r="AB95">
        <f>IF(D95=0,0,F95/D95)</f>
        <v/>
      </c>
    </row>
    <row r="96">
      <c r="F96">
        <f>D96-N96</f>
        <v/>
      </c>
      <c r="G96">
        <f>IF(N96=0,0,F96/N96)</f>
        <v/>
      </c>
      <c r="L96">
        <f>IF(H96=0,0,AB96/(H96/30))</f>
        <v/>
      </c>
      <c r="O96">
        <f>MAX(0,(30*H96/30)-AB96)</f>
        <v/>
      </c>
      <c r="P96">
        <f>N96*O96</f>
        <v/>
      </c>
      <c r="Y96">
        <f>IF(C96=0,0,(C96-X96)/C96)</f>
        <v/>
      </c>
      <c r="AA96">
        <f>IF(C96=0,0,(C96-Z96)/C96)</f>
        <v/>
      </c>
      <c r="AB96">
        <f>IF(D96=0,0,F96/D96)</f>
        <v/>
      </c>
    </row>
    <row r="97">
      <c r="F97">
        <f>D97-N97</f>
        <v/>
      </c>
      <c r="G97">
        <f>IF(N97=0,0,F97/N97)</f>
        <v/>
      </c>
      <c r="L97">
        <f>IF(H97=0,0,AB97/(H97/30))</f>
        <v/>
      </c>
      <c r="O97">
        <f>MAX(0,(30*H97/30)-AB97)</f>
        <v/>
      </c>
      <c r="P97">
        <f>N97*O97</f>
        <v/>
      </c>
      <c r="Y97">
        <f>IF(C97=0,0,(C97-X97)/C97)</f>
        <v/>
      </c>
      <c r="AA97">
        <f>IF(C97=0,0,(C97-Z97)/C97)</f>
        <v/>
      </c>
      <c r="AB97">
        <f>IF(D97=0,0,F97/D97)</f>
        <v/>
      </c>
    </row>
    <row r="98">
      <c r="F98">
        <f>D98-N98</f>
        <v/>
      </c>
      <c r="G98">
        <f>IF(N98=0,0,F98/N98)</f>
        <v/>
      </c>
      <c r="L98">
        <f>IF(H98=0,0,AB98/(H98/30))</f>
        <v/>
      </c>
      <c r="O98">
        <f>MAX(0,(30*H98/30)-AB98)</f>
        <v/>
      </c>
      <c r="P98">
        <f>N98*O98</f>
        <v/>
      </c>
      <c r="Y98">
        <f>IF(C98=0,0,(C98-X98)/C98)</f>
        <v/>
      </c>
      <c r="AA98">
        <f>IF(C98=0,0,(C98-Z98)/C98)</f>
        <v/>
      </c>
      <c r="AB98">
        <f>IF(D98=0,0,F98/D98)</f>
        <v/>
      </c>
    </row>
    <row r="99">
      <c r="F99">
        <f>D99-N99</f>
        <v/>
      </c>
      <c r="G99">
        <f>IF(N99=0,0,F99/N99)</f>
        <v/>
      </c>
      <c r="L99">
        <f>IF(H99=0,0,AB99/(H99/30))</f>
        <v/>
      </c>
      <c r="O99">
        <f>MAX(0,(30*H99/30)-AB99)</f>
        <v/>
      </c>
      <c r="P99">
        <f>N99*O99</f>
        <v/>
      </c>
      <c r="Y99">
        <f>IF(C99=0,0,(C99-X99)/C99)</f>
        <v/>
      </c>
      <c r="AA99">
        <f>IF(C99=0,0,(C99-Z99)/C99)</f>
        <v/>
      </c>
      <c r="AB99">
        <f>IF(D99=0,0,F99/D99)</f>
        <v/>
      </c>
    </row>
    <row r="100">
      <c r="F100">
        <f>D100-N100</f>
        <v/>
      </c>
      <c r="G100">
        <f>IF(N100=0,0,F100/N100)</f>
        <v/>
      </c>
      <c r="L100">
        <f>IF(H100=0,0,AB100/(H100/30))</f>
        <v/>
      </c>
      <c r="O100">
        <f>MAX(0,(30*H100/30)-AB100)</f>
        <v/>
      </c>
      <c r="P100">
        <f>N100*O100</f>
        <v/>
      </c>
      <c r="Y100">
        <f>IF(C100=0,0,(C100-X100)/C100)</f>
        <v/>
      </c>
      <c r="AA100">
        <f>IF(C100=0,0,(C100-Z100)/C100)</f>
        <v/>
      </c>
      <c r="AB100">
        <f>IF(D100=0,0,F100/D100)</f>
        <v/>
      </c>
    </row>
    <row r="101">
      <c r="F101">
        <f>D101-N101</f>
        <v/>
      </c>
      <c r="G101">
        <f>IF(N101=0,0,F101/N101)</f>
        <v/>
      </c>
      <c r="L101">
        <f>IF(H101=0,0,AB101/(H101/30))</f>
        <v/>
      </c>
      <c r="O101">
        <f>MAX(0,(30*H101/30)-AB101)</f>
        <v/>
      </c>
      <c r="P101">
        <f>N101*O101</f>
        <v/>
      </c>
      <c r="Y101">
        <f>IF(C101=0,0,(C101-X101)/C101)</f>
        <v/>
      </c>
      <c r="AA101">
        <f>IF(C101=0,0,(C101-Z101)/C101)</f>
        <v/>
      </c>
      <c r="AB101">
        <f>IF(D101=0,0,F101/D101)</f>
        <v/>
      </c>
    </row>
    <row r="102">
      <c r="F102">
        <f>D102-N102</f>
        <v/>
      </c>
      <c r="G102">
        <f>IF(N102=0,0,F102/N102)</f>
        <v/>
      </c>
      <c r="L102">
        <f>IF(H102=0,0,AB102/(H102/30))</f>
        <v/>
      </c>
      <c r="O102">
        <f>MAX(0,(30*H102/30)-AB102)</f>
        <v/>
      </c>
      <c r="P102">
        <f>N102*O102</f>
        <v/>
      </c>
      <c r="Y102">
        <f>IF(C102=0,0,(C102-X102)/C102)</f>
        <v/>
      </c>
      <c r="AA102">
        <f>IF(C102=0,0,(C102-Z102)/C102)</f>
        <v/>
      </c>
      <c r="AB102">
        <f>IF(D102=0,0,F102/D102)</f>
        <v/>
      </c>
    </row>
    <row r="103">
      <c r="F103">
        <f>D103-N103</f>
        <v/>
      </c>
      <c r="G103">
        <f>IF(N103=0,0,F103/N103)</f>
        <v/>
      </c>
      <c r="L103">
        <f>IF(H103=0,0,AB103/(H103/30))</f>
        <v/>
      </c>
      <c r="O103">
        <f>MAX(0,(30*H103/30)-AB103)</f>
        <v/>
      </c>
      <c r="P103">
        <f>N103*O103</f>
        <v/>
      </c>
      <c r="Y103">
        <f>IF(C103=0,0,(C103-X103)/C103)</f>
        <v/>
      </c>
      <c r="AA103">
        <f>IF(C103=0,0,(C103-Z103)/C103)</f>
        <v/>
      </c>
      <c r="AB103">
        <f>IF(D103=0,0,F103/D103)</f>
        <v/>
      </c>
    </row>
    <row r="104">
      <c r="F104">
        <f>D104-N104</f>
        <v/>
      </c>
      <c r="G104">
        <f>IF(N104=0,0,F104/N104)</f>
        <v/>
      </c>
      <c r="L104">
        <f>IF(H104=0,0,AB104/(H104/30))</f>
        <v/>
      </c>
      <c r="O104">
        <f>MAX(0,(30*H104/30)-AB104)</f>
        <v/>
      </c>
      <c r="P104">
        <f>N104*O104</f>
        <v/>
      </c>
      <c r="Y104">
        <f>IF(C104=0,0,(C104-X104)/C104)</f>
        <v/>
      </c>
      <c r="AA104">
        <f>IF(C104=0,0,(C104-Z104)/C104)</f>
        <v/>
      </c>
      <c r="AB104">
        <f>IF(D104=0,0,F104/D104)</f>
        <v/>
      </c>
    </row>
    <row r="105">
      <c r="F105">
        <f>D105-N105</f>
        <v/>
      </c>
      <c r="G105">
        <f>IF(N105=0,0,F105/N105)</f>
        <v/>
      </c>
      <c r="L105">
        <f>IF(H105=0,0,AB105/(H105/30))</f>
        <v/>
      </c>
      <c r="O105">
        <f>MAX(0,(30*H105/30)-AB105)</f>
        <v/>
      </c>
      <c r="P105">
        <f>N105*O105</f>
        <v/>
      </c>
      <c r="Y105">
        <f>IF(C105=0,0,(C105-X105)/C105)</f>
        <v/>
      </c>
      <c r="AA105">
        <f>IF(C105=0,0,(C105-Z105)/C105)</f>
        <v/>
      </c>
      <c r="AB105">
        <f>IF(D105=0,0,F105/D105)</f>
        <v/>
      </c>
    </row>
    <row r="106">
      <c r="F106">
        <f>D106-N106</f>
        <v/>
      </c>
      <c r="G106">
        <f>IF(N106=0,0,F106/N106)</f>
        <v/>
      </c>
      <c r="L106">
        <f>IF(H106=0,0,AB106/(H106/30))</f>
        <v/>
      </c>
      <c r="O106">
        <f>MAX(0,(30*H106/30)-AB106)</f>
        <v/>
      </c>
      <c r="P106">
        <f>N106*O106</f>
        <v/>
      </c>
      <c r="Y106">
        <f>IF(C106=0,0,(C106-X106)/C106)</f>
        <v/>
      </c>
      <c r="AA106">
        <f>IF(C106=0,0,(C106-Z106)/C106)</f>
        <v/>
      </c>
      <c r="AB106">
        <f>IF(D106=0,0,F106/D106)</f>
        <v/>
      </c>
    </row>
    <row r="107">
      <c r="F107">
        <f>D107-N107</f>
        <v/>
      </c>
      <c r="G107">
        <f>IF(N107=0,0,F107/N107)</f>
        <v/>
      </c>
      <c r="L107">
        <f>IF(H107=0,0,AB107/(H107/30))</f>
        <v/>
      </c>
      <c r="O107">
        <f>MAX(0,(30*H107/30)-AB107)</f>
        <v/>
      </c>
      <c r="P107">
        <f>N107*O107</f>
        <v/>
      </c>
      <c r="Y107">
        <f>IF(C107=0,0,(C107-X107)/C107)</f>
        <v/>
      </c>
      <c r="AA107">
        <f>IF(C107=0,0,(C107-Z107)/C107)</f>
        <v/>
      </c>
      <c r="AB107">
        <f>IF(D107=0,0,F107/D107)</f>
        <v/>
      </c>
    </row>
    <row r="108">
      <c r="F108">
        <f>D108-N108</f>
        <v/>
      </c>
      <c r="G108">
        <f>IF(N108=0,0,F108/N108)</f>
        <v/>
      </c>
      <c r="L108">
        <f>IF(H108=0,0,AB108/(H108/30))</f>
        <v/>
      </c>
      <c r="O108">
        <f>MAX(0,(30*H108/30)-AB108)</f>
        <v/>
      </c>
      <c r="P108">
        <f>N108*O108</f>
        <v/>
      </c>
      <c r="Y108">
        <f>IF(C108=0,0,(C108-X108)/C108)</f>
        <v/>
      </c>
      <c r="AA108">
        <f>IF(C108=0,0,(C108-Z108)/C108)</f>
        <v/>
      </c>
      <c r="AB108">
        <f>IF(D108=0,0,F108/D108)</f>
        <v/>
      </c>
    </row>
    <row r="109">
      <c r="F109">
        <f>D109-N109</f>
        <v/>
      </c>
      <c r="G109">
        <f>IF(N109=0,0,F109/N109)</f>
        <v/>
      </c>
      <c r="L109">
        <f>IF(H109=0,0,AB109/(H109/30))</f>
        <v/>
      </c>
      <c r="O109">
        <f>MAX(0,(30*H109/30)-AB109)</f>
        <v/>
      </c>
      <c r="P109">
        <f>N109*O109</f>
        <v/>
      </c>
      <c r="Y109">
        <f>IF(C109=0,0,(C109-X109)/C109)</f>
        <v/>
      </c>
      <c r="AA109">
        <f>IF(C109=0,0,(C109-Z109)/C109)</f>
        <v/>
      </c>
      <c r="AB109">
        <f>IF(D109=0,0,F109/D109)</f>
        <v/>
      </c>
    </row>
    <row r="110">
      <c r="F110">
        <f>D110-N110</f>
        <v/>
      </c>
      <c r="G110">
        <f>IF(N110=0,0,F110/N110)</f>
        <v/>
      </c>
      <c r="L110">
        <f>IF(H110=0,0,AB110/(H110/30))</f>
        <v/>
      </c>
      <c r="O110">
        <f>MAX(0,(30*H110/30)-AB110)</f>
        <v/>
      </c>
      <c r="P110">
        <f>N110*O110</f>
        <v/>
      </c>
      <c r="Y110">
        <f>IF(C110=0,0,(C110-X110)/C110)</f>
        <v/>
      </c>
      <c r="AA110">
        <f>IF(C110=0,0,(C110-Z110)/C110)</f>
        <v/>
      </c>
      <c r="AB110">
        <f>IF(D110=0,0,F110/D110)</f>
        <v/>
      </c>
    </row>
    <row r="111">
      <c r="F111">
        <f>D111-N111</f>
        <v/>
      </c>
      <c r="G111">
        <f>IF(N111=0,0,F111/N111)</f>
        <v/>
      </c>
      <c r="L111">
        <f>IF(H111=0,0,AB111/(H111/30))</f>
        <v/>
      </c>
      <c r="O111">
        <f>MAX(0,(30*H111/30)-AB111)</f>
        <v/>
      </c>
      <c r="P111">
        <f>N111*O111</f>
        <v/>
      </c>
      <c r="Y111">
        <f>IF(C111=0,0,(C111-X111)/C111)</f>
        <v/>
      </c>
      <c r="AA111">
        <f>IF(C111=0,0,(C111-Z111)/C111)</f>
        <v/>
      </c>
      <c r="AB111">
        <f>IF(D111=0,0,F111/D111)</f>
        <v/>
      </c>
    </row>
    <row r="112">
      <c r="F112">
        <f>D112-N112</f>
        <v/>
      </c>
      <c r="G112">
        <f>IF(N112=0,0,F112/N112)</f>
        <v/>
      </c>
      <c r="L112">
        <f>IF(H112=0,0,AB112/(H112/30))</f>
        <v/>
      </c>
      <c r="O112">
        <f>MAX(0,(30*H112/30)-AB112)</f>
        <v/>
      </c>
      <c r="P112">
        <f>N112*O112</f>
        <v/>
      </c>
      <c r="Y112">
        <f>IF(C112=0,0,(C112-X112)/C112)</f>
        <v/>
      </c>
      <c r="AA112">
        <f>IF(C112=0,0,(C112-Z112)/C112)</f>
        <v/>
      </c>
      <c r="AB112">
        <f>IF(D112=0,0,F112/D112)</f>
        <v/>
      </c>
    </row>
    <row r="113">
      <c r="F113">
        <f>D113-N113</f>
        <v/>
      </c>
      <c r="G113">
        <f>IF(N113=0,0,F113/N113)</f>
        <v/>
      </c>
      <c r="L113">
        <f>IF(H113=0,0,AB113/(H113/30))</f>
        <v/>
      </c>
      <c r="O113">
        <f>MAX(0,(30*H113/30)-AB113)</f>
        <v/>
      </c>
      <c r="P113">
        <f>N113*O113</f>
        <v/>
      </c>
      <c r="Y113">
        <f>IF(C113=0,0,(C113-X113)/C113)</f>
        <v/>
      </c>
      <c r="AA113">
        <f>IF(C113=0,0,(C113-Z113)/C113)</f>
        <v/>
      </c>
      <c r="AB113">
        <f>IF(D113=0,0,F113/D113)</f>
        <v/>
      </c>
    </row>
    <row r="114">
      <c r="F114">
        <f>D114-N114</f>
        <v/>
      </c>
      <c r="G114">
        <f>IF(N114=0,0,F114/N114)</f>
        <v/>
      </c>
      <c r="L114">
        <f>IF(H114=0,0,AB114/(H114/30))</f>
        <v/>
      </c>
      <c r="O114">
        <f>MAX(0,(30*H114/30)-AB114)</f>
        <v/>
      </c>
      <c r="P114">
        <f>N114*O114</f>
        <v/>
      </c>
      <c r="Y114">
        <f>IF(C114=0,0,(C114-X114)/C114)</f>
        <v/>
      </c>
      <c r="AA114">
        <f>IF(C114=0,0,(C114-Z114)/C114)</f>
        <v/>
      </c>
      <c r="AB114">
        <f>IF(D114=0,0,F114/D114)</f>
        <v/>
      </c>
    </row>
    <row r="115">
      <c r="F115">
        <f>D115-N115</f>
        <v/>
      </c>
      <c r="G115">
        <f>IF(N115=0,0,F115/N115)</f>
        <v/>
      </c>
      <c r="L115">
        <f>IF(H115=0,0,AB115/(H115/30))</f>
        <v/>
      </c>
      <c r="O115">
        <f>MAX(0,(30*H115/30)-AB115)</f>
        <v/>
      </c>
      <c r="P115">
        <f>N115*O115</f>
        <v/>
      </c>
      <c r="Y115">
        <f>IF(C115=0,0,(C115-X115)/C115)</f>
        <v/>
      </c>
      <c r="AA115">
        <f>IF(C115=0,0,(C115-Z115)/C115)</f>
        <v/>
      </c>
      <c r="AB115">
        <f>IF(D115=0,0,F115/D115)</f>
        <v/>
      </c>
    </row>
    <row r="116">
      <c r="F116">
        <f>D116-N116</f>
        <v/>
      </c>
      <c r="G116">
        <f>IF(N116=0,0,F116/N116)</f>
        <v/>
      </c>
      <c r="L116">
        <f>IF(H116=0,0,AB116/(H116/30))</f>
        <v/>
      </c>
      <c r="O116">
        <f>MAX(0,(30*H116/30)-AB116)</f>
        <v/>
      </c>
      <c r="P116">
        <f>N116*O116</f>
        <v/>
      </c>
      <c r="Y116">
        <f>IF(C116=0,0,(C116-X116)/C116)</f>
        <v/>
      </c>
      <c r="AA116">
        <f>IF(C116=0,0,(C116-Z116)/C116)</f>
        <v/>
      </c>
      <c r="AB116">
        <f>IF(D116=0,0,F116/D116)</f>
        <v/>
      </c>
    </row>
    <row r="117">
      <c r="F117">
        <f>D117-N117</f>
        <v/>
      </c>
      <c r="G117">
        <f>IF(N117=0,0,F117/N117)</f>
        <v/>
      </c>
      <c r="L117">
        <f>IF(H117=0,0,AB117/(H117/30))</f>
        <v/>
      </c>
      <c r="O117">
        <f>MAX(0,(30*H117/30)-AB117)</f>
        <v/>
      </c>
      <c r="P117">
        <f>N117*O117</f>
        <v/>
      </c>
      <c r="Y117">
        <f>IF(C117=0,0,(C117-X117)/C117)</f>
        <v/>
      </c>
      <c r="AA117">
        <f>IF(C117=0,0,(C117-Z117)/C117)</f>
        <v/>
      </c>
      <c r="AB117">
        <f>IF(D117=0,0,F117/D117)</f>
        <v/>
      </c>
    </row>
    <row r="118">
      <c r="F118">
        <f>D118-N118</f>
        <v/>
      </c>
      <c r="G118">
        <f>IF(N118=0,0,F118/N118)</f>
        <v/>
      </c>
      <c r="L118">
        <f>IF(H118=0,0,AB118/(H118/30))</f>
        <v/>
      </c>
      <c r="O118">
        <f>MAX(0,(30*H118/30)-AB118)</f>
        <v/>
      </c>
      <c r="P118">
        <f>N118*O118</f>
        <v/>
      </c>
      <c r="Y118">
        <f>IF(C118=0,0,(C118-X118)/C118)</f>
        <v/>
      </c>
      <c r="AA118">
        <f>IF(C118=0,0,(C118-Z118)/C118)</f>
        <v/>
      </c>
      <c r="AB118">
        <f>IF(D118=0,0,F118/D118)</f>
        <v/>
      </c>
    </row>
    <row r="119">
      <c r="F119">
        <f>D119-N119</f>
        <v/>
      </c>
      <c r="G119">
        <f>IF(N119=0,0,F119/N119)</f>
        <v/>
      </c>
      <c r="L119">
        <f>IF(H119=0,0,AB119/(H119/30))</f>
        <v/>
      </c>
      <c r="O119">
        <f>MAX(0,(30*H119/30)-AB119)</f>
        <v/>
      </c>
      <c r="P119">
        <f>N119*O119</f>
        <v/>
      </c>
      <c r="Y119">
        <f>IF(C119=0,0,(C119-X119)/C119)</f>
        <v/>
      </c>
      <c r="AA119">
        <f>IF(C119=0,0,(C119-Z119)/C119)</f>
        <v/>
      </c>
      <c r="AB119">
        <f>IF(D119=0,0,F119/D119)</f>
        <v/>
      </c>
    </row>
    <row r="120">
      <c r="F120">
        <f>D120-N120</f>
        <v/>
      </c>
      <c r="G120">
        <f>IF(N120=0,0,F120/N120)</f>
        <v/>
      </c>
      <c r="L120">
        <f>IF(H120=0,0,AB120/(H120/30))</f>
        <v/>
      </c>
      <c r="O120">
        <f>MAX(0,(30*H120/30)-AB120)</f>
        <v/>
      </c>
      <c r="P120">
        <f>N120*O120</f>
        <v/>
      </c>
      <c r="Y120">
        <f>IF(C120=0,0,(C120-X120)/C120)</f>
        <v/>
      </c>
      <c r="AA120">
        <f>IF(C120=0,0,(C120-Z120)/C120)</f>
        <v/>
      </c>
      <c r="AB120">
        <f>IF(D120=0,0,F120/D120)</f>
        <v/>
      </c>
    </row>
    <row r="121">
      <c r="F121">
        <f>D121-N121</f>
        <v/>
      </c>
      <c r="G121">
        <f>IF(N121=0,0,F121/N121)</f>
        <v/>
      </c>
      <c r="L121">
        <f>IF(H121=0,0,AB121/(H121/30))</f>
        <v/>
      </c>
      <c r="O121">
        <f>MAX(0,(30*H121/30)-AB121)</f>
        <v/>
      </c>
      <c r="P121">
        <f>N121*O121</f>
        <v/>
      </c>
      <c r="Y121">
        <f>IF(C121=0,0,(C121-X121)/C121)</f>
        <v/>
      </c>
      <c r="AA121">
        <f>IF(C121=0,0,(C121-Z121)/C121)</f>
        <v/>
      </c>
      <c r="AB121">
        <f>IF(D121=0,0,F121/D121)</f>
        <v/>
      </c>
    </row>
    <row r="122">
      <c r="F122">
        <f>D122-N122</f>
        <v/>
      </c>
      <c r="G122">
        <f>IF(N122=0,0,F122/N122)</f>
        <v/>
      </c>
      <c r="L122">
        <f>IF(H122=0,0,AB122/(H122/30))</f>
        <v/>
      </c>
      <c r="O122">
        <f>MAX(0,(30*H122/30)-AB122)</f>
        <v/>
      </c>
      <c r="P122">
        <f>N122*O122</f>
        <v/>
      </c>
      <c r="Y122">
        <f>IF(C122=0,0,(C122-X122)/C122)</f>
        <v/>
      </c>
      <c r="AA122">
        <f>IF(C122=0,0,(C122-Z122)/C122)</f>
        <v/>
      </c>
      <c r="AB122">
        <f>IF(D122=0,0,F122/D122)</f>
        <v/>
      </c>
    </row>
    <row r="123">
      <c r="F123">
        <f>D123-N123</f>
        <v/>
      </c>
      <c r="G123">
        <f>IF(N123=0,0,F123/N123)</f>
        <v/>
      </c>
      <c r="L123">
        <f>IF(H123=0,0,AB123/(H123/30))</f>
        <v/>
      </c>
      <c r="O123">
        <f>MAX(0,(30*H123/30)-AB123)</f>
        <v/>
      </c>
      <c r="P123">
        <f>N123*O123</f>
        <v/>
      </c>
      <c r="Y123">
        <f>IF(C123=0,0,(C123-X123)/C123)</f>
        <v/>
      </c>
      <c r="AA123">
        <f>IF(C123=0,0,(C123-Z123)/C123)</f>
        <v/>
      </c>
      <c r="AB123">
        <f>IF(D123=0,0,F123/D123)</f>
        <v/>
      </c>
    </row>
    <row r="124">
      <c r="F124">
        <f>D124-N124</f>
        <v/>
      </c>
      <c r="G124">
        <f>IF(N124=0,0,F124/N124)</f>
        <v/>
      </c>
      <c r="L124">
        <f>IF(H124=0,0,AB124/(H124/30))</f>
        <v/>
      </c>
      <c r="O124">
        <f>MAX(0,(30*H124/30)-AB124)</f>
        <v/>
      </c>
      <c r="P124">
        <f>N124*O124</f>
        <v/>
      </c>
      <c r="Y124">
        <f>IF(C124=0,0,(C124-X124)/C124)</f>
        <v/>
      </c>
      <c r="AA124">
        <f>IF(C124=0,0,(C124-Z124)/C124)</f>
        <v/>
      </c>
      <c r="AB124">
        <f>IF(D124=0,0,F124/D124)</f>
        <v/>
      </c>
    </row>
    <row r="125">
      <c r="F125">
        <f>D125-N125</f>
        <v/>
      </c>
      <c r="G125">
        <f>IF(N125=0,0,F125/N125)</f>
        <v/>
      </c>
      <c r="L125">
        <f>IF(H125=0,0,AB125/(H125/30))</f>
        <v/>
      </c>
      <c r="O125">
        <f>MAX(0,(30*H125/30)-AB125)</f>
        <v/>
      </c>
      <c r="P125">
        <f>N125*O125</f>
        <v/>
      </c>
      <c r="Y125">
        <f>IF(C125=0,0,(C125-X125)/C125)</f>
        <v/>
      </c>
      <c r="AA125">
        <f>IF(C125=0,0,(C125-Z125)/C125)</f>
        <v/>
      </c>
      <c r="AB125">
        <f>IF(D125=0,0,F125/D125)</f>
        <v/>
      </c>
    </row>
    <row r="126">
      <c r="F126">
        <f>D126-N126</f>
        <v/>
      </c>
      <c r="G126">
        <f>IF(N126=0,0,F126/N126)</f>
        <v/>
      </c>
      <c r="L126">
        <f>IF(H126=0,0,AB126/(H126/30))</f>
        <v/>
      </c>
      <c r="O126">
        <f>MAX(0,(30*H126/30)-AB126)</f>
        <v/>
      </c>
      <c r="P126">
        <f>N126*O126</f>
        <v/>
      </c>
      <c r="Y126">
        <f>IF(C126=0,0,(C126-X126)/C126)</f>
        <v/>
      </c>
      <c r="AA126">
        <f>IF(C126=0,0,(C126-Z126)/C126)</f>
        <v/>
      </c>
      <c r="AB126">
        <f>IF(D126=0,0,F126/D126)</f>
        <v/>
      </c>
    </row>
    <row r="127">
      <c r="F127">
        <f>D127-N127</f>
        <v/>
      </c>
      <c r="G127">
        <f>IF(N127=0,0,F127/N127)</f>
        <v/>
      </c>
      <c r="L127">
        <f>IF(H127=0,0,AB127/(H127/30))</f>
        <v/>
      </c>
      <c r="O127">
        <f>MAX(0,(30*H127/30)-AB127)</f>
        <v/>
      </c>
      <c r="P127">
        <f>N127*O127</f>
        <v/>
      </c>
      <c r="Y127">
        <f>IF(C127=0,0,(C127-X127)/C127)</f>
        <v/>
      </c>
      <c r="AA127">
        <f>IF(C127=0,0,(C127-Z127)/C127)</f>
        <v/>
      </c>
      <c r="AB127">
        <f>IF(D127=0,0,F127/D127)</f>
        <v/>
      </c>
    </row>
    <row r="128">
      <c r="F128">
        <f>D128-N128</f>
        <v/>
      </c>
      <c r="G128">
        <f>IF(N128=0,0,F128/N128)</f>
        <v/>
      </c>
      <c r="L128">
        <f>IF(H128=0,0,AB128/(H128/30))</f>
        <v/>
      </c>
      <c r="O128">
        <f>MAX(0,(30*H128/30)-AB128)</f>
        <v/>
      </c>
      <c r="P128">
        <f>N128*O128</f>
        <v/>
      </c>
      <c r="Y128">
        <f>IF(C128=0,0,(C128-X128)/C128)</f>
        <v/>
      </c>
      <c r="AA128">
        <f>IF(C128=0,0,(C128-Z128)/C128)</f>
        <v/>
      </c>
      <c r="AB128">
        <f>IF(D128=0,0,F128/D128)</f>
        <v/>
      </c>
    </row>
    <row r="129">
      <c r="F129">
        <f>D129-N129</f>
        <v/>
      </c>
      <c r="G129">
        <f>IF(N129=0,0,F129/N129)</f>
        <v/>
      </c>
      <c r="L129">
        <f>IF(H129=0,0,AB129/(H129/30))</f>
        <v/>
      </c>
      <c r="O129">
        <f>MAX(0,(30*H129/30)-AB129)</f>
        <v/>
      </c>
      <c r="P129">
        <f>N129*O129</f>
        <v/>
      </c>
      <c r="Y129">
        <f>IF(C129=0,0,(C129-X129)/C129)</f>
        <v/>
      </c>
      <c r="AA129">
        <f>IF(C129=0,0,(C129-Z129)/C129)</f>
        <v/>
      </c>
      <c r="AB129">
        <f>IF(D129=0,0,F129/D129)</f>
        <v/>
      </c>
    </row>
    <row r="130">
      <c r="F130">
        <f>D130-N130</f>
        <v/>
      </c>
      <c r="G130">
        <f>IF(N130=0,0,F130/N130)</f>
        <v/>
      </c>
      <c r="L130">
        <f>IF(H130=0,0,AB130/(H130/30))</f>
        <v/>
      </c>
      <c r="O130">
        <f>MAX(0,(30*H130/30)-AB130)</f>
        <v/>
      </c>
      <c r="P130">
        <f>N130*O130</f>
        <v/>
      </c>
      <c r="Y130">
        <f>IF(C130=0,0,(C130-X130)/C130)</f>
        <v/>
      </c>
      <c r="AA130">
        <f>IF(C130=0,0,(C130-Z130)/C130)</f>
        <v/>
      </c>
      <c r="AB130">
        <f>IF(D130=0,0,F130/D130)</f>
        <v/>
      </c>
    </row>
    <row r="131">
      <c r="F131">
        <f>D131-N131</f>
        <v/>
      </c>
      <c r="G131">
        <f>IF(N131=0,0,F131/N131)</f>
        <v/>
      </c>
      <c r="L131">
        <f>IF(H131=0,0,AB131/(H131/30))</f>
        <v/>
      </c>
      <c r="O131">
        <f>MAX(0,(30*H131/30)-AB131)</f>
        <v/>
      </c>
      <c r="P131">
        <f>N131*O131</f>
        <v/>
      </c>
      <c r="Y131">
        <f>IF(C131=0,0,(C131-X131)/C131)</f>
        <v/>
      </c>
      <c r="AA131">
        <f>IF(C131=0,0,(C131-Z131)/C131)</f>
        <v/>
      </c>
      <c r="AB131">
        <f>IF(D131=0,0,F131/D131)</f>
        <v/>
      </c>
    </row>
    <row r="132">
      <c r="F132">
        <f>D132-N132</f>
        <v/>
      </c>
      <c r="G132">
        <f>IF(N132=0,0,F132/N132)</f>
        <v/>
      </c>
      <c r="L132">
        <f>IF(H132=0,0,AB132/(H132/30))</f>
        <v/>
      </c>
      <c r="O132">
        <f>MAX(0,(30*H132/30)-AB132)</f>
        <v/>
      </c>
      <c r="P132">
        <f>N132*O132</f>
        <v/>
      </c>
      <c r="Y132">
        <f>IF(C132=0,0,(C132-X132)/C132)</f>
        <v/>
      </c>
      <c r="AA132">
        <f>IF(C132=0,0,(C132-Z132)/C132)</f>
        <v/>
      </c>
      <c r="AB132">
        <f>IF(D132=0,0,F132/D132)</f>
        <v/>
      </c>
    </row>
    <row r="133">
      <c r="F133">
        <f>D133-N133</f>
        <v/>
      </c>
      <c r="G133">
        <f>IF(N133=0,0,F133/N133)</f>
        <v/>
      </c>
      <c r="L133">
        <f>IF(H133=0,0,AB133/(H133/30))</f>
        <v/>
      </c>
      <c r="O133">
        <f>MAX(0,(30*H133/30)-AB133)</f>
        <v/>
      </c>
      <c r="P133">
        <f>N133*O133</f>
        <v/>
      </c>
      <c r="Y133">
        <f>IF(C133=0,0,(C133-X133)/C133)</f>
        <v/>
      </c>
      <c r="AA133">
        <f>IF(C133=0,0,(C133-Z133)/C133)</f>
        <v/>
      </c>
      <c r="AB133">
        <f>IF(D133=0,0,F133/D133)</f>
        <v/>
      </c>
    </row>
    <row r="134">
      <c r="F134">
        <f>D134-N134</f>
        <v/>
      </c>
      <c r="G134">
        <f>IF(N134=0,0,F134/N134)</f>
        <v/>
      </c>
      <c r="L134">
        <f>IF(H134=0,0,AB134/(H134/30))</f>
        <v/>
      </c>
      <c r="O134">
        <f>MAX(0,(30*H134/30)-AB134)</f>
        <v/>
      </c>
      <c r="P134">
        <f>N134*O134</f>
        <v/>
      </c>
      <c r="Y134">
        <f>IF(C134=0,0,(C134-X134)/C134)</f>
        <v/>
      </c>
      <c r="AA134">
        <f>IF(C134=0,0,(C134-Z134)/C134)</f>
        <v/>
      </c>
      <c r="AB134">
        <f>IF(D134=0,0,F134/D134)</f>
        <v/>
      </c>
    </row>
    <row r="135">
      <c r="F135">
        <f>D135-N135</f>
        <v/>
      </c>
      <c r="G135">
        <f>IF(N135=0,0,F135/N135)</f>
        <v/>
      </c>
      <c r="L135">
        <f>IF(H135=0,0,AB135/(H135/30))</f>
        <v/>
      </c>
      <c r="O135">
        <f>MAX(0,(30*H135/30)-AB135)</f>
        <v/>
      </c>
      <c r="P135">
        <f>N135*O135</f>
        <v/>
      </c>
      <c r="Y135">
        <f>IF(C135=0,0,(C135-X135)/C135)</f>
        <v/>
      </c>
      <c r="AA135">
        <f>IF(C135=0,0,(C135-Z135)/C135)</f>
        <v/>
      </c>
      <c r="AB135">
        <f>IF(D135=0,0,F135/D135)</f>
        <v/>
      </c>
    </row>
    <row r="136">
      <c r="F136">
        <f>D136-N136</f>
        <v/>
      </c>
      <c r="G136">
        <f>IF(N136=0,0,F136/N136)</f>
        <v/>
      </c>
      <c r="L136">
        <f>IF(H136=0,0,AB136/(H136/30))</f>
        <v/>
      </c>
      <c r="O136">
        <f>MAX(0,(30*H136/30)-AB136)</f>
        <v/>
      </c>
      <c r="P136">
        <f>N136*O136</f>
        <v/>
      </c>
      <c r="Y136">
        <f>IF(C136=0,0,(C136-X136)/C136)</f>
        <v/>
      </c>
      <c r="AA136">
        <f>IF(C136=0,0,(C136-Z136)/C136)</f>
        <v/>
      </c>
      <c r="AB136">
        <f>IF(D136=0,0,F136/D136)</f>
        <v/>
      </c>
    </row>
    <row r="137">
      <c r="F137">
        <f>D137-N137</f>
        <v/>
      </c>
      <c r="G137">
        <f>IF(N137=0,0,F137/N137)</f>
        <v/>
      </c>
      <c r="L137">
        <f>IF(H137=0,0,AB137/(H137/30))</f>
        <v/>
      </c>
      <c r="O137">
        <f>MAX(0,(30*H137/30)-AB137)</f>
        <v/>
      </c>
      <c r="P137">
        <f>N137*O137</f>
        <v/>
      </c>
      <c r="Y137">
        <f>IF(C137=0,0,(C137-X137)/C137)</f>
        <v/>
      </c>
      <c r="AA137">
        <f>IF(C137=0,0,(C137-Z137)/C137)</f>
        <v/>
      </c>
      <c r="AB137">
        <f>IF(D137=0,0,F137/D137)</f>
        <v/>
      </c>
    </row>
    <row r="138">
      <c r="F138">
        <f>D138-N138</f>
        <v/>
      </c>
      <c r="G138">
        <f>IF(N138=0,0,F138/N138)</f>
        <v/>
      </c>
      <c r="L138">
        <f>IF(H138=0,0,AB138/(H138/30))</f>
        <v/>
      </c>
      <c r="O138">
        <f>MAX(0,(30*H138/30)-AB138)</f>
        <v/>
      </c>
      <c r="P138">
        <f>N138*O138</f>
        <v/>
      </c>
      <c r="Y138">
        <f>IF(C138=0,0,(C138-X138)/C138)</f>
        <v/>
      </c>
      <c r="AA138">
        <f>IF(C138=0,0,(C138-Z138)/C138)</f>
        <v/>
      </c>
      <c r="AB138">
        <f>IF(D138=0,0,F138/D138)</f>
        <v/>
      </c>
    </row>
    <row r="139">
      <c r="F139">
        <f>D139-N139</f>
        <v/>
      </c>
      <c r="G139">
        <f>IF(N139=0,0,F139/N139)</f>
        <v/>
      </c>
      <c r="L139">
        <f>IF(H139=0,0,AB139/(H139/30))</f>
        <v/>
      </c>
      <c r="O139">
        <f>MAX(0,(30*H139/30)-AB139)</f>
        <v/>
      </c>
      <c r="P139">
        <f>N139*O139</f>
        <v/>
      </c>
      <c r="Y139">
        <f>IF(C139=0,0,(C139-X139)/C139)</f>
        <v/>
      </c>
      <c r="AA139">
        <f>IF(C139=0,0,(C139-Z139)/C139)</f>
        <v/>
      </c>
      <c r="AB139">
        <f>IF(D139=0,0,F139/D139)</f>
        <v/>
      </c>
    </row>
    <row r="140">
      <c r="F140">
        <f>D140-N140</f>
        <v/>
      </c>
      <c r="G140">
        <f>IF(N140=0,0,F140/N140)</f>
        <v/>
      </c>
      <c r="L140">
        <f>IF(H140=0,0,AB140/(H140/30))</f>
        <v/>
      </c>
      <c r="O140">
        <f>MAX(0,(30*H140/30)-AB140)</f>
        <v/>
      </c>
      <c r="P140">
        <f>N140*O140</f>
        <v/>
      </c>
      <c r="Y140">
        <f>IF(C140=0,0,(C140-X140)/C140)</f>
        <v/>
      </c>
      <c r="AA140">
        <f>IF(C140=0,0,(C140-Z140)/C140)</f>
        <v/>
      </c>
      <c r="AB140">
        <f>IF(D140=0,0,F140/D140)</f>
        <v/>
      </c>
    </row>
    <row r="141">
      <c r="F141">
        <f>D141-N141</f>
        <v/>
      </c>
      <c r="G141">
        <f>IF(N141=0,0,F141/N141)</f>
        <v/>
      </c>
      <c r="L141">
        <f>IF(H141=0,0,AB141/(H141/30))</f>
        <v/>
      </c>
      <c r="O141">
        <f>MAX(0,(30*H141/30)-AB141)</f>
        <v/>
      </c>
      <c r="P141">
        <f>N141*O141</f>
        <v/>
      </c>
      <c r="Y141">
        <f>IF(C141=0,0,(C141-X141)/C141)</f>
        <v/>
      </c>
      <c r="AA141">
        <f>IF(C141=0,0,(C141-Z141)/C141)</f>
        <v/>
      </c>
      <c r="AB141">
        <f>IF(D141=0,0,F141/D141)</f>
        <v/>
      </c>
    </row>
    <row r="142">
      <c r="F142">
        <f>D142-N142</f>
        <v/>
      </c>
      <c r="G142">
        <f>IF(N142=0,0,F142/N142)</f>
        <v/>
      </c>
      <c r="L142">
        <f>IF(H142=0,0,AB142/(H142/30))</f>
        <v/>
      </c>
      <c r="O142">
        <f>MAX(0,(30*H142/30)-AB142)</f>
        <v/>
      </c>
      <c r="P142">
        <f>N142*O142</f>
        <v/>
      </c>
      <c r="Y142">
        <f>IF(C142=0,0,(C142-X142)/C142)</f>
        <v/>
      </c>
      <c r="AA142">
        <f>IF(C142=0,0,(C142-Z142)/C142)</f>
        <v/>
      </c>
      <c r="AB142">
        <f>IF(D142=0,0,F142/D142)</f>
        <v/>
      </c>
    </row>
    <row r="143">
      <c r="F143">
        <f>D143-N143</f>
        <v/>
      </c>
      <c r="G143">
        <f>IF(N143=0,0,F143/N143)</f>
        <v/>
      </c>
      <c r="L143">
        <f>IF(H143=0,0,AB143/(H143/30))</f>
        <v/>
      </c>
      <c r="O143">
        <f>MAX(0,(30*H143/30)-AB143)</f>
        <v/>
      </c>
      <c r="P143">
        <f>N143*O143</f>
        <v/>
      </c>
      <c r="Y143">
        <f>IF(C143=0,0,(C143-X143)/C143)</f>
        <v/>
      </c>
      <c r="AA143">
        <f>IF(C143=0,0,(C143-Z143)/C143)</f>
        <v/>
      </c>
      <c r="AB143">
        <f>IF(D143=0,0,F143/D143)</f>
        <v/>
      </c>
    </row>
    <row r="144">
      <c r="F144">
        <f>D144-N144</f>
        <v/>
      </c>
      <c r="G144">
        <f>IF(N144=0,0,F144/N144)</f>
        <v/>
      </c>
      <c r="L144">
        <f>IF(H144=0,0,AB144/(H144/30))</f>
        <v/>
      </c>
      <c r="O144">
        <f>MAX(0,(30*H144/30)-AB144)</f>
        <v/>
      </c>
      <c r="P144">
        <f>N144*O144</f>
        <v/>
      </c>
      <c r="Y144">
        <f>IF(C144=0,0,(C144-X144)/C144)</f>
        <v/>
      </c>
      <c r="AA144">
        <f>IF(C144=0,0,(C144-Z144)/C144)</f>
        <v/>
      </c>
      <c r="AB144">
        <f>IF(D144=0,0,F144/D144)</f>
        <v/>
      </c>
    </row>
    <row r="145">
      <c r="F145">
        <f>D145-N145</f>
        <v/>
      </c>
      <c r="G145">
        <f>IF(N145=0,0,F145/N145)</f>
        <v/>
      </c>
      <c r="L145">
        <f>IF(H145=0,0,AB145/(H145/30))</f>
        <v/>
      </c>
      <c r="O145">
        <f>MAX(0,(30*H145/30)-AB145)</f>
        <v/>
      </c>
      <c r="P145">
        <f>N145*O145</f>
        <v/>
      </c>
      <c r="Y145">
        <f>IF(C145=0,0,(C145-X145)/C145)</f>
        <v/>
      </c>
      <c r="AA145">
        <f>IF(C145=0,0,(C145-Z145)/C145)</f>
        <v/>
      </c>
      <c r="AB145">
        <f>IF(D145=0,0,F145/D145)</f>
        <v/>
      </c>
    </row>
    <row r="146">
      <c r="F146">
        <f>D146-N146</f>
        <v/>
      </c>
      <c r="G146">
        <f>IF(N146=0,0,F146/N146)</f>
        <v/>
      </c>
      <c r="L146">
        <f>IF(H146=0,0,AB146/(H146/30))</f>
        <v/>
      </c>
      <c r="O146">
        <f>MAX(0,(30*H146/30)-AB146)</f>
        <v/>
      </c>
      <c r="P146">
        <f>N146*O146</f>
        <v/>
      </c>
      <c r="Y146">
        <f>IF(C146=0,0,(C146-X146)/C146)</f>
        <v/>
      </c>
      <c r="AA146">
        <f>IF(C146=0,0,(C146-Z146)/C146)</f>
        <v/>
      </c>
      <c r="AB146">
        <f>IF(D146=0,0,F146/D146)</f>
        <v/>
      </c>
    </row>
    <row r="147">
      <c r="F147">
        <f>D147-N147</f>
        <v/>
      </c>
      <c r="G147">
        <f>IF(N147=0,0,F147/N147)</f>
        <v/>
      </c>
      <c r="L147">
        <f>IF(H147=0,0,AB147/(H147/30))</f>
        <v/>
      </c>
      <c r="O147">
        <f>MAX(0,(30*H147/30)-AB147)</f>
        <v/>
      </c>
      <c r="P147">
        <f>N147*O147</f>
        <v/>
      </c>
      <c r="Y147">
        <f>IF(C147=0,0,(C147-X147)/C147)</f>
        <v/>
      </c>
      <c r="AA147">
        <f>IF(C147=0,0,(C147-Z147)/C147)</f>
        <v/>
      </c>
      <c r="AB147">
        <f>IF(D147=0,0,F147/D147)</f>
        <v/>
      </c>
    </row>
    <row r="148">
      <c r="F148">
        <f>D148-N148</f>
        <v/>
      </c>
      <c r="G148">
        <f>IF(N148=0,0,F148/N148)</f>
        <v/>
      </c>
      <c r="L148">
        <f>IF(H148=0,0,AB148/(H148/30))</f>
        <v/>
      </c>
      <c r="O148">
        <f>MAX(0,(30*H148/30)-AB148)</f>
        <v/>
      </c>
      <c r="P148">
        <f>N148*O148</f>
        <v/>
      </c>
      <c r="Y148">
        <f>IF(C148=0,0,(C148-X148)/C148)</f>
        <v/>
      </c>
      <c r="AA148">
        <f>IF(C148=0,0,(C148-Z148)/C148)</f>
        <v/>
      </c>
      <c r="AB148">
        <f>IF(D148=0,0,F148/D148)</f>
        <v/>
      </c>
    </row>
    <row r="149">
      <c r="F149">
        <f>D149-N149</f>
        <v/>
      </c>
      <c r="G149">
        <f>IF(N149=0,0,F149/N149)</f>
        <v/>
      </c>
      <c r="L149">
        <f>IF(H149=0,0,AB149/(H149/30))</f>
        <v/>
      </c>
      <c r="O149">
        <f>MAX(0,(30*H149/30)-AB149)</f>
        <v/>
      </c>
      <c r="P149">
        <f>N149*O149</f>
        <v/>
      </c>
      <c r="Y149">
        <f>IF(C149=0,0,(C149-X149)/C149)</f>
        <v/>
      </c>
      <c r="AA149">
        <f>IF(C149=0,0,(C149-Z149)/C149)</f>
        <v/>
      </c>
      <c r="AB149">
        <f>IF(D149=0,0,F149/D149)</f>
        <v/>
      </c>
    </row>
    <row r="150">
      <c r="F150">
        <f>D150-N150</f>
        <v/>
      </c>
      <c r="G150">
        <f>IF(N150=0,0,F150/N150)</f>
        <v/>
      </c>
      <c r="L150">
        <f>IF(H150=0,0,AB150/(H150/30))</f>
        <v/>
      </c>
      <c r="O150">
        <f>MAX(0,(30*H150/30)-AB150)</f>
        <v/>
      </c>
      <c r="P150">
        <f>N150*O150</f>
        <v/>
      </c>
      <c r="Y150">
        <f>IF(C150=0,0,(C150-X150)/C150)</f>
        <v/>
      </c>
      <c r="AA150">
        <f>IF(C150=0,0,(C150-Z150)/C150)</f>
        <v/>
      </c>
      <c r="AB150">
        <f>IF(D150=0,0,F150/D150)</f>
        <v/>
      </c>
    </row>
    <row r="151">
      <c r="F151">
        <f>D151-N151</f>
        <v/>
      </c>
      <c r="G151">
        <f>IF(N151=0,0,F151/N151)</f>
        <v/>
      </c>
      <c r="L151">
        <f>IF(H151=0,0,AB151/(H151/30))</f>
        <v/>
      </c>
      <c r="O151">
        <f>MAX(0,(30*H151/30)-AB151)</f>
        <v/>
      </c>
      <c r="P151">
        <f>N151*O151</f>
        <v/>
      </c>
      <c r="Y151">
        <f>IF(C151=0,0,(C151-X151)/C151)</f>
        <v/>
      </c>
      <c r="AA151">
        <f>IF(C151=0,0,(C151-Z151)/C151)</f>
        <v/>
      </c>
      <c r="AB151">
        <f>IF(D151=0,0,F151/D151)</f>
        <v/>
      </c>
    </row>
    <row r="152">
      <c r="F152">
        <f>D152-N152</f>
        <v/>
      </c>
      <c r="G152">
        <f>IF(N152=0,0,F152/N152)</f>
        <v/>
      </c>
      <c r="L152">
        <f>IF(H152=0,0,AB152/(H152/30))</f>
        <v/>
      </c>
      <c r="O152">
        <f>MAX(0,(30*H152/30)-AB152)</f>
        <v/>
      </c>
      <c r="P152">
        <f>N152*O152</f>
        <v/>
      </c>
      <c r="Y152">
        <f>IF(C152=0,0,(C152-X152)/C152)</f>
        <v/>
      </c>
      <c r="AA152">
        <f>IF(C152=0,0,(C152-Z152)/C152)</f>
        <v/>
      </c>
      <c r="AB152">
        <f>IF(D152=0,0,F152/D152)</f>
        <v/>
      </c>
    </row>
    <row r="153">
      <c r="F153">
        <f>D153-N153</f>
        <v/>
      </c>
      <c r="G153">
        <f>IF(N153=0,0,F153/N153)</f>
        <v/>
      </c>
      <c r="L153">
        <f>IF(H153=0,0,AB153/(H153/30))</f>
        <v/>
      </c>
      <c r="O153">
        <f>MAX(0,(30*H153/30)-AB153)</f>
        <v/>
      </c>
      <c r="P153">
        <f>N153*O153</f>
        <v/>
      </c>
      <c r="Y153">
        <f>IF(C153=0,0,(C153-X153)/C153)</f>
        <v/>
      </c>
      <c r="AA153">
        <f>IF(C153=0,0,(C153-Z153)/C153)</f>
        <v/>
      </c>
      <c r="AB153">
        <f>IF(D153=0,0,F153/D153)</f>
        <v/>
      </c>
    </row>
    <row r="154">
      <c r="F154">
        <f>D154-N154</f>
        <v/>
      </c>
      <c r="G154">
        <f>IF(N154=0,0,F154/N154)</f>
        <v/>
      </c>
      <c r="L154">
        <f>IF(H154=0,0,AB154/(H154/30))</f>
        <v/>
      </c>
      <c r="O154">
        <f>MAX(0,(30*H154/30)-AB154)</f>
        <v/>
      </c>
      <c r="P154">
        <f>N154*O154</f>
        <v/>
      </c>
      <c r="Y154">
        <f>IF(C154=0,0,(C154-X154)/C154)</f>
        <v/>
      </c>
      <c r="AA154">
        <f>IF(C154=0,0,(C154-Z154)/C154)</f>
        <v/>
      </c>
      <c r="AB154">
        <f>IF(D154=0,0,F154/D154)</f>
        <v/>
      </c>
    </row>
    <row r="155">
      <c r="F155">
        <f>D155-N155</f>
        <v/>
      </c>
      <c r="G155">
        <f>IF(N155=0,0,F155/N155)</f>
        <v/>
      </c>
      <c r="L155">
        <f>IF(H155=0,0,AB155/(H155/30))</f>
        <v/>
      </c>
      <c r="O155">
        <f>MAX(0,(30*H155/30)-AB155)</f>
        <v/>
      </c>
      <c r="P155">
        <f>N155*O155</f>
        <v/>
      </c>
      <c r="Y155">
        <f>IF(C155=0,0,(C155-X155)/C155)</f>
        <v/>
      </c>
      <c r="AA155">
        <f>IF(C155=0,0,(C155-Z155)/C155)</f>
        <v/>
      </c>
      <c r="AB155">
        <f>IF(D155=0,0,F155/D155)</f>
        <v/>
      </c>
    </row>
    <row r="156">
      <c r="F156">
        <f>D156-N156</f>
        <v/>
      </c>
      <c r="G156">
        <f>IF(N156=0,0,F156/N156)</f>
        <v/>
      </c>
      <c r="L156">
        <f>IF(H156=0,0,AB156/(H156/30))</f>
        <v/>
      </c>
      <c r="O156">
        <f>MAX(0,(30*H156/30)-AB156)</f>
        <v/>
      </c>
      <c r="P156">
        <f>N156*O156</f>
        <v/>
      </c>
      <c r="Y156">
        <f>IF(C156=0,0,(C156-X156)/C156)</f>
        <v/>
      </c>
      <c r="AA156">
        <f>IF(C156=0,0,(C156-Z156)/C156)</f>
        <v/>
      </c>
      <c r="AB156">
        <f>IF(D156=0,0,F156/D156)</f>
        <v/>
      </c>
    </row>
    <row r="157">
      <c r="F157">
        <f>D157-N157</f>
        <v/>
      </c>
      <c r="G157">
        <f>IF(N157=0,0,F157/N157)</f>
        <v/>
      </c>
      <c r="L157">
        <f>IF(H157=0,0,AB157/(H157/30))</f>
        <v/>
      </c>
      <c r="O157">
        <f>MAX(0,(30*H157/30)-AB157)</f>
        <v/>
      </c>
      <c r="P157">
        <f>N157*O157</f>
        <v/>
      </c>
      <c r="Y157">
        <f>IF(C157=0,0,(C157-X157)/C157)</f>
        <v/>
      </c>
      <c r="AA157">
        <f>IF(C157=0,0,(C157-Z157)/C157)</f>
        <v/>
      </c>
      <c r="AB157">
        <f>IF(D157=0,0,F157/D157)</f>
        <v/>
      </c>
    </row>
    <row r="158">
      <c r="F158">
        <f>D158-N158</f>
        <v/>
      </c>
      <c r="G158">
        <f>IF(N158=0,0,F158/N158)</f>
        <v/>
      </c>
      <c r="L158">
        <f>IF(H158=0,0,AB158/(H158/30))</f>
        <v/>
      </c>
      <c r="O158">
        <f>MAX(0,(30*H158/30)-AB158)</f>
        <v/>
      </c>
      <c r="P158">
        <f>N158*O158</f>
        <v/>
      </c>
      <c r="Y158">
        <f>IF(C158=0,0,(C158-X158)/C158)</f>
        <v/>
      </c>
      <c r="AA158">
        <f>IF(C158=0,0,(C158-Z158)/C158)</f>
        <v/>
      </c>
      <c r="AB158">
        <f>IF(D158=0,0,F158/D158)</f>
        <v/>
      </c>
    </row>
    <row r="159">
      <c r="F159">
        <f>D159-N159</f>
        <v/>
      </c>
      <c r="G159">
        <f>IF(N159=0,0,F159/N159)</f>
        <v/>
      </c>
      <c r="L159">
        <f>IF(H159=0,0,AB159/(H159/30))</f>
        <v/>
      </c>
      <c r="O159">
        <f>MAX(0,(30*H159/30)-AB159)</f>
        <v/>
      </c>
      <c r="P159">
        <f>N159*O159</f>
        <v/>
      </c>
      <c r="Y159">
        <f>IF(C159=0,0,(C159-X159)/C159)</f>
        <v/>
      </c>
      <c r="AA159">
        <f>IF(C159=0,0,(C159-Z159)/C159)</f>
        <v/>
      </c>
      <c r="AB159">
        <f>IF(D159=0,0,F159/D159)</f>
        <v/>
      </c>
    </row>
    <row r="160">
      <c r="F160">
        <f>D160-N160</f>
        <v/>
      </c>
      <c r="G160">
        <f>IF(N160=0,0,F160/N160)</f>
        <v/>
      </c>
      <c r="L160">
        <f>IF(H160=0,0,AB160/(H160/30))</f>
        <v/>
      </c>
      <c r="O160">
        <f>MAX(0,(30*H160/30)-AB160)</f>
        <v/>
      </c>
      <c r="P160">
        <f>N160*O160</f>
        <v/>
      </c>
      <c r="Y160">
        <f>IF(C160=0,0,(C160-X160)/C160)</f>
        <v/>
      </c>
      <c r="AA160">
        <f>IF(C160=0,0,(C160-Z160)/C160)</f>
        <v/>
      </c>
      <c r="AB160">
        <f>IF(D160=0,0,F160/D160)</f>
        <v/>
      </c>
    </row>
    <row r="161">
      <c r="F161">
        <f>D161-N161</f>
        <v/>
      </c>
      <c r="G161">
        <f>IF(N161=0,0,F161/N161)</f>
        <v/>
      </c>
      <c r="L161">
        <f>IF(H161=0,0,AB161/(H161/30))</f>
        <v/>
      </c>
      <c r="O161">
        <f>MAX(0,(30*H161/30)-AB161)</f>
        <v/>
      </c>
      <c r="P161">
        <f>N161*O161</f>
        <v/>
      </c>
      <c r="Y161">
        <f>IF(C161=0,0,(C161-X161)/C161)</f>
        <v/>
      </c>
      <c r="AA161">
        <f>IF(C161=0,0,(C161-Z161)/C161)</f>
        <v/>
      </c>
      <c r="AB161">
        <f>IF(D161=0,0,F161/D161)</f>
        <v/>
      </c>
    </row>
    <row r="162">
      <c r="F162">
        <f>D162-N162</f>
        <v/>
      </c>
      <c r="G162">
        <f>IF(N162=0,0,F162/N162)</f>
        <v/>
      </c>
      <c r="L162">
        <f>IF(H162=0,0,AB162/(H162/30))</f>
        <v/>
      </c>
      <c r="O162">
        <f>MAX(0,(30*H162/30)-AB162)</f>
        <v/>
      </c>
      <c r="P162">
        <f>N162*O162</f>
        <v/>
      </c>
      <c r="Y162">
        <f>IF(C162=0,0,(C162-X162)/C162)</f>
        <v/>
      </c>
      <c r="AA162">
        <f>IF(C162=0,0,(C162-Z162)/C162)</f>
        <v/>
      </c>
      <c r="AB162">
        <f>IF(D162=0,0,F162/D162)</f>
        <v/>
      </c>
    </row>
    <row r="163">
      <c r="F163">
        <f>D163-N163</f>
        <v/>
      </c>
      <c r="G163">
        <f>IF(N163=0,0,F163/N163)</f>
        <v/>
      </c>
      <c r="L163">
        <f>IF(H163=0,0,AB163/(H163/30))</f>
        <v/>
      </c>
      <c r="O163">
        <f>MAX(0,(30*H163/30)-AB163)</f>
        <v/>
      </c>
      <c r="P163">
        <f>N163*O163</f>
        <v/>
      </c>
      <c r="Y163">
        <f>IF(C163=0,0,(C163-X163)/C163)</f>
        <v/>
      </c>
      <c r="AA163">
        <f>IF(C163=0,0,(C163-Z163)/C163)</f>
        <v/>
      </c>
      <c r="AB163">
        <f>IF(D163=0,0,F163/D163)</f>
        <v/>
      </c>
    </row>
    <row r="164">
      <c r="F164">
        <f>D164-N164</f>
        <v/>
      </c>
      <c r="G164">
        <f>IF(N164=0,0,F164/N164)</f>
        <v/>
      </c>
      <c r="L164">
        <f>IF(H164=0,0,AB164/(H164/30))</f>
        <v/>
      </c>
      <c r="O164">
        <f>MAX(0,(30*H164/30)-AB164)</f>
        <v/>
      </c>
      <c r="P164">
        <f>N164*O164</f>
        <v/>
      </c>
      <c r="Y164">
        <f>IF(C164=0,0,(C164-X164)/C164)</f>
        <v/>
      </c>
      <c r="AA164">
        <f>IF(C164=0,0,(C164-Z164)/C164)</f>
        <v/>
      </c>
      <c r="AB164">
        <f>IF(D164=0,0,F164/D164)</f>
        <v/>
      </c>
    </row>
    <row r="165">
      <c r="F165">
        <f>D165-N165</f>
        <v/>
      </c>
      <c r="G165">
        <f>IF(N165=0,0,F165/N165)</f>
        <v/>
      </c>
      <c r="L165">
        <f>IF(H165=0,0,AB165/(H165/30))</f>
        <v/>
      </c>
      <c r="O165">
        <f>MAX(0,(30*H165/30)-AB165)</f>
        <v/>
      </c>
      <c r="P165">
        <f>N165*O165</f>
        <v/>
      </c>
      <c r="Y165">
        <f>IF(C165=0,0,(C165-X165)/C165)</f>
        <v/>
      </c>
      <c r="AA165">
        <f>IF(C165=0,0,(C165-Z165)/C165)</f>
        <v/>
      </c>
      <c r="AB165">
        <f>IF(D165=0,0,F165/D165)</f>
        <v/>
      </c>
    </row>
    <row r="166">
      <c r="F166">
        <f>D166-N166</f>
        <v/>
      </c>
      <c r="G166">
        <f>IF(N166=0,0,F166/N166)</f>
        <v/>
      </c>
      <c r="L166">
        <f>IF(H166=0,0,AB166/(H166/30))</f>
        <v/>
      </c>
      <c r="O166">
        <f>MAX(0,(30*H166/30)-AB166)</f>
        <v/>
      </c>
      <c r="P166">
        <f>N166*O166</f>
        <v/>
      </c>
      <c r="Y166">
        <f>IF(C166=0,0,(C166-X166)/C166)</f>
        <v/>
      </c>
      <c r="AA166">
        <f>IF(C166=0,0,(C166-Z166)/C166)</f>
        <v/>
      </c>
      <c r="AB166">
        <f>IF(D166=0,0,F166/D166)</f>
        <v/>
      </c>
    </row>
    <row r="167">
      <c r="F167">
        <f>D167-N167</f>
        <v/>
      </c>
      <c r="G167">
        <f>IF(N167=0,0,F167/N167)</f>
        <v/>
      </c>
      <c r="L167">
        <f>IF(H167=0,0,AB167/(H167/30))</f>
        <v/>
      </c>
      <c r="O167">
        <f>MAX(0,(30*H167/30)-AB167)</f>
        <v/>
      </c>
      <c r="P167">
        <f>N167*O167</f>
        <v/>
      </c>
      <c r="Y167">
        <f>IF(C167=0,0,(C167-X167)/C167)</f>
        <v/>
      </c>
      <c r="AA167">
        <f>IF(C167=0,0,(C167-Z167)/C167)</f>
        <v/>
      </c>
      <c r="AB167">
        <f>IF(D167=0,0,F167/D167)</f>
        <v/>
      </c>
    </row>
    <row r="168">
      <c r="F168">
        <f>D168-N168</f>
        <v/>
      </c>
      <c r="G168">
        <f>IF(N168=0,0,F168/N168)</f>
        <v/>
      </c>
      <c r="L168">
        <f>IF(H168=0,0,AB168/(H168/30))</f>
        <v/>
      </c>
      <c r="O168">
        <f>MAX(0,(30*H168/30)-AB168)</f>
        <v/>
      </c>
      <c r="P168">
        <f>N168*O168</f>
        <v/>
      </c>
      <c r="Y168">
        <f>IF(C168=0,0,(C168-X168)/C168)</f>
        <v/>
      </c>
      <c r="AA168">
        <f>IF(C168=0,0,(C168-Z168)/C168)</f>
        <v/>
      </c>
      <c r="AB168">
        <f>IF(D168=0,0,F168/D168)</f>
        <v/>
      </c>
    </row>
    <row r="169">
      <c r="F169">
        <f>D169-N169</f>
        <v/>
      </c>
      <c r="G169">
        <f>IF(N169=0,0,F169/N169)</f>
        <v/>
      </c>
      <c r="L169">
        <f>IF(H169=0,0,AB169/(H169/30))</f>
        <v/>
      </c>
      <c r="O169">
        <f>MAX(0,(30*H169/30)-AB169)</f>
        <v/>
      </c>
      <c r="P169">
        <f>N169*O169</f>
        <v/>
      </c>
      <c r="Y169">
        <f>IF(C169=0,0,(C169-X169)/C169)</f>
        <v/>
      </c>
      <c r="AA169">
        <f>IF(C169=0,0,(C169-Z169)/C169)</f>
        <v/>
      </c>
      <c r="AB169">
        <f>IF(D169=0,0,F169/D169)</f>
        <v/>
      </c>
    </row>
    <row r="170">
      <c r="F170">
        <f>D170-N170</f>
        <v/>
      </c>
      <c r="G170">
        <f>IF(N170=0,0,F170/N170)</f>
        <v/>
      </c>
      <c r="L170">
        <f>IF(H170=0,0,AB170/(H170/30))</f>
        <v/>
      </c>
      <c r="O170">
        <f>MAX(0,(30*H170/30)-AB170)</f>
        <v/>
      </c>
      <c r="P170">
        <f>N170*O170</f>
        <v/>
      </c>
      <c r="Y170">
        <f>IF(C170=0,0,(C170-X170)/C170)</f>
        <v/>
      </c>
      <c r="AA170">
        <f>IF(C170=0,0,(C170-Z170)/C170)</f>
        <v/>
      </c>
      <c r="AB170">
        <f>IF(D170=0,0,F170/D170)</f>
        <v/>
      </c>
    </row>
    <row r="171">
      <c r="F171">
        <f>D171-N171</f>
        <v/>
      </c>
      <c r="G171">
        <f>IF(N171=0,0,F171/N171)</f>
        <v/>
      </c>
      <c r="L171">
        <f>IF(H171=0,0,AB171/(H171/30))</f>
        <v/>
      </c>
      <c r="O171">
        <f>MAX(0,(30*H171/30)-AB171)</f>
        <v/>
      </c>
      <c r="P171">
        <f>N171*O171</f>
        <v/>
      </c>
      <c r="Y171">
        <f>IF(C171=0,0,(C171-X171)/C171)</f>
        <v/>
      </c>
      <c r="AA171">
        <f>IF(C171=0,0,(C171-Z171)/C171)</f>
        <v/>
      </c>
      <c r="AB171">
        <f>IF(D171=0,0,F171/D171)</f>
        <v/>
      </c>
    </row>
    <row r="172">
      <c r="F172">
        <f>D172-N172</f>
        <v/>
      </c>
      <c r="G172">
        <f>IF(N172=0,0,F172/N172)</f>
        <v/>
      </c>
      <c r="L172">
        <f>IF(H172=0,0,AB172/(H172/30))</f>
        <v/>
      </c>
      <c r="O172">
        <f>MAX(0,(30*H172/30)-AB172)</f>
        <v/>
      </c>
      <c r="P172">
        <f>N172*O172</f>
        <v/>
      </c>
      <c r="Y172">
        <f>IF(C172=0,0,(C172-X172)/C172)</f>
        <v/>
      </c>
      <c r="AA172">
        <f>IF(C172=0,0,(C172-Z172)/C172)</f>
        <v/>
      </c>
      <c r="AB172">
        <f>IF(D172=0,0,F172/D172)</f>
        <v/>
      </c>
    </row>
    <row r="173">
      <c r="F173">
        <f>D173-N173</f>
        <v/>
      </c>
      <c r="G173">
        <f>IF(N173=0,0,F173/N173)</f>
        <v/>
      </c>
      <c r="L173">
        <f>IF(H173=0,0,AB173/(H173/30))</f>
        <v/>
      </c>
      <c r="O173">
        <f>MAX(0,(30*H173/30)-AB173)</f>
        <v/>
      </c>
      <c r="P173">
        <f>N173*O173</f>
        <v/>
      </c>
      <c r="Y173">
        <f>IF(C173=0,0,(C173-X173)/C173)</f>
        <v/>
      </c>
      <c r="AA173">
        <f>IF(C173=0,0,(C173-Z173)/C173)</f>
        <v/>
      </c>
      <c r="AB173">
        <f>IF(D173=0,0,F173/D173)</f>
        <v/>
      </c>
    </row>
    <row r="174">
      <c r="F174">
        <f>D174-N174</f>
        <v/>
      </c>
      <c r="G174">
        <f>IF(N174=0,0,F174/N174)</f>
        <v/>
      </c>
      <c r="L174">
        <f>IF(H174=0,0,AB174/(H174/30))</f>
        <v/>
      </c>
      <c r="O174">
        <f>MAX(0,(30*H174/30)-AB174)</f>
        <v/>
      </c>
      <c r="P174">
        <f>N174*O174</f>
        <v/>
      </c>
      <c r="Y174">
        <f>IF(C174=0,0,(C174-X174)/C174)</f>
        <v/>
      </c>
      <c r="AA174">
        <f>IF(C174=0,0,(C174-Z174)/C174)</f>
        <v/>
      </c>
      <c r="AB174">
        <f>IF(D174=0,0,F174/D174)</f>
        <v/>
      </c>
    </row>
    <row r="175">
      <c r="F175">
        <f>D175-N175</f>
        <v/>
      </c>
      <c r="G175">
        <f>IF(N175=0,0,F175/N175)</f>
        <v/>
      </c>
      <c r="L175">
        <f>IF(H175=0,0,AB175/(H175/30))</f>
        <v/>
      </c>
      <c r="O175">
        <f>MAX(0,(30*H175/30)-AB175)</f>
        <v/>
      </c>
      <c r="P175">
        <f>N175*O175</f>
        <v/>
      </c>
      <c r="Y175">
        <f>IF(C175=0,0,(C175-X175)/C175)</f>
        <v/>
      </c>
      <c r="AA175">
        <f>IF(C175=0,0,(C175-Z175)/C175)</f>
        <v/>
      </c>
      <c r="AB175">
        <f>IF(D175=0,0,F175/D175)</f>
        <v/>
      </c>
    </row>
    <row r="176">
      <c r="F176">
        <f>D176-N176</f>
        <v/>
      </c>
      <c r="G176">
        <f>IF(N176=0,0,F176/N176)</f>
        <v/>
      </c>
      <c r="L176">
        <f>IF(H176=0,0,AB176/(H176/30))</f>
        <v/>
      </c>
      <c r="O176">
        <f>MAX(0,(30*H176/30)-AB176)</f>
        <v/>
      </c>
      <c r="P176">
        <f>N176*O176</f>
        <v/>
      </c>
      <c r="Y176">
        <f>IF(C176=0,0,(C176-X176)/C176)</f>
        <v/>
      </c>
      <c r="AA176">
        <f>IF(C176=0,0,(C176-Z176)/C176)</f>
        <v/>
      </c>
      <c r="AB176">
        <f>IF(D176=0,0,F176/D176)</f>
        <v/>
      </c>
    </row>
    <row r="177">
      <c r="F177">
        <f>D177-N177</f>
        <v/>
      </c>
      <c r="G177">
        <f>IF(N177=0,0,F177/N177)</f>
        <v/>
      </c>
      <c r="L177">
        <f>IF(H177=0,0,AB177/(H177/30))</f>
        <v/>
      </c>
      <c r="O177">
        <f>MAX(0,(30*H177/30)-AB177)</f>
        <v/>
      </c>
      <c r="P177">
        <f>N177*O177</f>
        <v/>
      </c>
      <c r="Y177">
        <f>IF(C177=0,0,(C177-X177)/C177)</f>
        <v/>
      </c>
      <c r="AA177">
        <f>IF(C177=0,0,(C177-Z177)/C177)</f>
        <v/>
      </c>
      <c r="AB177">
        <f>IF(D177=0,0,F177/D177)</f>
        <v/>
      </c>
    </row>
    <row r="178">
      <c r="F178">
        <f>D178-N178</f>
        <v/>
      </c>
      <c r="G178">
        <f>IF(N178=0,0,F178/N178)</f>
        <v/>
      </c>
      <c r="L178">
        <f>IF(H178=0,0,AB178/(H178/30))</f>
        <v/>
      </c>
      <c r="O178">
        <f>MAX(0,(30*H178/30)-AB178)</f>
        <v/>
      </c>
      <c r="P178">
        <f>N178*O178</f>
        <v/>
      </c>
      <c r="Y178">
        <f>IF(C178=0,0,(C178-X178)/C178)</f>
        <v/>
      </c>
      <c r="AA178">
        <f>IF(C178=0,0,(C178-Z178)/C178)</f>
        <v/>
      </c>
      <c r="AB178">
        <f>IF(D178=0,0,F178/D178)</f>
        <v/>
      </c>
    </row>
    <row r="179">
      <c r="F179">
        <f>D179-N179</f>
        <v/>
      </c>
      <c r="G179">
        <f>IF(N179=0,0,F179/N179)</f>
        <v/>
      </c>
      <c r="L179">
        <f>IF(H179=0,0,AB179/(H179/30))</f>
        <v/>
      </c>
      <c r="O179">
        <f>MAX(0,(30*H179/30)-AB179)</f>
        <v/>
      </c>
      <c r="P179">
        <f>N179*O179</f>
        <v/>
      </c>
      <c r="Y179">
        <f>IF(C179=0,0,(C179-X179)/C179)</f>
        <v/>
      </c>
      <c r="AA179">
        <f>IF(C179=0,0,(C179-Z179)/C179)</f>
        <v/>
      </c>
      <c r="AB179">
        <f>IF(D179=0,0,F179/D179)</f>
        <v/>
      </c>
    </row>
    <row r="180">
      <c r="F180">
        <f>D180-N180</f>
        <v/>
      </c>
      <c r="G180">
        <f>IF(N180=0,0,F180/N180)</f>
        <v/>
      </c>
      <c r="L180">
        <f>IF(H180=0,0,AB180/(H180/30))</f>
        <v/>
      </c>
      <c r="O180">
        <f>MAX(0,(30*H180/30)-AB180)</f>
        <v/>
      </c>
      <c r="P180">
        <f>N180*O180</f>
        <v/>
      </c>
      <c r="Y180">
        <f>IF(C180=0,0,(C180-X180)/C180)</f>
        <v/>
      </c>
      <c r="AA180">
        <f>IF(C180=0,0,(C180-Z180)/C180)</f>
        <v/>
      </c>
      <c r="AB180">
        <f>IF(D180=0,0,F180/D180)</f>
        <v/>
      </c>
    </row>
    <row r="181">
      <c r="F181">
        <f>D181-N181</f>
        <v/>
      </c>
      <c r="G181">
        <f>IF(N181=0,0,F181/N181)</f>
        <v/>
      </c>
      <c r="L181">
        <f>IF(H181=0,0,AB181/(H181/30))</f>
        <v/>
      </c>
      <c r="O181">
        <f>MAX(0,(30*H181/30)-AB181)</f>
        <v/>
      </c>
      <c r="P181">
        <f>N181*O181</f>
        <v/>
      </c>
      <c r="Y181">
        <f>IF(C181=0,0,(C181-X181)/C181)</f>
        <v/>
      </c>
      <c r="AA181">
        <f>IF(C181=0,0,(C181-Z181)/C181)</f>
        <v/>
      </c>
      <c r="AB181">
        <f>IF(D181=0,0,F181/D181)</f>
        <v/>
      </c>
    </row>
    <row r="182">
      <c r="F182">
        <f>D182-N182</f>
        <v/>
      </c>
      <c r="G182">
        <f>IF(N182=0,0,F182/N182)</f>
        <v/>
      </c>
      <c r="L182">
        <f>IF(H182=0,0,AB182/(H182/30))</f>
        <v/>
      </c>
      <c r="O182">
        <f>MAX(0,(30*H182/30)-AB182)</f>
        <v/>
      </c>
      <c r="P182">
        <f>N182*O182</f>
        <v/>
      </c>
      <c r="Y182">
        <f>IF(C182=0,0,(C182-X182)/C182)</f>
        <v/>
      </c>
      <c r="AA182">
        <f>IF(C182=0,0,(C182-Z182)/C182)</f>
        <v/>
      </c>
      <c r="AB182">
        <f>IF(D182=0,0,F182/D182)</f>
        <v/>
      </c>
    </row>
    <row r="183">
      <c r="F183">
        <f>D183-N183</f>
        <v/>
      </c>
      <c r="G183">
        <f>IF(N183=0,0,F183/N183)</f>
        <v/>
      </c>
      <c r="L183">
        <f>IF(H183=0,0,AB183/(H183/30))</f>
        <v/>
      </c>
      <c r="O183">
        <f>MAX(0,(30*H183/30)-AB183)</f>
        <v/>
      </c>
      <c r="P183">
        <f>N183*O183</f>
        <v/>
      </c>
      <c r="Y183">
        <f>IF(C183=0,0,(C183-X183)/C183)</f>
        <v/>
      </c>
      <c r="AA183">
        <f>IF(C183=0,0,(C183-Z183)/C183)</f>
        <v/>
      </c>
      <c r="AB183">
        <f>IF(D183=0,0,F183/D183)</f>
        <v/>
      </c>
    </row>
    <row r="184">
      <c r="F184">
        <f>D184-N184</f>
        <v/>
      </c>
      <c r="G184">
        <f>IF(N184=0,0,F184/N184)</f>
        <v/>
      </c>
      <c r="L184">
        <f>IF(H184=0,0,AB184/(H184/30))</f>
        <v/>
      </c>
      <c r="O184">
        <f>MAX(0,(30*H184/30)-AB184)</f>
        <v/>
      </c>
      <c r="P184">
        <f>N184*O184</f>
        <v/>
      </c>
      <c r="Y184">
        <f>IF(C184=0,0,(C184-X184)/C184)</f>
        <v/>
      </c>
      <c r="AA184">
        <f>IF(C184=0,0,(C184-Z184)/C184)</f>
        <v/>
      </c>
      <c r="AB184">
        <f>IF(D184=0,0,F184/D184)</f>
        <v/>
      </c>
    </row>
    <row r="185">
      <c r="F185">
        <f>D185-N185</f>
        <v/>
      </c>
      <c r="G185">
        <f>IF(N185=0,0,F185/N185)</f>
        <v/>
      </c>
      <c r="L185">
        <f>IF(H185=0,0,AB185/(H185/30))</f>
        <v/>
      </c>
      <c r="O185">
        <f>MAX(0,(30*H185/30)-AB185)</f>
        <v/>
      </c>
      <c r="P185">
        <f>N185*O185</f>
        <v/>
      </c>
      <c r="Y185">
        <f>IF(C185=0,0,(C185-X185)/C185)</f>
        <v/>
      </c>
      <c r="AA185">
        <f>IF(C185=0,0,(C185-Z185)/C185)</f>
        <v/>
      </c>
      <c r="AB185">
        <f>IF(D185=0,0,F185/D185)</f>
        <v/>
      </c>
    </row>
    <row r="186">
      <c r="F186">
        <f>D186-N186</f>
        <v/>
      </c>
      <c r="G186">
        <f>IF(N186=0,0,F186/N186)</f>
        <v/>
      </c>
      <c r="L186">
        <f>IF(H186=0,0,AB186/(H186/30))</f>
        <v/>
      </c>
      <c r="O186">
        <f>MAX(0,(30*H186/30)-AB186)</f>
        <v/>
      </c>
      <c r="P186">
        <f>N186*O186</f>
        <v/>
      </c>
      <c r="Y186">
        <f>IF(C186=0,0,(C186-X186)/C186)</f>
        <v/>
      </c>
      <c r="AA186">
        <f>IF(C186=0,0,(C186-Z186)/C186)</f>
        <v/>
      </c>
      <c r="AB186">
        <f>IF(D186=0,0,F186/D186)</f>
        <v/>
      </c>
    </row>
    <row r="187">
      <c r="F187">
        <f>D187-N187</f>
        <v/>
      </c>
      <c r="G187">
        <f>IF(N187=0,0,F187/N187)</f>
        <v/>
      </c>
      <c r="L187">
        <f>IF(H187=0,0,AB187/(H187/30))</f>
        <v/>
      </c>
      <c r="O187">
        <f>MAX(0,(30*H187/30)-AB187)</f>
        <v/>
      </c>
      <c r="P187">
        <f>N187*O187</f>
        <v/>
      </c>
      <c r="Y187">
        <f>IF(C187=0,0,(C187-X187)/C187)</f>
        <v/>
      </c>
      <c r="AA187">
        <f>IF(C187=0,0,(C187-Z187)/C187)</f>
        <v/>
      </c>
      <c r="AB187">
        <f>IF(D187=0,0,F187/D187)</f>
        <v/>
      </c>
    </row>
    <row r="188">
      <c r="F188">
        <f>D188-N188</f>
        <v/>
      </c>
      <c r="G188">
        <f>IF(N188=0,0,F188/N188)</f>
        <v/>
      </c>
      <c r="L188">
        <f>IF(H188=0,0,AB188/(H188/30))</f>
        <v/>
      </c>
      <c r="O188">
        <f>MAX(0,(30*H188/30)-AB188)</f>
        <v/>
      </c>
      <c r="P188">
        <f>N188*O188</f>
        <v/>
      </c>
      <c r="Y188">
        <f>IF(C188=0,0,(C188-X188)/C188)</f>
        <v/>
      </c>
      <c r="AA188">
        <f>IF(C188=0,0,(C188-Z188)/C188)</f>
        <v/>
      </c>
      <c r="AB188">
        <f>IF(D188=0,0,F188/D188)</f>
        <v/>
      </c>
    </row>
    <row r="189">
      <c r="F189">
        <f>D189-N189</f>
        <v/>
      </c>
      <c r="G189">
        <f>IF(N189=0,0,F189/N189)</f>
        <v/>
      </c>
      <c r="L189">
        <f>IF(H189=0,0,AB189/(H189/30))</f>
        <v/>
      </c>
      <c r="O189">
        <f>MAX(0,(30*H189/30)-AB189)</f>
        <v/>
      </c>
      <c r="P189">
        <f>N189*O189</f>
        <v/>
      </c>
      <c r="Y189">
        <f>IF(C189=0,0,(C189-X189)/C189)</f>
        <v/>
      </c>
      <c r="AA189">
        <f>IF(C189=0,0,(C189-Z189)/C189)</f>
        <v/>
      </c>
      <c r="AB189">
        <f>IF(D189=0,0,F189/D189)</f>
        <v/>
      </c>
    </row>
    <row r="190">
      <c r="F190">
        <f>D190-N190</f>
        <v/>
      </c>
      <c r="G190">
        <f>IF(N190=0,0,F190/N190)</f>
        <v/>
      </c>
      <c r="L190">
        <f>IF(H190=0,0,AB190/(H190/30))</f>
        <v/>
      </c>
      <c r="O190">
        <f>MAX(0,(30*H190/30)-AB190)</f>
        <v/>
      </c>
      <c r="P190">
        <f>N190*O190</f>
        <v/>
      </c>
      <c r="Y190">
        <f>IF(C190=0,0,(C190-X190)/C190)</f>
        <v/>
      </c>
      <c r="AA190">
        <f>IF(C190=0,0,(C190-Z190)/C190)</f>
        <v/>
      </c>
      <c r="AB190">
        <f>IF(D190=0,0,F190/D190)</f>
        <v/>
      </c>
    </row>
    <row r="191">
      <c r="F191">
        <f>D191-N191</f>
        <v/>
      </c>
      <c r="G191">
        <f>IF(N191=0,0,F191/N191)</f>
        <v/>
      </c>
      <c r="L191">
        <f>IF(H191=0,0,AB191/(H191/30))</f>
        <v/>
      </c>
      <c r="O191">
        <f>MAX(0,(30*H191/30)-AB191)</f>
        <v/>
      </c>
      <c r="P191">
        <f>N191*O191</f>
        <v/>
      </c>
      <c r="Y191">
        <f>IF(C191=0,0,(C191-X191)/C191)</f>
        <v/>
      </c>
      <c r="AA191">
        <f>IF(C191=0,0,(C191-Z191)/C191)</f>
        <v/>
      </c>
      <c r="AB191">
        <f>IF(D191=0,0,F191/D191)</f>
        <v/>
      </c>
    </row>
    <row r="192">
      <c r="F192">
        <f>D192-N192</f>
        <v/>
      </c>
      <c r="G192">
        <f>IF(N192=0,0,F192/N192)</f>
        <v/>
      </c>
      <c r="L192">
        <f>IF(H192=0,0,AB192/(H192/30))</f>
        <v/>
      </c>
      <c r="O192">
        <f>MAX(0,(30*H192/30)-AB192)</f>
        <v/>
      </c>
      <c r="P192">
        <f>N192*O192</f>
        <v/>
      </c>
      <c r="Y192">
        <f>IF(C192=0,0,(C192-X192)/C192)</f>
        <v/>
      </c>
      <c r="AA192">
        <f>IF(C192=0,0,(C192-Z192)/C192)</f>
        <v/>
      </c>
      <c r="AB192">
        <f>IF(D192=0,0,F192/D192)</f>
        <v/>
      </c>
    </row>
    <row r="193">
      <c r="F193">
        <f>D193-N193</f>
        <v/>
      </c>
      <c r="G193">
        <f>IF(N193=0,0,F193/N193)</f>
        <v/>
      </c>
      <c r="L193">
        <f>IF(H193=0,0,AB193/(H193/30))</f>
        <v/>
      </c>
      <c r="O193">
        <f>MAX(0,(30*H193/30)-AB193)</f>
        <v/>
      </c>
      <c r="P193">
        <f>N193*O193</f>
        <v/>
      </c>
      <c r="Y193">
        <f>IF(C193=0,0,(C193-X193)/C193)</f>
        <v/>
      </c>
      <c r="AA193">
        <f>IF(C193=0,0,(C193-Z193)/C193)</f>
        <v/>
      </c>
      <c r="AB193">
        <f>IF(D193=0,0,F193/D193)</f>
        <v/>
      </c>
    </row>
    <row r="194">
      <c r="F194">
        <f>D194-N194</f>
        <v/>
      </c>
      <c r="G194">
        <f>IF(N194=0,0,F194/N194)</f>
        <v/>
      </c>
      <c r="L194">
        <f>IF(H194=0,0,AB194/(H194/30))</f>
        <v/>
      </c>
      <c r="O194">
        <f>MAX(0,(30*H194/30)-AB194)</f>
        <v/>
      </c>
      <c r="P194">
        <f>N194*O194</f>
        <v/>
      </c>
      <c r="Y194">
        <f>IF(C194=0,0,(C194-X194)/C194)</f>
        <v/>
      </c>
      <c r="AA194">
        <f>IF(C194=0,0,(C194-Z194)/C194)</f>
        <v/>
      </c>
      <c r="AB194">
        <f>IF(D194=0,0,F194/D194)</f>
        <v/>
      </c>
    </row>
    <row r="195">
      <c r="F195">
        <f>D195-N195</f>
        <v/>
      </c>
      <c r="G195">
        <f>IF(N195=0,0,F195/N195)</f>
        <v/>
      </c>
      <c r="L195">
        <f>IF(H195=0,0,AB195/(H195/30))</f>
        <v/>
      </c>
      <c r="O195">
        <f>MAX(0,(30*H195/30)-AB195)</f>
        <v/>
      </c>
      <c r="P195">
        <f>N195*O195</f>
        <v/>
      </c>
      <c r="Y195">
        <f>IF(C195=0,0,(C195-X195)/C195)</f>
        <v/>
      </c>
      <c r="AA195">
        <f>IF(C195=0,0,(C195-Z195)/C195)</f>
        <v/>
      </c>
      <c r="AB195">
        <f>IF(D195=0,0,F195/D195)</f>
        <v/>
      </c>
    </row>
    <row r="196">
      <c r="F196">
        <f>D196-N196</f>
        <v/>
      </c>
      <c r="G196">
        <f>IF(N196=0,0,F196/N196)</f>
        <v/>
      </c>
      <c r="L196">
        <f>IF(H196=0,0,AB196/(H196/30))</f>
        <v/>
      </c>
      <c r="O196">
        <f>MAX(0,(30*H196/30)-AB196)</f>
        <v/>
      </c>
      <c r="P196">
        <f>N196*O196</f>
        <v/>
      </c>
      <c r="Y196">
        <f>IF(C196=0,0,(C196-X196)/C196)</f>
        <v/>
      </c>
      <c r="AA196">
        <f>IF(C196=0,0,(C196-Z196)/C196)</f>
        <v/>
      </c>
      <c r="AB196">
        <f>IF(D196=0,0,F196/D196)</f>
        <v/>
      </c>
    </row>
    <row r="197">
      <c r="F197">
        <f>D197-N197</f>
        <v/>
      </c>
      <c r="G197">
        <f>IF(N197=0,0,F197/N197)</f>
        <v/>
      </c>
      <c r="L197">
        <f>IF(H197=0,0,AB197/(H197/30))</f>
        <v/>
      </c>
      <c r="O197">
        <f>MAX(0,(30*H197/30)-AB197)</f>
        <v/>
      </c>
      <c r="P197">
        <f>N197*O197</f>
        <v/>
      </c>
      <c r="Y197">
        <f>IF(C197=0,0,(C197-X197)/C197)</f>
        <v/>
      </c>
      <c r="AA197">
        <f>IF(C197=0,0,(C197-Z197)/C197)</f>
        <v/>
      </c>
      <c r="AB197">
        <f>IF(D197=0,0,F197/D197)</f>
        <v/>
      </c>
    </row>
    <row r="198">
      <c r="F198">
        <f>D198-N198</f>
        <v/>
      </c>
      <c r="G198">
        <f>IF(N198=0,0,F198/N198)</f>
        <v/>
      </c>
      <c r="L198">
        <f>IF(H198=0,0,AB198/(H198/30))</f>
        <v/>
      </c>
      <c r="O198">
        <f>MAX(0,(30*H198/30)-AB198)</f>
        <v/>
      </c>
      <c r="P198">
        <f>N198*O198</f>
        <v/>
      </c>
      <c r="Y198">
        <f>IF(C198=0,0,(C198-X198)/C198)</f>
        <v/>
      </c>
      <c r="AA198">
        <f>IF(C198=0,0,(C198-Z198)/C198)</f>
        <v/>
      </c>
      <c r="AB198">
        <f>IF(D198=0,0,F198/D198)</f>
        <v/>
      </c>
    </row>
    <row r="199">
      <c r="F199">
        <f>D199-N199</f>
        <v/>
      </c>
      <c r="G199">
        <f>IF(N199=0,0,F199/N199)</f>
        <v/>
      </c>
      <c r="L199">
        <f>IF(H199=0,0,AB199/(H199/30))</f>
        <v/>
      </c>
      <c r="O199">
        <f>MAX(0,(30*H199/30)-AB199)</f>
        <v/>
      </c>
      <c r="P199">
        <f>N199*O199</f>
        <v/>
      </c>
      <c r="Y199">
        <f>IF(C199=0,0,(C199-X199)/C199)</f>
        <v/>
      </c>
      <c r="AA199">
        <f>IF(C199=0,0,(C199-Z199)/C199)</f>
        <v/>
      </c>
      <c r="AB199">
        <f>IF(D199=0,0,F199/D199)</f>
        <v/>
      </c>
    </row>
    <row r="200">
      <c r="F200">
        <f>D200-N200</f>
        <v/>
      </c>
      <c r="G200">
        <f>IF(N200=0,0,F200/N200)</f>
        <v/>
      </c>
      <c r="L200">
        <f>IF(H200=0,0,AB200/(H200/30))</f>
        <v/>
      </c>
      <c r="O200">
        <f>MAX(0,(30*H200/30)-AB200)</f>
        <v/>
      </c>
      <c r="P200">
        <f>N200*O200</f>
        <v/>
      </c>
      <c r="Y200">
        <f>IF(C200=0,0,(C200-X200)/C200)</f>
        <v/>
      </c>
      <c r="AA200">
        <f>IF(C200=0,0,(C200-Z200)/C200)</f>
        <v/>
      </c>
      <c r="AB200">
        <f>IF(D200=0,0,F200/D200)</f>
        <v/>
      </c>
    </row>
    <row r="201">
      <c r="F201">
        <f>D201-N201</f>
        <v/>
      </c>
      <c r="G201">
        <f>IF(N201=0,0,F201/N201)</f>
        <v/>
      </c>
      <c r="L201">
        <f>IF(H201=0,0,AB201/(H201/30))</f>
        <v/>
      </c>
      <c r="O201">
        <f>MAX(0,(30*H201/30)-AB201)</f>
        <v/>
      </c>
      <c r="P201">
        <f>N201*O201</f>
        <v/>
      </c>
      <c r="Y201">
        <f>IF(C201=0,0,(C201-X201)/C201)</f>
        <v/>
      </c>
      <c r="AA201">
        <f>IF(C201=0,0,(C201-Z201)/C201)</f>
        <v/>
      </c>
      <c r="AB201">
        <f>IF(D201=0,0,F201/D201)</f>
        <v/>
      </c>
    </row>
    <row r="202">
      <c r="F202">
        <f>D202-N202</f>
        <v/>
      </c>
      <c r="G202">
        <f>IF(N202=0,0,F202/N202)</f>
        <v/>
      </c>
      <c r="L202">
        <f>IF(H202=0,0,AB202/(H202/30))</f>
        <v/>
      </c>
      <c r="O202">
        <f>MAX(0,(30*H202/30)-AB202)</f>
        <v/>
      </c>
      <c r="P202">
        <f>N202*O202</f>
        <v/>
      </c>
      <c r="Y202">
        <f>IF(C202=0,0,(C202-X202)/C202)</f>
        <v/>
      </c>
      <c r="AA202">
        <f>IF(C202=0,0,(C202-Z202)/C202)</f>
        <v/>
      </c>
      <c r="AB202">
        <f>IF(D202=0,0,F202/D202)</f>
        <v/>
      </c>
    </row>
    <row r="203">
      <c r="F203">
        <f>D203-N203</f>
        <v/>
      </c>
      <c r="G203">
        <f>IF(N203=0,0,F203/N203)</f>
        <v/>
      </c>
      <c r="L203">
        <f>IF(H203=0,0,AB203/(H203/30))</f>
        <v/>
      </c>
      <c r="O203">
        <f>MAX(0,(30*H203/30)-AB203)</f>
        <v/>
      </c>
      <c r="P203">
        <f>N203*O203</f>
        <v/>
      </c>
      <c r="Y203">
        <f>IF(C203=0,0,(C203-X203)/C203)</f>
        <v/>
      </c>
      <c r="AA203">
        <f>IF(C203=0,0,(C203-Z203)/C203)</f>
        <v/>
      </c>
      <c r="AB203">
        <f>IF(D203=0,0,F203/D203)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Total Items</t>
        </is>
      </c>
      <c r="B1" s="2" t="n">
        <v>4389</v>
      </c>
      <c r="C1" s="1" t="inlineStr">
        <is>
          <t>Matches Found on AMZ</t>
        </is>
      </c>
      <c r="D1" s="2" t="n">
        <v>4389</v>
      </c>
      <c r="E1" s="1" t="inlineStr">
        <is>
          <t>Not Found on AMZ</t>
        </is>
      </c>
      <c r="F1" s="2" t="n">
        <v>0</v>
      </c>
    </row>
    <row r="3">
      <c r="A3" s="5" t="inlineStr">
        <is>
          <t>ASIN</t>
        </is>
      </c>
      <c r="B3" s="5" t="inlineStr">
        <is>
          <t>Product ID</t>
        </is>
      </c>
      <c r="C3" s="5" t="inlineStr">
        <is>
          <t>Title</t>
        </is>
      </c>
      <c r="D3" s="5" t="inlineStr">
        <is>
          <t>Package Quantity</t>
        </is>
      </c>
      <c r="E3" s="5" t="inlineStr">
        <is>
          <t>Brand</t>
        </is>
      </c>
      <c r="F3" s="5" t="inlineStr">
        <is>
          <t>Product Group</t>
        </is>
      </c>
      <c r="G3" s="5" t="inlineStr">
        <is>
          <t>Total Offers</t>
        </is>
      </c>
      <c r="H3" s="5" t="inlineStr">
        <is>
          <t>Sales Rank</t>
        </is>
      </c>
      <c r="I3" s="5" t="inlineStr">
        <is>
          <t>Estimated Number of Sales</t>
        </is>
      </c>
      <c r="J3" s="5" t="inlineStr">
        <is>
          <t>Profit</t>
        </is>
      </c>
      <c r="K3" s="5" t="inlineStr">
        <is>
          <t>Margin</t>
        </is>
      </c>
      <c r="L3" s="5" t="inlineStr">
        <is>
          <t>ROI</t>
        </is>
      </c>
      <c r="M3" s="5" t="inlineStr">
        <is>
          <t>Purchase Price</t>
        </is>
      </c>
      <c r="N3" s="5" t="inlineStr">
        <is>
          <t>Sell Price</t>
        </is>
      </c>
      <c r="O3" s="5" t="inlineStr">
        <is>
          <t>Buy Box Landed</t>
        </is>
      </c>
      <c r="P3" s="5" t="inlineStr">
        <is>
          <t>Seller Proceeds</t>
        </is>
      </c>
      <c r="Q3" s="5" t="inlineStr">
        <is>
          <t>Low New Fba Price</t>
        </is>
      </c>
      <c r="R3" s="5" t="inlineStr">
        <is>
          <t>Low New Mfn Price</t>
        </is>
      </c>
      <c r="S3" s="5" t="inlineStr">
        <is>
          <t>Referral Fee</t>
        </is>
      </c>
      <c r="T3" s="5" t="inlineStr">
        <is>
          <t>Variable Closing Fee</t>
        </is>
      </c>
      <c r="U3" s="5" t="inlineStr">
        <is>
          <t>Fulfillment Subtotal</t>
        </is>
      </c>
      <c r="V3" s="5" t="inlineStr">
        <is>
          <t>Cost Sub Total</t>
        </is>
      </c>
      <c r="W3" s="5" t="inlineStr">
        <is>
          <t>VAT %</t>
        </is>
      </c>
      <c r="X3" s="5" t="inlineStr">
        <is>
          <t>VAT $</t>
        </is>
      </c>
      <c r="Y3" s="5" t="inlineStr">
        <is>
          <t>Inbound Shipping Estimate</t>
        </is>
      </c>
      <c r="Z3" s="5" t="inlineStr">
        <is>
          <t>Package Weight</t>
        </is>
      </c>
      <c r="AA3" s="5" t="inlineStr">
        <is>
          <t>Package Height</t>
        </is>
      </c>
      <c r="AB3" s="5" t="inlineStr">
        <is>
          <t>Package Length</t>
        </is>
      </c>
      <c r="AC3" s="5" t="inlineStr">
        <is>
          <t>Package Width</t>
        </is>
      </c>
      <c r="AD3" s="5" t="inlineStr">
        <is>
          <t>New FBA Num Offers</t>
        </is>
      </c>
      <c r="AE3" s="5" t="inlineStr">
        <is>
          <t>New MFN Num Offers</t>
        </is>
      </c>
      <c r="AF3" s="5" t="inlineStr">
        <is>
          <t>Keepa</t>
        </is>
      </c>
      <c r="AG3" s="5" t="inlineStr">
        <is>
          <t>CamelCC</t>
        </is>
      </c>
      <c r="AH3" s="5" t="inlineStr">
        <is>
          <t>Size</t>
        </is>
      </c>
      <c r="AI3" s="5" t="inlineStr">
        <is>
          <t>Last Run</t>
        </is>
      </c>
      <c r="AJ3" s="5" t="inlineStr">
        <is>
          <t>Item Number</t>
        </is>
      </c>
      <c r="AK3" s="5" t="inlineStr">
        <is>
          <t>PRODUCT</t>
        </is>
      </c>
      <c r="AL3" s="5" t="inlineStr">
        <is>
          <t>SKU #</t>
        </is>
      </c>
      <c r="AM3" s="5" t="inlineStr">
        <is>
          <t>Size(1)</t>
        </is>
      </c>
      <c r="AN3" s="5" t="inlineStr">
        <is>
          <t>Case Pk</t>
        </is>
      </c>
      <c r="AO3" s="5" t="inlineStr">
        <is>
          <t>Salon price / each</t>
        </is>
      </c>
      <c r="AP3" s="5" t="inlineStr">
        <is>
          <t>Salon price / case</t>
        </is>
      </c>
      <c r="AQ3" s="5" t="inlineStr">
        <is>
          <t>QTY</t>
        </is>
      </c>
      <c r="AR3" s="5" t="inlineStr">
        <is>
          <t>YOUR TOTAL COST</t>
        </is>
      </c>
      <c r="AS3" s="5" t="inlineStr">
        <is>
          <t>CASE COUNT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Item Code</t>
        </is>
      </c>
      <c r="B1" s="5" t="inlineStr">
        <is>
          <t>Description</t>
        </is>
      </c>
      <c r="C1" s="5" t="inlineStr">
        <is>
          <t>Unit Cost</t>
        </is>
      </c>
      <c r="D1" s="5" t="inlineStr">
        <is>
          <t>Order Qty</t>
        </is>
      </c>
      <c r="E1" s="5" t="inlineStr">
        <is>
          <t>Total Amount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30 wt</t>
        </is>
      </c>
      <c r="C1" s="1" t="inlineStr">
        <is>
          <t>90 wt</t>
        </is>
      </c>
      <c r="D1" s="1" t="inlineStr">
        <is>
          <t>180 wt</t>
        </is>
      </c>
      <c r="F1" s="1" t="inlineStr">
        <is>
          <t>AMZ Less:</t>
        </is>
      </c>
    </row>
    <row r="2">
      <c r="B2" s="2" t="n">
        <v>1</v>
      </c>
      <c r="C2" s="2" t="n">
        <v>3</v>
      </c>
      <c r="D2" s="2" t="n">
        <v>1</v>
      </c>
      <c r="F2" s="4" t="n">
        <v>0.05</v>
      </c>
    </row>
    <row r="3">
      <c r="A3" s="5" t="inlineStr">
        <is>
          <t>ASIN</t>
        </is>
      </c>
      <c r="B3" s="5" t="inlineStr">
        <is>
          <t>Baseline</t>
        </is>
      </c>
      <c r="C3" s="5" t="inlineStr">
        <is>
          <t>BB Avg</t>
        </is>
      </c>
      <c r="D3" s="5" t="inlineStr">
        <is>
          <t>AMZ Avg</t>
        </is>
      </c>
      <c r="E3" s="5" t="inlineStr">
        <is>
          <t>wtd avg</t>
        </is>
      </c>
      <c r="F3" s="5" t="inlineStr">
        <is>
          <t>Variations</t>
        </is>
      </c>
      <c r="G3" s="5" t="inlineStr">
        <is>
          <t>Review Wt</t>
        </is>
      </c>
      <c r="H3" s="5" t="inlineStr">
        <is>
          <t>Confidence</t>
        </is>
      </c>
      <c r="I3" s="5" t="inlineStr">
        <is>
          <t>ASIN_SRC</t>
        </is>
      </c>
      <c r="J3" s="5" t="inlineStr">
        <is>
          <t>Title</t>
        </is>
      </c>
      <c r="K3" s="5" t="inlineStr">
        <is>
          <t>Buy Box: Current</t>
        </is>
      </c>
      <c r="L3" s="5" t="inlineStr">
        <is>
          <t>Buy Box: 30 days avg.</t>
        </is>
      </c>
      <c r="M3" s="5" t="inlineStr">
        <is>
          <t>Buy Box: 30 days drop %</t>
        </is>
      </c>
      <c r="N3" s="5" t="inlineStr">
        <is>
          <t>Buy Box: 90 days avg.</t>
        </is>
      </c>
      <c r="O3" s="5" t="inlineStr">
        <is>
          <t>Buy Box: 90 days drop %</t>
        </is>
      </c>
      <c r="P3" s="5" t="inlineStr">
        <is>
          <t>Buy Box: 180 days avg.</t>
        </is>
      </c>
      <c r="Q3" s="5" t="inlineStr">
        <is>
          <t>Buy Box Seller</t>
        </is>
      </c>
      <c r="R3" s="5" t="inlineStr">
        <is>
          <t>Amazon: Current</t>
        </is>
      </c>
      <c r="S3" s="5" t="inlineStr">
        <is>
          <t>Amazon: 30 days avg.</t>
        </is>
      </c>
      <c r="T3" s="5" t="inlineStr">
        <is>
          <t>Amazon: 30 days drop %</t>
        </is>
      </c>
      <c r="U3" s="5" t="inlineStr">
        <is>
          <t>Amazon: 90 days avg.</t>
        </is>
      </c>
      <c r="V3" s="5" t="inlineStr">
        <is>
          <t>Amazon: 90 days drop %</t>
        </is>
      </c>
      <c r="W3" s="5" t="inlineStr">
        <is>
          <t>Amazon: 180 days avg.</t>
        </is>
      </c>
      <c r="X3" s="5" t="inlineStr">
        <is>
          <t>Amazon out of stock percentage: 90 days OOS %</t>
        </is>
      </c>
      <c r="Y3" s="5" t="inlineStr">
        <is>
          <t>Sales Rank: Current</t>
        </is>
      </c>
      <c r="Z3" s="5" t="inlineStr">
        <is>
          <t>Sales Rank: 30 days avg.</t>
        </is>
      </c>
      <c r="AA3" s="5" t="inlineStr">
        <is>
          <t>Sales Rank: 30 days drop %</t>
        </is>
      </c>
      <c r="AB3" s="5" t="inlineStr">
        <is>
          <t>Sales Rank: 90 days avg.</t>
        </is>
      </c>
      <c r="AC3" s="5" t="inlineStr">
        <is>
          <t>Sales Rank: 90 days drop %</t>
        </is>
      </c>
      <c r="AD3" s="5" t="inlineStr">
        <is>
          <t>Sales Rank: 180 days avg.</t>
        </is>
      </c>
      <c r="AE3" s="5" t="inlineStr">
        <is>
          <t>Count of retrieved live offers: New, FBA</t>
        </is>
      </c>
      <c r="AF3" s="5" t="inlineStr">
        <is>
          <t>Count of retrieved live offers: New, FBM</t>
        </is>
      </c>
      <c r="AG3" s="5" t="inlineStr">
        <is>
          <t>New Offer Count: Current</t>
        </is>
      </c>
      <c r="AH3" s="5" t="inlineStr">
        <is>
          <t>New Offer Count: 90 days avg.</t>
        </is>
      </c>
      <c r="AI3" s="5" t="inlineStr">
        <is>
          <t>New, 3rd Party FBA: 30 days avg.</t>
        </is>
      </c>
      <c r="AJ3" s="5" t="inlineStr">
        <is>
          <t>New, 3rd Party FBA: 90 days avg.</t>
        </is>
      </c>
      <c r="AK3" s="5" t="inlineStr">
        <is>
          <t>New, 3rd Party FBA: 180 days avg.</t>
        </is>
      </c>
      <c r="AL3" s="5" t="inlineStr">
        <is>
          <t>Variation ASINs</t>
        </is>
      </c>
      <c r="AM3" s="5" t="inlineStr">
        <is>
          <t>Parent ASIN</t>
        </is>
      </c>
      <c r="AN3" s="5" t="inlineStr">
        <is>
          <t>Reviews: Reviews - Format Specific</t>
        </is>
      </c>
      <c r="AO3" s="5" t="inlineStr">
        <is>
          <t>Variation Attributes</t>
        </is>
      </c>
      <c r="AP3" s="5" t="inlineStr">
        <is>
          <t>Reviews: Review Count</t>
        </is>
      </c>
      <c r="AQ3" s="5" t="inlineStr">
        <is>
          <t>Model</t>
        </is>
      </c>
      <c r="AR3" s="5" t="inlineStr">
        <is>
          <t>Number of Items</t>
        </is>
      </c>
      <c r="AS3" s="5" t="inlineStr">
        <is>
          <t>Categories: Root</t>
        </is>
      </c>
      <c r="AT3" s="5" t="inlineStr">
        <is>
          <t>FBA Fees:</t>
        </is>
      </c>
      <c r="AU3" s="5" t="inlineStr">
        <is>
          <t>Referral Fee %</t>
        </is>
      </c>
      <c r="AV3" s="5" t="inlineStr">
        <is>
          <t>Buy Box out of stock percentage: 90 days OOS 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Image</t>
        </is>
      </c>
      <c r="B1" s="5" t="inlineStr">
        <is>
          <t>Name</t>
        </is>
      </c>
      <c r="C1" s="5" t="inlineStr">
        <is>
          <t>SKU</t>
        </is>
      </c>
      <c r="D1" s="5" t="inlineStr">
        <is>
          <t>Barcode</t>
        </is>
      </c>
      <c r="E1" s="5" t="inlineStr">
        <is>
          <t>Cost Price</t>
        </is>
      </c>
      <c r="F1" s="5" t="inlineStr">
        <is>
          <t>Price</t>
        </is>
      </c>
      <c r="G1" s="5" t="inlineStr">
        <is>
          <t>Replenishment</t>
        </is>
      </c>
      <c r="H1" s="5" t="inlineStr">
        <is>
          <t>To Order</t>
        </is>
      </c>
      <c r="I1" s="5" t="inlineStr">
        <is>
          <t>Stock</t>
        </is>
      </c>
      <c r="J1" s="5" t="inlineStr">
        <is>
          <t>On Order</t>
        </is>
      </c>
      <c r="K1" s="5" t="inlineStr">
        <is>
          <t>Sales</t>
        </is>
      </c>
      <c r="L1" s="5" t="inlineStr">
        <is>
          <t>Adjusted Sales Velocity/mo</t>
        </is>
      </c>
      <c r="M1" s="5" t="inlineStr">
        <is>
          <t>Lead Time</t>
        </is>
      </c>
      <c r="N1" s="5" t="inlineStr">
        <is>
          <t>Days of Stock</t>
        </is>
      </c>
      <c r="O1" s="5" t="inlineStr">
        <is>
          <t>Vendors</t>
        </is>
      </c>
      <c r="P1" s="5" t="inlineStr">
        <is>
          <t>Brand</t>
        </is>
      </c>
      <c r="Q1" s="5" t="inlineStr">
        <is>
          <t>AVG Retail Price</t>
        </is>
      </c>
      <c r="R1" s="5" t="inlineStr">
        <is>
          <t>Replenishable</t>
        </is>
      </c>
      <c r="S1" s="5" t="inlineStr">
        <is>
          <t>In Buy Sheet?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2026-01-05T14:49:01Z</dcterms:created>
  <dcterms:modified xsi:type="dcterms:W3CDTF">2026-01-05T14:49:01Z</dcterms:modified>
</cp:coreProperties>
</file>