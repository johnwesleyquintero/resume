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Y" sheetId="2" state="visible" r:id="rId2"/>
    <sheet name="AZInsight_Data" sheetId="3" state="visible" r:id="rId3"/>
    <sheet name="ORDER" sheetId="4" state="visible" r:id="rId4"/>
    <sheet name="KEEPA" sheetId="5" state="visible" r:id="rId5"/>
    <sheet name="IP Qty" sheetId="6" state="visible" r:id="rId6"/>
  </sheets>
  <definedNames>
    <definedName name="_xlnm._FilterDatabase" localSheetId="0" hidden="1">'README'!$A$1:$B$201</definedName>
    <definedName name="_xlnm._FilterDatabase" localSheetId="1" hidden="1">'BUY'!$A$3:$AW$203</definedName>
    <definedName name="_xlnm._FilterDatabase" localSheetId="2" hidden="1">'AZInsight_Data'!$A$3:$AS$203</definedName>
    <definedName name="_xlnm._FilterDatabase" localSheetId="3" hidden="1">'ORDER'!$A$1:$E$201</definedName>
    <definedName name="_xlnm._FilterDatabase" localSheetId="4" hidden="1">'KEEPA'!$A$3:$AV$203</definedName>
    <definedName name="_xlnm._FilterDatabase" localSheetId="5" hidden="1">'IP Qty'!$A$1:$S$201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FFD966"/>
        <bgColor rgb="00FFD9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0" fillId="3" borderId="0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center" vertical="center"/>
    </xf>
    <xf numFmtId="2" fontId="0" fillId="4" borderId="0" applyAlignment="1" pivotButton="0" quotePrefix="0" xfId="0">
      <alignment horizontal="center" vertical="center"/>
    </xf>
    <xf numFmtId="3" fontId="0" fillId="4" borderId="0" applyAlignment="1" pivotButton="0" quotePrefix="0" xfId="0">
      <alignment horizontal="center" vertical="center"/>
    </xf>
    <xf numFmtId="2" fontId="0" fillId="4" borderId="0" applyAlignment="1" applyProtection="1" pivotButton="0" quotePrefix="0" xfId="0">
      <alignment horizontal="center" vertical="center"/>
      <protection locked="0" hidden="0"/>
    </xf>
    <xf numFmtId="1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4" fontId="0" fillId="0" borderId="0" applyProtection="1" pivotButton="0" quotePrefix="0" xfId="0">
      <protection locked="0" hidden="0"/>
    </xf>
    <xf numFmtId="10" fontId="0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</dxf>
    <dxf>
      <font>
        <color rgb="FF9C6500"/>
      </font>
      <fill>
        <patternFill patternType="solid">
          <fgColor rgb="FFFFEB9C"/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Section</t>
        </is>
      </c>
      <c r="B1" s="1" t="inlineStr">
        <is>
          <t>Description / Logic</t>
        </is>
      </c>
    </row>
    <row r="2">
      <c r="A2" s="2" t="inlineStr">
        <is>
          <t>AUTHOR</t>
        </is>
      </c>
      <c r="B2" s="3" t="inlineStr">
        <is>
          <t>John Wesley Quintero</t>
        </is>
      </c>
    </row>
    <row r="3">
      <c r="A3" s="2" t="inlineStr">
        <is>
          <t>USER GUIDE</t>
        </is>
      </c>
      <c r="B3" s="3" t="inlineStr">
        <is>
          <t>This workbook is used to calculate and recommend wholesale buys based on Amazon and Keepa data.</t>
        </is>
      </c>
    </row>
    <row r="4">
      <c r="A4" s="4" t="inlineStr">
        <is>
          <t>BUY Tab</t>
        </is>
      </c>
      <c r="B4" s="5" t="inlineStr">
        <is>
          <t>Main decision sheet. Enter ASINs here to see order recommendations.</t>
        </is>
      </c>
    </row>
    <row r="5">
      <c r="A5" s="4" t="inlineStr">
        <is>
          <t>AZInsight_Data Tab</t>
        </is>
      </c>
      <c r="B5" s="5" t="inlineStr">
        <is>
          <t>Raw data from AZInsight research tool. Paste your Amazon research exports here.</t>
        </is>
      </c>
    </row>
    <row r="6">
      <c r="A6" s="4" t="inlineStr">
        <is>
          <t>KEEPA Tab</t>
        </is>
      </c>
      <c r="B6" s="5" t="inlineStr">
        <is>
          <t>Historical price and rank data. Paste Keepa data exports here.</t>
        </is>
      </c>
    </row>
    <row r="7">
      <c r="A7" s="4" t="inlineStr">
        <is>
          <t>IP Qty Tab</t>
        </is>
      </c>
      <c r="B7" s="5" t="inlineStr">
        <is>
          <t>Inventory Planning data. Used for barcode lookups and stock levels.</t>
        </is>
      </c>
    </row>
    <row r="8">
      <c r="A8" s="4" t="inlineStr"/>
      <c r="B8" s="5" t="inlineStr"/>
    </row>
    <row r="9">
      <c r="A9" s="2" t="inlineStr">
        <is>
          <t>CORE CALCULATIONS</t>
        </is>
      </c>
      <c r="B9" s="3" t="inlineStr">
        <is>
          <t>Key formulas used in this template:</t>
        </is>
      </c>
    </row>
    <row r="10">
      <c r="A10" s="4" t="inlineStr">
        <is>
          <t>Weighted BB Avg</t>
        </is>
      </c>
      <c r="B10" s="5" t="inlineStr">
        <is>
          <t>((30d Avg * 30wt) + (90d Avg * 90wt) + (180d Avg * 180wt)) / Total Weights</t>
        </is>
      </c>
    </row>
    <row r="11">
      <c r="A11" s="4" t="inlineStr">
        <is>
          <t>wtd avg</t>
        </is>
      </c>
      <c r="B11" s="5" t="inlineStr">
        <is>
          <t>If AMZ OOS &gt;= 65%, use BB Avg. Otherwise, use MIN(BB Avg, AMZ Avg * (1 - AMZ Less)).</t>
        </is>
      </c>
    </row>
    <row r="12">
      <c r="A12" s="4" t="inlineStr">
        <is>
          <t>Var. Opp.</t>
        </is>
      </c>
      <c r="B12" s="5" t="inlineStr">
        <is>
          <t>Estimated Sales * Variation Weight * (Target Days / 30). Adjusted by AMZ Boss multiplier if applicable.</t>
        </is>
      </c>
    </row>
    <row r="13">
      <c r="A13" s="4" t="inlineStr">
        <is>
          <t>ROI/Profit</t>
        </is>
      </c>
      <c r="B13" s="5" t="inlineStr">
        <is>
          <t>Highlights 'OK' if ROI &gt;= Min ROI AND Profit &gt;= Min Profit thresholds.</t>
        </is>
      </c>
    </row>
    <row r="14">
      <c r="A14" s="4" t="inlineStr">
        <is>
          <t>% Chng30/90</t>
        </is>
      </c>
      <c r="B14" s="5" t="inlineStr">
        <is>
          <t>(Avg BSR - Current BSR) / Avg BSR. Positive means rank is improving.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B2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5" customWidth="1" min="2" max="2"/>
    <col width="12" customWidth="1" min="3" max="3"/>
    <col width="15" customWidth="1" min="4" max="4"/>
    <col width="15" customWidth="1" min="5" max="5"/>
    <col width="12" customWidth="1" min="6" max="6"/>
    <col width="14" customWidth="1" min="7" max="7"/>
    <col width="12" customWidth="1" min="8" max="8"/>
    <col width="15" customWidth="1" min="9" max="9"/>
    <col width="15" customWidth="1" min="10" max="10"/>
    <col width="14" customWidth="1" min="11" max="11"/>
    <col width="14" customWidth="1" min="12" max="12"/>
    <col width="14" customWidth="1" min="13" max="13"/>
    <col width="12" customWidth="1" min="14" max="14"/>
    <col width="15" customWidth="1" min="15" max="15"/>
    <col width="12" customWidth="1" min="16" max="16"/>
    <col width="12" customWidth="1" min="17" max="17"/>
    <col width="16" customWidth="1" min="18" max="18"/>
    <col width="55" customWidth="1" min="19" max="19"/>
    <col width="14" customWidth="1" min="20" max="20"/>
    <col width="12" customWidth="1" min="21" max="21"/>
    <col width="14" customWidth="1" min="22" max="22"/>
    <col width="15" customWidth="1" min="23" max="23"/>
    <col width="15" customWidth="1" min="24" max="24"/>
    <col width="12" customWidth="1" min="25" max="25"/>
    <col width="12" customWidth="1" min="26" max="26"/>
    <col width="15" customWidth="1" min="27" max="27"/>
    <col width="15" customWidth="1" min="28" max="28"/>
    <col width="15" customWidth="1" min="29" max="29"/>
    <col width="12" customWidth="1" min="30" max="30"/>
    <col width="14" customWidth="1" min="31" max="31"/>
    <col width="15" customWidth="1" min="32" max="32"/>
    <col width="15" customWidth="1" min="33" max="33"/>
    <col width="12" customWidth="1" min="34" max="34"/>
    <col width="12" customWidth="1" min="35" max="35"/>
    <col width="15" customWidth="1" min="36" max="36"/>
    <col width="12" customWidth="1" min="37" max="37"/>
    <col width="15" customWidth="1" min="38" max="38"/>
    <col width="12" customWidth="1" min="39" max="39"/>
    <col width="15" customWidth="1" min="40" max="40"/>
    <col width="15" customWidth="1" min="41" max="41"/>
    <col width="15" customWidth="1" min="42" max="42"/>
    <col width="15" customWidth="1" min="43" max="43"/>
    <col width="10" customWidth="1" min="44" max="44"/>
    <col width="10" customWidth="1" min="45" max="45"/>
    <col width="15" customWidth="1" min="46" max="46"/>
    <col width="15" customWidth="1" min="47" max="47"/>
    <col width="15" customWidth="1" min="48" max="48"/>
    <col width="15" customWidth="1" min="49" max="49"/>
  </cols>
  <sheetData>
    <row r="1">
      <c r="A1" s="6" t="inlineStr">
        <is>
          <t>Total Items</t>
        </is>
      </c>
      <c r="B1" s="7" t="n">
        <v>0</v>
      </c>
      <c r="C1" s="6" t="inlineStr">
        <is>
          <t>Min Est Qty</t>
        </is>
      </c>
      <c r="D1" s="7" t="n">
        <v>30</v>
      </c>
      <c r="H1" s="6" t="inlineStr">
        <is>
          <t>Min Sell Price</t>
        </is>
      </c>
      <c r="I1" s="6" t="inlineStr">
        <is>
          <t>Max BSR</t>
        </is>
      </c>
      <c r="L1" s="6" t="inlineStr">
        <is>
          <t>3PL / Unit</t>
        </is>
      </c>
      <c r="O1" s="6" t="inlineStr">
        <is>
          <t>Total Profit</t>
        </is>
      </c>
      <c r="P1" s="6" t="inlineStr">
        <is>
          <t>Overall ROI</t>
        </is>
      </c>
      <c r="Q1" s="6" t="inlineStr">
        <is>
          <t>Total Sales</t>
        </is>
      </c>
      <c r="U1" s="6" t="inlineStr">
        <is>
          <t>Max Order Qty</t>
        </is>
      </c>
      <c r="V1" s="6" t="inlineStr">
        <is>
          <t>Days of Stock</t>
        </is>
      </c>
      <c r="W1" s="6" t="inlineStr">
        <is>
          <t>Supplier Commission</t>
        </is>
      </c>
      <c r="X1" s="6" t="inlineStr">
        <is>
          <t>Discount</t>
        </is>
      </c>
      <c r="Y1" s="6" t="inlineStr">
        <is>
          <t>Total Units</t>
        </is>
      </c>
      <c r="Z1" s="6" t="inlineStr">
        <is>
          <t>Total Amount</t>
        </is>
      </c>
      <c r="AA1" s="6" t="inlineStr">
        <is>
          <t>AMZ Less</t>
        </is>
      </c>
      <c r="AB1" s="6" t="inlineStr">
        <is>
          <t>Case Pk Default</t>
        </is>
      </c>
      <c r="AC1" s="6" t="inlineStr">
        <is>
          <t>Min ROI</t>
        </is>
      </c>
      <c r="AD1" s="6" t="inlineStr">
        <is>
          <t>25%</t>
        </is>
      </c>
      <c r="AE1" s="6" t="inlineStr">
        <is>
          <t>20%</t>
        </is>
      </c>
      <c r="AI1" s="6" t="inlineStr">
        <is>
          <t>Max BSR 30</t>
        </is>
      </c>
      <c r="AJ1" s="6" t="inlineStr">
        <is>
          <t>Max Chng 30</t>
        </is>
      </c>
      <c r="AK1" s="6" t="inlineStr">
        <is>
          <t>Max BSR 90</t>
        </is>
      </c>
      <c r="AL1" s="6" t="inlineStr">
        <is>
          <t>Max Chng 90</t>
        </is>
      </c>
      <c r="AM1" s="6" t="inlineStr">
        <is>
          <t>Min Est Qty</t>
        </is>
      </c>
      <c r="AN1" s="6" t="inlineStr">
        <is>
          <t>Var Opp</t>
        </is>
      </c>
      <c r="AO1" s="6" t="inlineStr">
        <is>
          <t>Max AMZ OOS</t>
        </is>
      </c>
      <c r="AP1" s="6" t="inlineStr">
        <is>
          <t>Max Bbox OOS</t>
        </is>
      </c>
    </row>
    <row r="2">
      <c r="E2">
        <f>SUM(L4:L204)</f>
        <v/>
      </c>
      <c r="F2">
        <f>IFERROR(E2/SUM(T4:T204), 0)</f>
        <v/>
      </c>
      <c r="G2">
        <f>SUM(N4:N204)</f>
        <v/>
      </c>
      <c r="H2" s="7" t="n">
        <v>9</v>
      </c>
      <c r="I2" s="8" t="n">
        <v>100000</v>
      </c>
      <c r="L2" s="9" t="n">
        <v>0</v>
      </c>
      <c r="O2" s="7">
        <f>SUM(U4:U204)</f>
        <v/>
      </c>
      <c r="P2" s="7">
        <f>SUM(V4:V204)</f>
        <v/>
      </c>
      <c r="Q2" s="9" t="n">
        <v>0</v>
      </c>
      <c r="U2" s="7" t="n">
        <v>240</v>
      </c>
      <c r="V2" s="7" t="n">
        <v>60</v>
      </c>
      <c r="W2" s="7" t="n">
        <v>0</v>
      </c>
      <c r="X2" s="7" t="n">
        <v>0</v>
      </c>
      <c r="Y2" s="7" t="n">
        <v>0</v>
      </c>
      <c r="Z2" s="7" t="n">
        <v>0</v>
      </c>
      <c r="AA2" s="7" t="n">
        <v>0</v>
      </c>
      <c r="AB2" s="7" t="n">
        <v>12</v>
      </c>
      <c r="AC2" s="10" t="n">
        <v>0.05</v>
      </c>
      <c r="AD2" s="10" t="n">
        <v>0.25</v>
      </c>
      <c r="AE2" s="10" t="n">
        <v>0.2</v>
      </c>
      <c r="AF2" s="11" t="inlineStr">
        <is>
          <t>Min Profit</t>
        </is>
      </c>
      <c r="AG2" s="7" t="n">
        <v>1.5</v>
      </c>
      <c r="AH2" s="7" t="n">
        <v>2</v>
      </c>
      <c r="AI2" s="8" t="n">
        <v>125000</v>
      </c>
      <c r="AJ2" s="10" t="n">
        <v>0.5</v>
      </c>
      <c r="AK2" s="8" t="n">
        <v>150000</v>
      </c>
      <c r="AL2" s="10" t="n">
        <v>0.75</v>
      </c>
      <c r="AM2" s="7" t="n">
        <v>300</v>
      </c>
      <c r="AN2" s="10" t="n">
        <v>0.07000000000000001</v>
      </c>
      <c r="AO2" s="10" t="n">
        <v>0.35</v>
      </c>
      <c r="AP2" s="10" t="n">
        <v>0.5</v>
      </c>
    </row>
    <row r="3">
      <c r="A3" s="1" t="inlineStr">
        <is>
          <t>ASIN</t>
        </is>
      </c>
      <c r="B3" s="1" t="inlineStr">
        <is>
          <t>AMZ Title</t>
        </is>
      </c>
      <c r="C3" s="1" t="inlineStr">
        <is>
          <t>Est. Qty</t>
        </is>
      </c>
      <c r="D3" s="1" t="inlineStr">
        <is>
          <t>New FBA</t>
        </is>
      </c>
      <c r="E3" s="1" t="inlineStr">
        <is>
          <t>New MFN</t>
        </is>
      </c>
      <c r="F3" s="1" t="inlineStr">
        <is>
          <t>Total Offers</t>
        </is>
      </c>
      <c r="G3" s="1" t="inlineStr">
        <is>
          <t>Sell Price</t>
        </is>
      </c>
      <c r="H3" s="1" t="inlineStr">
        <is>
          <t>Current BSR</t>
        </is>
      </c>
      <c r="I3" s="1" t="inlineStr">
        <is>
          <t>Referral %</t>
        </is>
      </c>
      <c r="J3" s="1" t="inlineStr">
        <is>
          <t>S &amp; H</t>
        </is>
      </c>
      <c r="K3" s="1" t="inlineStr">
        <is>
          <t>Proceeds</t>
        </is>
      </c>
      <c r="L3" s="1" t="inlineStr">
        <is>
          <t>Profit</t>
        </is>
      </c>
      <c r="M3" s="1" t="inlineStr">
        <is>
          <t>ROI</t>
        </is>
      </c>
      <c r="N3" s="1" t="inlineStr">
        <is>
          <t>Sales Opp.</t>
        </is>
      </c>
      <c r="O3" s="1" t="inlineStr">
        <is>
          <t>Suggested Pk</t>
        </is>
      </c>
      <c r="P3" s="1" t="inlineStr">
        <is>
          <t>Pack Qty</t>
        </is>
      </c>
      <c r="Q3" s="1" t="inlineStr">
        <is>
          <t>Odr Qty (Pk)</t>
        </is>
      </c>
      <c r="R3" s="1" t="inlineStr">
        <is>
          <t>Item Code</t>
        </is>
      </c>
      <c r="S3" s="1" t="inlineStr">
        <is>
          <t>Description</t>
        </is>
      </c>
      <c r="T3" s="1" t="inlineStr">
        <is>
          <t>Cost</t>
        </is>
      </c>
      <c r="U3" s="1" t="inlineStr">
        <is>
          <t>Order Qty (Unit)</t>
        </is>
      </c>
      <c r="V3" s="1" t="inlineStr">
        <is>
          <t>Order Amount</t>
        </is>
      </c>
      <c r="W3" s="1" t="inlineStr">
        <is>
          <t>Var Weight</t>
        </is>
      </c>
      <c r="X3" s="1" t="inlineStr">
        <is>
          <t>Case Pack</t>
        </is>
      </c>
      <c r="Y3" s="1" t="inlineStr">
        <is>
          <t>IP Qty</t>
        </is>
      </c>
      <c r="Z3" s="1" t="inlineStr">
        <is>
          <t>Stock</t>
        </is>
      </c>
      <c r="AA3" s="1" t="inlineStr">
        <is>
          <t>On Order</t>
        </is>
      </c>
      <c r="AB3" s="1" t="inlineStr">
        <is>
          <t>Velocity</t>
        </is>
      </c>
      <c r="AC3" s="1" t="inlineStr">
        <is>
          <t>Units Sold</t>
        </is>
      </c>
      <c r="AD3" s="1" t="inlineStr">
        <is>
          <t>Offers 90d</t>
        </is>
      </c>
      <c r="AE3" s="1" t="inlineStr">
        <is>
          <t>ROI/Profit</t>
        </is>
      </c>
      <c r="AF3" s="1" t="inlineStr">
        <is>
          <t>Visible</t>
        </is>
      </c>
      <c r="AG3" s="1" t="inlineStr">
        <is>
          <t>Var. Opp.</t>
        </is>
      </c>
      <c r="AH3" s="1" t="inlineStr">
        <is>
          <t>Use Qty</t>
        </is>
      </c>
      <c r="AI3" s="1" t="inlineStr">
        <is>
          <t>BSR 30 Avg</t>
        </is>
      </c>
      <c r="AJ3" s="1" t="inlineStr">
        <is>
          <t>% Chng30</t>
        </is>
      </c>
      <c r="AK3" s="1" t="inlineStr">
        <is>
          <t>BSR 90 Avg</t>
        </is>
      </c>
      <c r="AL3" s="1" t="inlineStr">
        <is>
          <t>% Chng90</t>
        </is>
      </c>
      <c r="AM3" s="1" t="inlineStr">
        <is>
          <t>Avail. Qty</t>
        </is>
      </c>
      <c r="AN3" s="1" t="inlineStr">
        <is>
          <t>AMZ Boss</t>
        </is>
      </c>
      <c r="AO3" s="1" t="inlineStr">
        <is>
          <t>AMZ OOS</t>
        </is>
      </c>
      <c r="AP3" s="1" t="inlineStr">
        <is>
          <t>Bbox OOS</t>
        </is>
      </c>
      <c r="AQ3" s="1" t="inlineStr">
        <is>
          <t>Brand</t>
        </is>
      </c>
      <c r="AR3" s="1" t="inlineStr">
        <is>
          <t>Keepa Link</t>
        </is>
      </c>
      <c r="AS3" s="1" t="inlineStr">
        <is>
          <t>AMZ Product Page</t>
        </is>
      </c>
      <c r="AT3" s="1" t="inlineStr">
        <is>
          <t>Check Gated in SC</t>
        </is>
      </c>
      <c r="AU3" s="1" t="inlineStr">
        <is>
          <t>Extra1</t>
        </is>
      </c>
      <c r="AV3" s="1" t="inlineStr">
        <is>
          <t>Extra2</t>
        </is>
      </c>
      <c r="AW3" s="1" t="inlineStr">
        <is>
          <t>Extra3</t>
        </is>
      </c>
    </row>
    <row r="4">
      <c r="A4" s="12" t="n"/>
      <c r="B4" s="12">
        <f>IFERROR(VLOOKUP(A4, AZInsight_Data!$A:$AS, 3, FALSE), "")</f>
        <v/>
      </c>
      <c r="C4" s="13">
        <f>IFERROR(VLOOKUP(A4, AZInsight_Data!$A:$AS, 9, FALSE), 0)</f>
        <v/>
      </c>
      <c r="D4">
        <f>IFERROR(VLOOKUP(A4, AZInsight_Data!$A:$AS, 17, FALSE), 0)</f>
        <v/>
      </c>
      <c r="E4">
        <f>IFERROR(VLOOKUP(A4, AZInsight_Data!$A:$AS, 18, FALSE), 0)</f>
        <v/>
      </c>
      <c r="F4" s="14">
        <f>IFERROR(VLOOKUP(A4, AZInsight_Data!$A:$AS, 7, FALSE), 0)</f>
        <v/>
      </c>
      <c r="G4" s="15">
        <f>IFERROR(VLOOKUP(A4, AZInsight_Data!$A:$AS, 14, FALSE), 0)</f>
        <v/>
      </c>
      <c r="H4" s="14">
        <f>IFERROR(VLOOKUP(A4, AZInsight_Data!$A:$AS, 8, FALSE), 0)</f>
        <v/>
      </c>
      <c r="I4" s="16">
        <f>IFERROR(VLOOKUP(A4, KEEPA!$A:$AW, 47, FALSE), 0)</f>
        <v/>
      </c>
      <c r="J4">
        <f>IFERROR(VLOOKUP(A4, AZInsight_Data!$A:$AS, 25, FALSE), 0)</f>
        <v/>
      </c>
      <c r="K4" s="15">
        <f>IFERROR(VLOOKUP(A4, AZInsight_Data!$A:$AS, 16, FALSE), 0)</f>
        <v/>
      </c>
      <c r="L4" s="15">
        <f>IFERROR(K4-T4-J4, 0)</f>
        <v/>
      </c>
      <c r="M4" s="16">
        <f>IFERROR(IF(T4=0, 0, L4/T4), 0)</f>
        <v/>
      </c>
      <c r="N4" s="14">
        <f>IFERROR(C4*($V$2/30), 0)</f>
        <v/>
      </c>
      <c r="O4">
        <f>IFERROR(VLOOKUP(A4, AZInsight_Data!$A:$AS, 40, FALSE), 1)</f>
        <v/>
      </c>
      <c r="P4" s="13">
        <f>IF(O4&gt;0, O4, 1)</f>
        <v/>
      </c>
      <c r="Q4" s="13">
        <f>IFERROR(U4/P4, 0)</f>
        <v/>
      </c>
      <c r="R4">
        <f>IFERROR(VLOOKUP(A4, AZInsight_Data!$A:$AS, 36, FALSE), "")</f>
        <v/>
      </c>
      <c r="S4">
        <f>IFERROR(VLOOKUP(A4, AZInsight_Data!$A:$AS, 3, FALSE), "")</f>
        <v/>
      </c>
      <c r="T4" s="17">
        <f>IFERROR(VLOOKUP(A4, AZInsight_Data!$A:$AS, 13, FALSE), 0)</f>
        <v/>
      </c>
      <c r="U4" s="13">
        <f>AH4</f>
        <v/>
      </c>
      <c r="V4" s="15">
        <f>T4*U4</f>
        <v/>
      </c>
      <c r="W4" s="16" t="n"/>
      <c r="X4" s="12">
        <f>IFERROR(VLOOKUP(A4, AZInsight_Data!$A:$AS, 40, FALSE), 1)</f>
        <v/>
      </c>
      <c r="Y4" s="13">
        <f>IFERROR(VLOOKUP(A4, IP Qty!$D:$R, 5, FALSE), 0)</f>
        <v/>
      </c>
      <c r="Z4" s="14">
        <f>IFERROR(VLOOKUP(A4, IP Qty!$D:$R, 6, FALSE), 0)</f>
        <v/>
      </c>
      <c r="AA4">
        <f>IFERROR(VLOOKUP(A4, IP Qty!$D:$R, 7, FALSE), 0)</f>
        <v/>
      </c>
      <c r="AB4">
        <f>IFERROR(VLOOKUP(A4, IP Qty!$D:$R, 9, FALSE), 0)</f>
        <v/>
      </c>
      <c r="AC4">
        <f>IFERROR(VLOOKUP(A4, IP Qty!$D:$R, 8, FALSE), 0)</f>
        <v/>
      </c>
      <c r="AD4" s="14">
        <f>IFERROR(VLOOKUP(A4, KEEPA!$A:$AW, 34, FALSE), 0)</f>
        <v/>
      </c>
      <c r="AE4" s="15">
        <f>IF(P4&gt;1, ((((M4&gt;=$AD$2)*(L4&gt;=$AH$2)) + ((M4&lt;$AD$2)*(M4&gt;=$AE$2)*(L4&gt;=$AG$2)) + ((M4&lt;$AE$2)*(M4&gt;=$AC$2)*(L4&gt;=0)))*2 * IF($AI$2=0, 1, AI4&lt;=$AI$2) * IF($AK$2=0, 1, AK4&lt;=$AK$2) * AND(N4&gt;=$D$1, H4&lt;=$I$2, G4&gt;=$H$2)), ((((M4&gt;=$AD$2)*(L4&gt;=$AH$2)) + ((M4&lt;$AD$2)*(M4&gt;=$AE$2)*(L4&gt;=$AG$2)) + ((M4&lt;$AE$2)*(M4&gt;=$AC$2)*(L4&gt;=0))) * IF($AI$2=0, 1, AI4&lt;=$AI$2) * IF($AK$2=0, 1, AK4&lt;=$AK$2) * AND(N4&gt;=$D$1, H4&lt;=$I$2, G4&gt;=$H$2)))</f>
        <v/>
      </c>
      <c r="AF4">
        <f>IF(AE4&gt;0, 1, 0)</f>
        <v/>
      </c>
      <c r="AG4">
        <f>IFERROR(IF(ISNUMBER(W4), IF(AN4, N4*W4*$AN$2, N4*W4), NA()), NA())</f>
        <v/>
      </c>
      <c r="AH4" s="13">
        <f>IFERROR(MIN(AG4, $U$2), 0)</f>
        <v/>
      </c>
      <c r="AI4" s="14">
        <f>IFERROR(VLOOKUP(A4, KEEPA!$A:$AW, 26, FALSE), 0)</f>
        <v/>
      </c>
      <c r="AJ4" s="16">
        <f>IFERROR(IF(AI4=0, 0, (AI4-H4)/H4), 0)</f>
        <v/>
      </c>
      <c r="AK4" s="14">
        <f>IFERROR(VLOOKUP(A4, KEEPA!$A:$AW, 28, FALSE), 0)</f>
        <v/>
      </c>
      <c r="AL4" s="16">
        <f>IFERROR(IF(AK4=0, 0, (AK4-H4)/H4), 0)</f>
        <v/>
      </c>
      <c r="AM4" s="13">
        <f>IFERROR(VLOOKUP(A4, AZInsight_Data!$A:$AS, 34, FALSE), 0)</f>
        <v/>
      </c>
      <c r="AN4">
        <f>IFERROR(AND(VLOOKUP(A4, KEEPA!$A:$AW, 2, FALSE)&lt;=$AO$2, N4 &gt;= $AM$2), FALSE)</f>
        <v/>
      </c>
      <c r="AO4" s="16">
        <f>IFERROR(VLOOKUP(A4, KEEPA!$A:$AW, 24, FALSE), 0)</f>
        <v/>
      </c>
      <c r="AP4" s="16">
        <f>IFERROR(VLOOKUP(A4, KEEPA!$A:$AW, 48, FALSE), 0)</f>
        <v/>
      </c>
      <c r="AQ4">
        <f>IFERROR(VLOOKUP(A4, AZInsight_Data!$A:$AS, 5, FALSE), "SL")</f>
        <v/>
      </c>
      <c r="AR4">
        <f>IF(OR(A4="", A4=0), "", HYPERLINK("https://keepa.com/#!product/1-"&amp;A4, "Keepa"))</f>
        <v/>
      </c>
      <c r="AS4">
        <f>IF(OR(A4="", A4=0), "", HYPERLINK("https://www.amazon.com/dp/"&amp;A4, "Amazon"))</f>
        <v/>
      </c>
      <c r="AT4">
        <f>IF(OR(A4="", A4=0), "", HYPERLINK("https://sellercentral.amazon.com/product-search/search?q="&amp;A4, "Check Gated"))</f>
        <v/>
      </c>
      <c r="AU4" s="12" t="n"/>
      <c r="AV4" s="12" t="n"/>
      <c r="AW4" s="12" t="n"/>
    </row>
    <row r="5">
      <c r="A5" s="12" t="n"/>
      <c r="B5" s="12">
        <f>IFERROR(VLOOKUP(A5, AZInsight_Data!$A:$AS, 3, FALSE), "")</f>
        <v/>
      </c>
      <c r="C5" s="13">
        <f>IFERROR(VLOOKUP(A5, AZInsight_Data!$A:$AS, 9, FALSE), 0)</f>
        <v/>
      </c>
      <c r="D5">
        <f>IFERROR(VLOOKUP(A5, AZInsight_Data!$A:$AS, 17, FALSE), 0)</f>
        <v/>
      </c>
      <c r="E5">
        <f>IFERROR(VLOOKUP(A5, AZInsight_Data!$A:$AS, 18, FALSE), 0)</f>
        <v/>
      </c>
      <c r="F5" s="14">
        <f>IFERROR(VLOOKUP(A5, AZInsight_Data!$A:$AS, 7, FALSE), 0)</f>
        <v/>
      </c>
      <c r="G5" s="15">
        <f>IFERROR(VLOOKUP(A5, AZInsight_Data!$A:$AS, 14, FALSE), 0)</f>
        <v/>
      </c>
      <c r="H5" s="14">
        <f>IFERROR(VLOOKUP(A5, AZInsight_Data!$A:$AS, 8, FALSE), 0)</f>
        <v/>
      </c>
      <c r="I5" s="16">
        <f>IFERROR(VLOOKUP(A5, KEEPA!$A:$AW, 47, FALSE), 0)</f>
        <v/>
      </c>
      <c r="J5">
        <f>IFERROR(VLOOKUP(A5, AZInsight_Data!$A:$AS, 25, FALSE), 0)</f>
        <v/>
      </c>
      <c r="K5" s="15">
        <f>IFERROR(VLOOKUP(A5, AZInsight_Data!$A:$AS, 16, FALSE), 0)</f>
        <v/>
      </c>
      <c r="L5" s="15">
        <f>IFERROR(K5-T5-J5, 0)</f>
        <v/>
      </c>
      <c r="M5" s="16">
        <f>IFERROR(IF(T5=0, 0, L5/T5), 0)</f>
        <v/>
      </c>
      <c r="N5" s="14">
        <f>IFERROR(C5*($V$2/30), 0)</f>
        <v/>
      </c>
      <c r="O5">
        <f>IFERROR(VLOOKUP(A5, AZInsight_Data!$A:$AS, 40, FALSE), 1)</f>
        <v/>
      </c>
      <c r="P5" s="13">
        <f>IF(O5&gt;0, O5, 1)</f>
        <v/>
      </c>
      <c r="Q5" s="13">
        <f>IFERROR(U5/P5, 0)</f>
        <v/>
      </c>
      <c r="R5">
        <f>IFERROR(VLOOKUP(A5, AZInsight_Data!$A:$AS, 36, FALSE), "")</f>
        <v/>
      </c>
      <c r="S5">
        <f>IFERROR(VLOOKUP(A5, AZInsight_Data!$A:$AS, 3, FALSE), "")</f>
        <v/>
      </c>
      <c r="T5" s="17">
        <f>IFERROR(VLOOKUP(A5, AZInsight_Data!$A:$AS, 13, FALSE), 0)</f>
        <v/>
      </c>
      <c r="U5" s="13">
        <f>AH5</f>
        <v/>
      </c>
      <c r="V5" s="15">
        <f>T5*U5</f>
        <v/>
      </c>
      <c r="W5" s="16" t="n"/>
      <c r="X5" s="12">
        <f>IFERROR(VLOOKUP(A5, AZInsight_Data!$A:$AS, 40, FALSE), 1)</f>
        <v/>
      </c>
      <c r="Y5" s="13">
        <f>IFERROR(VLOOKUP(A5, IP Qty!$D:$R, 5, FALSE), 0)</f>
        <v/>
      </c>
      <c r="Z5" s="14">
        <f>IFERROR(VLOOKUP(A5, IP Qty!$D:$R, 6, FALSE), 0)</f>
        <v/>
      </c>
      <c r="AA5">
        <f>IFERROR(VLOOKUP(A5, IP Qty!$D:$R, 7, FALSE), 0)</f>
        <v/>
      </c>
      <c r="AB5">
        <f>IFERROR(VLOOKUP(A5, IP Qty!$D:$R, 9, FALSE), 0)</f>
        <v/>
      </c>
      <c r="AC5">
        <f>IFERROR(VLOOKUP(A5, IP Qty!$D:$R, 8, FALSE), 0)</f>
        <v/>
      </c>
      <c r="AD5" s="14">
        <f>IFERROR(VLOOKUP(A5, KEEPA!$A:$AW, 34, FALSE), 0)</f>
        <v/>
      </c>
      <c r="AE5" s="15">
        <f>IF(P5&gt;1, ((((M5&gt;=$AD$2)*(L5&gt;=$AH$2)) + ((M5&lt;$AD$2)*(M5&gt;=$AE$2)*(L5&gt;=$AG$2)) + ((M5&lt;$AE$2)*(M5&gt;=$AC$2)*(L5&gt;=0)))*2 * IF($AI$2=0, 1, AI5&lt;=$AI$2) * IF($AK$2=0, 1, AK5&lt;=$AK$2) * AND(N5&gt;=$D$1, H5&lt;=$I$2, G5&gt;=$H$2)), ((((M5&gt;=$AD$2)*(L5&gt;=$AH$2)) + ((M5&lt;$AD$2)*(M5&gt;=$AE$2)*(L5&gt;=$AG$2)) + ((M5&lt;$AE$2)*(M5&gt;=$AC$2)*(L5&gt;=0))) * IF($AI$2=0, 1, AI5&lt;=$AI$2) * IF($AK$2=0, 1, AK5&lt;=$AK$2) * AND(N5&gt;=$D$1, H5&lt;=$I$2, G5&gt;=$H$2)))</f>
        <v/>
      </c>
      <c r="AF5">
        <f>IF(AE5&gt;0, 1, 0)</f>
        <v/>
      </c>
      <c r="AG5">
        <f>IFERROR(IF(ISNUMBER(W5), IF(AN5, N5*W5*$AN$2, N5*W5), NA()), NA())</f>
        <v/>
      </c>
      <c r="AH5" s="13">
        <f>IFERROR(MIN(AG5, $U$2), 0)</f>
        <v/>
      </c>
      <c r="AI5" s="14">
        <f>IFERROR(VLOOKUP(A5, KEEPA!$A:$AW, 26, FALSE), 0)</f>
        <v/>
      </c>
      <c r="AJ5" s="16">
        <f>IFERROR(IF(AI5=0, 0, (AI5-H5)/H5), 0)</f>
        <v/>
      </c>
      <c r="AK5" s="14">
        <f>IFERROR(VLOOKUP(A5, KEEPA!$A:$AW, 28, FALSE), 0)</f>
        <v/>
      </c>
      <c r="AL5" s="16">
        <f>IFERROR(IF(AK5=0, 0, (AK5-H5)/H5), 0)</f>
        <v/>
      </c>
      <c r="AM5" s="13">
        <f>IFERROR(VLOOKUP(A5, AZInsight_Data!$A:$AS, 34, FALSE), 0)</f>
        <v/>
      </c>
      <c r="AN5">
        <f>IFERROR(AND(VLOOKUP(A5, KEEPA!$A:$AW, 2, FALSE)&lt;=$AO$2, N5 &gt;= $AM$2), FALSE)</f>
        <v/>
      </c>
      <c r="AO5" s="16">
        <f>IFERROR(VLOOKUP(A5, KEEPA!$A:$AW, 24, FALSE), 0)</f>
        <v/>
      </c>
      <c r="AP5" s="16">
        <f>IFERROR(VLOOKUP(A5, KEEPA!$A:$AW, 48, FALSE), 0)</f>
        <v/>
      </c>
      <c r="AQ5">
        <f>IFERROR(VLOOKUP(A5, AZInsight_Data!$A:$AS, 5, FALSE), "SL")</f>
        <v/>
      </c>
      <c r="AR5">
        <f>IF(OR(A5="", A5=0), "", HYPERLINK("https://keepa.com/#!product/1-"&amp;A5, "Keepa"))</f>
        <v/>
      </c>
      <c r="AS5">
        <f>IF(OR(A5="", A5=0), "", HYPERLINK("https://www.amazon.com/dp/"&amp;A5, "Amazon"))</f>
        <v/>
      </c>
      <c r="AT5">
        <f>IF(OR(A5="", A5=0), "", HYPERLINK("https://sellercentral.amazon.com/product-search/search?q="&amp;A5, "Check Gated"))</f>
        <v/>
      </c>
      <c r="AU5" s="12" t="n"/>
      <c r="AV5" s="12" t="n"/>
      <c r="AW5" s="12" t="n"/>
    </row>
    <row r="6">
      <c r="A6" s="12" t="n"/>
      <c r="B6" s="12">
        <f>IFERROR(VLOOKUP(A6, AZInsight_Data!$A:$AS, 3, FALSE), "")</f>
        <v/>
      </c>
      <c r="C6" s="13">
        <f>IFERROR(VLOOKUP(A6, AZInsight_Data!$A:$AS, 9, FALSE), 0)</f>
        <v/>
      </c>
      <c r="D6">
        <f>IFERROR(VLOOKUP(A6, AZInsight_Data!$A:$AS, 17, FALSE), 0)</f>
        <v/>
      </c>
      <c r="E6">
        <f>IFERROR(VLOOKUP(A6, AZInsight_Data!$A:$AS, 18, FALSE), 0)</f>
        <v/>
      </c>
      <c r="F6" s="14">
        <f>IFERROR(VLOOKUP(A6, AZInsight_Data!$A:$AS, 7, FALSE), 0)</f>
        <v/>
      </c>
      <c r="G6" s="15">
        <f>IFERROR(VLOOKUP(A6, AZInsight_Data!$A:$AS, 14, FALSE), 0)</f>
        <v/>
      </c>
      <c r="H6" s="14">
        <f>IFERROR(VLOOKUP(A6, AZInsight_Data!$A:$AS, 8, FALSE), 0)</f>
        <v/>
      </c>
      <c r="I6" s="16">
        <f>IFERROR(VLOOKUP(A6, KEEPA!$A:$AW, 47, FALSE), 0)</f>
        <v/>
      </c>
      <c r="J6">
        <f>IFERROR(VLOOKUP(A6, AZInsight_Data!$A:$AS, 25, FALSE), 0)</f>
        <v/>
      </c>
      <c r="K6" s="15">
        <f>IFERROR(VLOOKUP(A6, AZInsight_Data!$A:$AS, 16, FALSE), 0)</f>
        <v/>
      </c>
      <c r="L6" s="15">
        <f>IFERROR(K6-T6-J6, 0)</f>
        <v/>
      </c>
      <c r="M6" s="16">
        <f>IFERROR(IF(T6=0, 0, L6/T6), 0)</f>
        <v/>
      </c>
      <c r="N6" s="14">
        <f>IFERROR(C6*($V$2/30), 0)</f>
        <v/>
      </c>
      <c r="O6">
        <f>IFERROR(VLOOKUP(A6, AZInsight_Data!$A:$AS, 40, FALSE), 1)</f>
        <v/>
      </c>
      <c r="P6" s="13">
        <f>IF(O6&gt;0, O6, 1)</f>
        <v/>
      </c>
      <c r="Q6" s="13">
        <f>IFERROR(U6/P6, 0)</f>
        <v/>
      </c>
      <c r="R6">
        <f>IFERROR(VLOOKUP(A6, AZInsight_Data!$A:$AS, 36, FALSE), "")</f>
        <v/>
      </c>
      <c r="S6">
        <f>IFERROR(VLOOKUP(A6, AZInsight_Data!$A:$AS, 3, FALSE), "")</f>
        <v/>
      </c>
      <c r="T6" s="17">
        <f>IFERROR(VLOOKUP(A6, AZInsight_Data!$A:$AS, 13, FALSE), 0)</f>
        <v/>
      </c>
      <c r="U6" s="13">
        <f>AH6</f>
        <v/>
      </c>
      <c r="V6" s="15">
        <f>T6*U6</f>
        <v/>
      </c>
      <c r="W6" s="16" t="n"/>
      <c r="X6" s="12">
        <f>IFERROR(VLOOKUP(A6, AZInsight_Data!$A:$AS, 40, FALSE), 1)</f>
        <v/>
      </c>
      <c r="Y6" s="13">
        <f>IFERROR(VLOOKUP(A6, IP Qty!$D:$R, 5, FALSE), 0)</f>
        <v/>
      </c>
      <c r="Z6" s="14">
        <f>IFERROR(VLOOKUP(A6, IP Qty!$D:$R, 6, FALSE), 0)</f>
        <v/>
      </c>
      <c r="AA6">
        <f>IFERROR(VLOOKUP(A6, IP Qty!$D:$R, 7, FALSE), 0)</f>
        <v/>
      </c>
      <c r="AB6">
        <f>IFERROR(VLOOKUP(A6, IP Qty!$D:$R, 9, FALSE), 0)</f>
        <v/>
      </c>
      <c r="AC6">
        <f>IFERROR(VLOOKUP(A6, IP Qty!$D:$R, 8, FALSE), 0)</f>
        <v/>
      </c>
      <c r="AD6" s="14">
        <f>IFERROR(VLOOKUP(A6, KEEPA!$A:$AW, 34, FALSE), 0)</f>
        <v/>
      </c>
      <c r="AE6" s="15">
        <f>IF(P6&gt;1, ((((M6&gt;=$AD$2)*(L6&gt;=$AH$2)) + ((M6&lt;$AD$2)*(M6&gt;=$AE$2)*(L6&gt;=$AG$2)) + ((M6&lt;$AE$2)*(M6&gt;=$AC$2)*(L6&gt;=0)))*2 * IF($AI$2=0, 1, AI6&lt;=$AI$2) * IF($AK$2=0, 1, AK6&lt;=$AK$2) * AND(N6&gt;=$D$1, H6&lt;=$I$2, G6&gt;=$H$2)), ((((M6&gt;=$AD$2)*(L6&gt;=$AH$2)) + ((M6&lt;$AD$2)*(M6&gt;=$AE$2)*(L6&gt;=$AG$2)) + ((M6&lt;$AE$2)*(M6&gt;=$AC$2)*(L6&gt;=0))) * IF($AI$2=0, 1, AI6&lt;=$AI$2) * IF($AK$2=0, 1, AK6&lt;=$AK$2) * AND(N6&gt;=$D$1, H6&lt;=$I$2, G6&gt;=$H$2)))</f>
        <v/>
      </c>
      <c r="AF6">
        <f>IF(AE6&gt;0, 1, 0)</f>
        <v/>
      </c>
      <c r="AG6">
        <f>IFERROR(IF(ISNUMBER(W6), IF(AN6, N6*W6*$AN$2, N6*W6), NA()), NA())</f>
        <v/>
      </c>
      <c r="AH6" s="13">
        <f>IFERROR(MIN(AG6, $U$2), 0)</f>
        <v/>
      </c>
      <c r="AI6" s="14">
        <f>IFERROR(VLOOKUP(A6, KEEPA!$A:$AW, 26, FALSE), 0)</f>
        <v/>
      </c>
      <c r="AJ6" s="16">
        <f>IFERROR(IF(AI6=0, 0, (AI6-H6)/H6), 0)</f>
        <v/>
      </c>
      <c r="AK6" s="14">
        <f>IFERROR(VLOOKUP(A6, KEEPA!$A:$AW, 28, FALSE), 0)</f>
        <v/>
      </c>
      <c r="AL6" s="16">
        <f>IFERROR(IF(AK6=0, 0, (AK6-H6)/H6), 0)</f>
        <v/>
      </c>
      <c r="AM6" s="13">
        <f>IFERROR(VLOOKUP(A6, AZInsight_Data!$A:$AS, 34, FALSE), 0)</f>
        <v/>
      </c>
      <c r="AN6">
        <f>IFERROR(AND(VLOOKUP(A6, KEEPA!$A:$AW, 2, FALSE)&lt;=$AO$2, N6 &gt;= $AM$2), FALSE)</f>
        <v/>
      </c>
      <c r="AO6" s="16">
        <f>IFERROR(VLOOKUP(A6, KEEPA!$A:$AW, 24, FALSE), 0)</f>
        <v/>
      </c>
      <c r="AP6" s="16">
        <f>IFERROR(VLOOKUP(A6, KEEPA!$A:$AW, 48, FALSE), 0)</f>
        <v/>
      </c>
      <c r="AQ6">
        <f>IFERROR(VLOOKUP(A6, AZInsight_Data!$A:$AS, 5, FALSE), "SL")</f>
        <v/>
      </c>
      <c r="AR6">
        <f>IF(OR(A6="", A6=0), "", HYPERLINK("https://keepa.com/#!product/1-"&amp;A6, "Keepa"))</f>
        <v/>
      </c>
      <c r="AS6">
        <f>IF(OR(A6="", A6=0), "", HYPERLINK("https://www.amazon.com/dp/"&amp;A6, "Amazon"))</f>
        <v/>
      </c>
      <c r="AT6">
        <f>IF(OR(A6="", A6=0), "", HYPERLINK("https://sellercentral.amazon.com/product-search/search?q="&amp;A6, "Check Gated"))</f>
        <v/>
      </c>
      <c r="AU6" s="12" t="n"/>
      <c r="AV6" s="12" t="n"/>
      <c r="AW6" s="12" t="n"/>
    </row>
    <row r="7">
      <c r="A7" s="12" t="n"/>
      <c r="B7" s="12">
        <f>IFERROR(VLOOKUP(A7, AZInsight_Data!$A:$AS, 3, FALSE), "")</f>
        <v/>
      </c>
      <c r="C7" s="13">
        <f>IFERROR(VLOOKUP(A7, AZInsight_Data!$A:$AS, 9, FALSE), 0)</f>
        <v/>
      </c>
      <c r="D7">
        <f>IFERROR(VLOOKUP(A7, AZInsight_Data!$A:$AS, 17, FALSE), 0)</f>
        <v/>
      </c>
      <c r="E7">
        <f>IFERROR(VLOOKUP(A7, AZInsight_Data!$A:$AS, 18, FALSE), 0)</f>
        <v/>
      </c>
      <c r="F7" s="14">
        <f>IFERROR(VLOOKUP(A7, AZInsight_Data!$A:$AS, 7, FALSE), 0)</f>
        <v/>
      </c>
      <c r="G7" s="15">
        <f>IFERROR(VLOOKUP(A7, AZInsight_Data!$A:$AS, 14, FALSE), 0)</f>
        <v/>
      </c>
      <c r="H7" s="14">
        <f>IFERROR(VLOOKUP(A7, AZInsight_Data!$A:$AS, 8, FALSE), 0)</f>
        <v/>
      </c>
      <c r="I7" s="16">
        <f>IFERROR(VLOOKUP(A7, KEEPA!$A:$AW, 47, FALSE), 0)</f>
        <v/>
      </c>
      <c r="J7">
        <f>IFERROR(VLOOKUP(A7, AZInsight_Data!$A:$AS, 25, FALSE), 0)</f>
        <v/>
      </c>
      <c r="K7" s="15">
        <f>IFERROR(VLOOKUP(A7, AZInsight_Data!$A:$AS, 16, FALSE), 0)</f>
        <v/>
      </c>
      <c r="L7" s="15">
        <f>IFERROR(K7-T7-J7, 0)</f>
        <v/>
      </c>
      <c r="M7" s="16">
        <f>IFERROR(IF(T7=0, 0, L7/T7), 0)</f>
        <v/>
      </c>
      <c r="N7" s="14">
        <f>IFERROR(C7*($V$2/30), 0)</f>
        <v/>
      </c>
      <c r="O7">
        <f>IFERROR(VLOOKUP(A7, AZInsight_Data!$A:$AS, 40, FALSE), 1)</f>
        <v/>
      </c>
      <c r="P7" s="13">
        <f>IF(O7&gt;0, O7, 1)</f>
        <v/>
      </c>
      <c r="Q7" s="13">
        <f>IFERROR(U7/P7, 0)</f>
        <v/>
      </c>
      <c r="R7">
        <f>IFERROR(VLOOKUP(A7, AZInsight_Data!$A:$AS, 36, FALSE), "")</f>
        <v/>
      </c>
      <c r="S7">
        <f>IFERROR(VLOOKUP(A7, AZInsight_Data!$A:$AS, 3, FALSE), "")</f>
        <v/>
      </c>
      <c r="T7" s="17">
        <f>IFERROR(VLOOKUP(A7, AZInsight_Data!$A:$AS, 13, FALSE), 0)</f>
        <v/>
      </c>
      <c r="U7" s="13">
        <f>AH7</f>
        <v/>
      </c>
      <c r="V7" s="15">
        <f>T7*U7</f>
        <v/>
      </c>
      <c r="W7" s="16" t="n"/>
      <c r="X7" s="12">
        <f>IFERROR(VLOOKUP(A7, AZInsight_Data!$A:$AS, 40, FALSE), 1)</f>
        <v/>
      </c>
      <c r="Y7" s="13">
        <f>IFERROR(VLOOKUP(A7, IP Qty!$D:$R, 5, FALSE), 0)</f>
        <v/>
      </c>
      <c r="Z7" s="14">
        <f>IFERROR(VLOOKUP(A7, IP Qty!$D:$R, 6, FALSE), 0)</f>
        <v/>
      </c>
      <c r="AA7">
        <f>IFERROR(VLOOKUP(A7, IP Qty!$D:$R, 7, FALSE), 0)</f>
        <v/>
      </c>
      <c r="AB7">
        <f>IFERROR(VLOOKUP(A7, IP Qty!$D:$R, 9, FALSE), 0)</f>
        <v/>
      </c>
      <c r="AC7">
        <f>IFERROR(VLOOKUP(A7, IP Qty!$D:$R, 8, FALSE), 0)</f>
        <v/>
      </c>
      <c r="AD7" s="14">
        <f>IFERROR(VLOOKUP(A7, KEEPA!$A:$AW, 34, FALSE), 0)</f>
        <v/>
      </c>
      <c r="AE7" s="15">
        <f>IF(P7&gt;1, ((((M7&gt;=$AD$2)*(L7&gt;=$AH$2)) + ((M7&lt;$AD$2)*(M7&gt;=$AE$2)*(L7&gt;=$AG$2)) + ((M7&lt;$AE$2)*(M7&gt;=$AC$2)*(L7&gt;=0)))*2 * IF($AI$2=0, 1, AI7&lt;=$AI$2) * IF($AK$2=0, 1, AK7&lt;=$AK$2) * AND(N7&gt;=$D$1, H7&lt;=$I$2, G7&gt;=$H$2)), ((((M7&gt;=$AD$2)*(L7&gt;=$AH$2)) + ((M7&lt;$AD$2)*(M7&gt;=$AE$2)*(L7&gt;=$AG$2)) + ((M7&lt;$AE$2)*(M7&gt;=$AC$2)*(L7&gt;=0))) * IF($AI$2=0, 1, AI7&lt;=$AI$2) * IF($AK$2=0, 1, AK7&lt;=$AK$2) * AND(N7&gt;=$D$1, H7&lt;=$I$2, G7&gt;=$H$2)))</f>
        <v/>
      </c>
      <c r="AF7">
        <f>IF(AE7&gt;0, 1, 0)</f>
        <v/>
      </c>
      <c r="AG7">
        <f>IFERROR(IF(ISNUMBER(W7), IF(AN7, N7*W7*$AN$2, N7*W7), NA()), NA())</f>
        <v/>
      </c>
      <c r="AH7" s="13">
        <f>IFERROR(MIN(AG7, $U$2), 0)</f>
        <v/>
      </c>
      <c r="AI7" s="14">
        <f>IFERROR(VLOOKUP(A7, KEEPA!$A:$AW, 26, FALSE), 0)</f>
        <v/>
      </c>
      <c r="AJ7" s="16">
        <f>IFERROR(IF(AI7=0, 0, (AI7-H7)/H7), 0)</f>
        <v/>
      </c>
      <c r="AK7" s="14">
        <f>IFERROR(VLOOKUP(A7, KEEPA!$A:$AW, 28, FALSE), 0)</f>
        <v/>
      </c>
      <c r="AL7" s="16">
        <f>IFERROR(IF(AK7=0, 0, (AK7-H7)/H7), 0)</f>
        <v/>
      </c>
      <c r="AM7" s="13">
        <f>IFERROR(VLOOKUP(A7, AZInsight_Data!$A:$AS, 34, FALSE), 0)</f>
        <v/>
      </c>
      <c r="AN7">
        <f>IFERROR(AND(VLOOKUP(A7, KEEPA!$A:$AW, 2, FALSE)&lt;=$AO$2, N7 &gt;= $AM$2), FALSE)</f>
        <v/>
      </c>
      <c r="AO7" s="16">
        <f>IFERROR(VLOOKUP(A7, KEEPA!$A:$AW, 24, FALSE), 0)</f>
        <v/>
      </c>
      <c r="AP7" s="16">
        <f>IFERROR(VLOOKUP(A7, KEEPA!$A:$AW, 48, FALSE), 0)</f>
        <v/>
      </c>
      <c r="AQ7">
        <f>IFERROR(VLOOKUP(A7, AZInsight_Data!$A:$AS, 5, FALSE), "SL")</f>
        <v/>
      </c>
      <c r="AR7">
        <f>IF(OR(A7="", A7=0), "", HYPERLINK("https://keepa.com/#!product/1-"&amp;A7, "Keepa"))</f>
        <v/>
      </c>
      <c r="AS7">
        <f>IF(OR(A7="", A7=0), "", HYPERLINK("https://www.amazon.com/dp/"&amp;A7, "Amazon"))</f>
        <v/>
      </c>
      <c r="AT7">
        <f>IF(OR(A7="", A7=0), "", HYPERLINK("https://sellercentral.amazon.com/product-search/search?q="&amp;A7, "Check Gated"))</f>
        <v/>
      </c>
      <c r="AU7" s="12" t="n"/>
      <c r="AV7" s="12" t="n"/>
      <c r="AW7" s="12" t="n"/>
    </row>
    <row r="8">
      <c r="A8" s="12" t="n"/>
      <c r="B8" s="12">
        <f>IFERROR(VLOOKUP(A8, AZInsight_Data!$A:$AS, 3, FALSE), "")</f>
        <v/>
      </c>
      <c r="C8" s="13">
        <f>IFERROR(VLOOKUP(A8, AZInsight_Data!$A:$AS, 9, FALSE), 0)</f>
        <v/>
      </c>
      <c r="D8">
        <f>IFERROR(VLOOKUP(A8, AZInsight_Data!$A:$AS, 17, FALSE), 0)</f>
        <v/>
      </c>
      <c r="E8">
        <f>IFERROR(VLOOKUP(A8, AZInsight_Data!$A:$AS, 18, FALSE), 0)</f>
        <v/>
      </c>
      <c r="F8" s="14">
        <f>IFERROR(VLOOKUP(A8, AZInsight_Data!$A:$AS, 7, FALSE), 0)</f>
        <v/>
      </c>
      <c r="G8" s="15">
        <f>IFERROR(VLOOKUP(A8, AZInsight_Data!$A:$AS, 14, FALSE), 0)</f>
        <v/>
      </c>
      <c r="H8" s="14">
        <f>IFERROR(VLOOKUP(A8, AZInsight_Data!$A:$AS, 8, FALSE), 0)</f>
        <v/>
      </c>
      <c r="I8" s="16">
        <f>IFERROR(VLOOKUP(A8, KEEPA!$A:$AW, 47, FALSE), 0)</f>
        <v/>
      </c>
      <c r="J8">
        <f>IFERROR(VLOOKUP(A8, AZInsight_Data!$A:$AS, 25, FALSE), 0)</f>
        <v/>
      </c>
      <c r="K8" s="15">
        <f>IFERROR(VLOOKUP(A8, AZInsight_Data!$A:$AS, 16, FALSE), 0)</f>
        <v/>
      </c>
      <c r="L8" s="15">
        <f>IFERROR(K8-T8-J8, 0)</f>
        <v/>
      </c>
      <c r="M8" s="16">
        <f>IFERROR(IF(T8=0, 0, L8/T8), 0)</f>
        <v/>
      </c>
      <c r="N8" s="14">
        <f>IFERROR(C8*($V$2/30), 0)</f>
        <v/>
      </c>
      <c r="O8">
        <f>IFERROR(VLOOKUP(A8, AZInsight_Data!$A:$AS, 40, FALSE), 1)</f>
        <v/>
      </c>
      <c r="P8" s="13">
        <f>IF(O8&gt;0, O8, 1)</f>
        <v/>
      </c>
      <c r="Q8" s="13">
        <f>IFERROR(U8/P8, 0)</f>
        <v/>
      </c>
      <c r="R8">
        <f>IFERROR(VLOOKUP(A8, AZInsight_Data!$A:$AS, 36, FALSE), "")</f>
        <v/>
      </c>
      <c r="S8">
        <f>IFERROR(VLOOKUP(A8, AZInsight_Data!$A:$AS, 3, FALSE), "")</f>
        <v/>
      </c>
      <c r="T8" s="17">
        <f>IFERROR(VLOOKUP(A8, AZInsight_Data!$A:$AS, 13, FALSE), 0)</f>
        <v/>
      </c>
      <c r="U8" s="13">
        <f>AH8</f>
        <v/>
      </c>
      <c r="V8" s="15">
        <f>T8*U8</f>
        <v/>
      </c>
      <c r="W8" s="16" t="n"/>
      <c r="X8" s="12">
        <f>IFERROR(VLOOKUP(A8, AZInsight_Data!$A:$AS, 40, FALSE), 1)</f>
        <v/>
      </c>
      <c r="Y8" s="13">
        <f>IFERROR(VLOOKUP(A8, IP Qty!$D:$R, 5, FALSE), 0)</f>
        <v/>
      </c>
      <c r="Z8" s="14">
        <f>IFERROR(VLOOKUP(A8, IP Qty!$D:$R, 6, FALSE), 0)</f>
        <v/>
      </c>
      <c r="AA8">
        <f>IFERROR(VLOOKUP(A8, IP Qty!$D:$R, 7, FALSE), 0)</f>
        <v/>
      </c>
      <c r="AB8">
        <f>IFERROR(VLOOKUP(A8, IP Qty!$D:$R, 9, FALSE), 0)</f>
        <v/>
      </c>
      <c r="AC8">
        <f>IFERROR(VLOOKUP(A8, IP Qty!$D:$R, 8, FALSE), 0)</f>
        <v/>
      </c>
      <c r="AD8" s="14">
        <f>IFERROR(VLOOKUP(A8, KEEPA!$A:$AW, 34, FALSE), 0)</f>
        <v/>
      </c>
      <c r="AE8" s="15">
        <f>IF(P8&gt;1, ((((M8&gt;=$AD$2)*(L8&gt;=$AH$2)) + ((M8&lt;$AD$2)*(M8&gt;=$AE$2)*(L8&gt;=$AG$2)) + ((M8&lt;$AE$2)*(M8&gt;=$AC$2)*(L8&gt;=0)))*2 * IF($AI$2=0, 1, AI8&lt;=$AI$2) * IF($AK$2=0, 1, AK8&lt;=$AK$2) * AND(N8&gt;=$D$1, H8&lt;=$I$2, G8&gt;=$H$2)), ((((M8&gt;=$AD$2)*(L8&gt;=$AH$2)) + ((M8&lt;$AD$2)*(M8&gt;=$AE$2)*(L8&gt;=$AG$2)) + ((M8&lt;$AE$2)*(M8&gt;=$AC$2)*(L8&gt;=0))) * IF($AI$2=0, 1, AI8&lt;=$AI$2) * IF($AK$2=0, 1, AK8&lt;=$AK$2) * AND(N8&gt;=$D$1, H8&lt;=$I$2, G8&gt;=$H$2)))</f>
        <v/>
      </c>
      <c r="AF8">
        <f>IF(AE8&gt;0, 1, 0)</f>
        <v/>
      </c>
      <c r="AG8">
        <f>IFERROR(IF(ISNUMBER(W8), IF(AN8, N8*W8*$AN$2, N8*W8), NA()), NA())</f>
        <v/>
      </c>
      <c r="AH8" s="13">
        <f>IFERROR(MIN(AG8, $U$2), 0)</f>
        <v/>
      </c>
      <c r="AI8" s="14">
        <f>IFERROR(VLOOKUP(A8, KEEPA!$A:$AW, 26, FALSE), 0)</f>
        <v/>
      </c>
      <c r="AJ8" s="16">
        <f>IFERROR(IF(AI8=0, 0, (AI8-H8)/H8), 0)</f>
        <v/>
      </c>
      <c r="AK8" s="14">
        <f>IFERROR(VLOOKUP(A8, KEEPA!$A:$AW, 28, FALSE), 0)</f>
        <v/>
      </c>
      <c r="AL8" s="16">
        <f>IFERROR(IF(AK8=0, 0, (AK8-H8)/H8), 0)</f>
        <v/>
      </c>
      <c r="AM8" s="13">
        <f>IFERROR(VLOOKUP(A8, AZInsight_Data!$A:$AS, 34, FALSE), 0)</f>
        <v/>
      </c>
      <c r="AN8">
        <f>IFERROR(AND(VLOOKUP(A8, KEEPA!$A:$AW, 2, FALSE)&lt;=$AO$2, N8 &gt;= $AM$2), FALSE)</f>
        <v/>
      </c>
      <c r="AO8" s="16">
        <f>IFERROR(VLOOKUP(A8, KEEPA!$A:$AW, 24, FALSE), 0)</f>
        <v/>
      </c>
      <c r="AP8" s="16">
        <f>IFERROR(VLOOKUP(A8, KEEPA!$A:$AW, 48, FALSE), 0)</f>
        <v/>
      </c>
      <c r="AQ8">
        <f>IFERROR(VLOOKUP(A8, AZInsight_Data!$A:$AS, 5, FALSE), "SL")</f>
        <v/>
      </c>
      <c r="AR8">
        <f>IF(OR(A8="", A8=0), "", HYPERLINK("https://keepa.com/#!product/1-"&amp;A8, "Keepa"))</f>
        <v/>
      </c>
      <c r="AS8">
        <f>IF(OR(A8="", A8=0), "", HYPERLINK("https://www.amazon.com/dp/"&amp;A8, "Amazon"))</f>
        <v/>
      </c>
      <c r="AT8">
        <f>IF(OR(A8="", A8=0), "", HYPERLINK("https://sellercentral.amazon.com/product-search/search?q="&amp;A8, "Check Gated"))</f>
        <v/>
      </c>
      <c r="AU8" s="12" t="n"/>
      <c r="AV8" s="12" t="n"/>
      <c r="AW8" s="12" t="n"/>
    </row>
    <row r="9">
      <c r="A9" s="12" t="n"/>
      <c r="B9" s="12">
        <f>IFERROR(VLOOKUP(A9, AZInsight_Data!$A:$AS, 3, FALSE), "")</f>
        <v/>
      </c>
      <c r="C9" s="13">
        <f>IFERROR(VLOOKUP(A9, AZInsight_Data!$A:$AS, 9, FALSE), 0)</f>
        <v/>
      </c>
      <c r="D9">
        <f>IFERROR(VLOOKUP(A9, AZInsight_Data!$A:$AS, 17, FALSE), 0)</f>
        <v/>
      </c>
      <c r="E9">
        <f>IFERROR(VLOOKUP(A9, AZInsight_Data!$A:$AS, 18, FALSE), 0)</f>
        <v/>
      </c>
      <c r="F9" s="14">
        <f>IFERROR(VLOOKUP(A9, AZInsight_Data!$A:$AS, 7, FALSE), 0)</f>
        <v/>
      </c>
      <c r="G9" s="15">
        <f>IFERROR(VLOOKUP(A9, AZInsight_Data!$A:$AS, 14, FALSE), 0)</f>
        <v/>
      </c>
      <c r="H9" s="14">
        <f>IFERROR(VLOOKUP(A9, AZInsight_Data!$A:$AS, 8, FALSE), 0)</f>
        <v/>
      </c>
      <c r="I9" s="16">
        <f>IFERROR(VLOOKUP(A9, KEEPA!$A:$AW, 47, FALSE), 0)</f>
        <v/>
      </c>
      <c r="J9">
        <f>IFERROR(VLOOKUP(A9, AZInsight_Data!$A:$AS, 25, FALSE), 0)</f>
        <v/>
      </c>
      <c r="K9" s="15">
        <f>IFERROR(VLOOKUP(A9, AZInsight_Data!$A:$AS, 16, FALSE), 0)</f>
        <v/>
      </c>
      <c r="L9" s="15">
        <f>IFERROR(K9-T9-J9, 0)</f>
        <v/>
      </c>
      <c r="M9" s="16">
        <f>IFERROR(IF(T9=0, 0, L9/T9), 0)</f>
        <v/>
      </c>
      <c r="N9" s="14">
        <f>IFERROR(C9*($V$2/30), 0)</f>
        <v/>
      </c>
      <c r="O9">
        <f>IFERROR(VLOOKUP(A9, AZInsight_Data!$A:$AS, 40, FALSE), 1)</f>
        <v/>
      </c>
      <c r="P9" s="13">
        <f>IF(O9&gt;0, O9, 1)</f>
        <v/>
      </c>
      <c r="Q9" s="13">
        <f>IFERROR(U9/P9, 0)</f>
        <v/>
      </c>
      <c r="R9">
        <f>IFERROR(VLOOKUP(A9, AZInsight_Data!$A:$AS, 36, FALSE), "")</f>
        <v/>
      </c>
      <c r="S9">
        <f>IFERROR(VLOOKUP(A9, AZInsight_Data!$A:$AS, 3, FALSE), "")</f>
        <v/>
      </c>
      <c r="T9" s="17">
        <f>IFERROR(VLOOKUP(A9, AZInsight_Data!$A:$AS, 13, FALSE), 0)</f>
        <v/>
      </c>
      <c r="U9" s="13">
        <f>AH9</f>
        <v/>
      </c>
      <c r="V9" s="15">
        <f>T9*U9</f>
        <v/>
      </c>
      <c r="W9" s="16" t="n"/>
      <c r="X9" s="12">
        <f>IFERROR(VLOOKUP(A9, AZInsight_Data!$A:$AS, 40, FALSE), 1)</f>
        <v/>
      </c>
      <c r="Y9" s="13">
        <f>IFERROR(VLOOKUP(A9, IP Qty!$D:$R, 5, FALSE), 0)</f>
        <v/>
      </c>
      <c r="Z9" s="14">
        <f>IFERROR(VLOOKUP(A9, IP Qty!$D:$R, 6, FALSE), 0)</f>
        <v/>
      </c>
      <c r="AA9">
        <f>IFERROR(VLOOKUP(A9, IP Qty!$D:$R, 7, FALSE), 0)</f>
        <v/>
      </c>
      <c r="AB9">
        <f>IFERROR(VLOOKUP(A9, IP Qty!$D:$R, 9, FALSE), 0)</f>
        <v/>
      </c>
      <c r="AC9">
        <f>IFERROR(VLOOKUP(A9, IP Qty!$D:$R, 8, FALSE), 0)</f>
        <v/>
      </c>
      <c r="AD9" s="14">
        <f>IFERROR(VLOOKUP(A9, KEEPA!$A:$AW, 34, FALSE), 0)</f>
        <v/>
      </c>
      <c r="AE9" s="15">
        <f>IF(P9&gt;1, ((((M9&gt;=$AD$2)*(L9&gt;=$AH$2)) + ((M9&lt;$AD$2)*(M9&gt;=$AE$2)*(L9&gt;=$AG$2)) + ((M9&lt;$AE$2)*(M9&gt;=$AC$2)*(L9&gt;=0)))*2 * IF($AI$2=0, 1, AI9&lt;=$AI$2) * IF($AK$2=0, 1, AK9&lt;=$AK$2) * AND(N9&gt;=$D$1, H9&lt;=$I$2, G9&gt;=$H$2)), ((((M9&gt;=$AD$2)*(L9&gt;=$AH$2)) + ((M9&lt;$AD$2)*(M9&gt;=$AE$2)*(L9&gt;=$AG$2)) + ((M9&lt;$AE$2)*(M9&gt;=$AC$2)*(L9&gt;=0))) * IF($AI$2=0, 1, AI9&lt;=$AI$2) * IF($AK$2=0, 1, AK9&lt;=$AK$2) * AND(N9&gt;=$D$1, H9&lt;=$I$2, G9&gt;=$H$2)))</f>
        <v/>
      </c>
      <c r="AF9">
        <f>IF(AE9&gt;0, 1, 0)</f>
        <v/>
      </c>
      <c r="AG9">
        <f>IFERROR(IF(ISNUMBER(W9), IF(AN9, N9*W9*$AN$2, N9*W9), NA()), NA())</f>
        <v/>
      </c>
      <c r="AH9" s="13">
        <f>IFERROR(MIN(AG9, $U$2), 0)</f>
        <v/>
      </c>
      <c r="AI9" s="14">
        <f>IFERROR(VLOOKUP(A9, KEEPA!$A:$AW, 26, FALSE), 0)</f>
        <v/>
      </c>
      <c r="AJ9" s="16">
        <f>IFERROR(IF(AI9=0, 0, (AI9-H9)/H9), 0)</f>
        <v/>
      </c>
      <c r="AK9" s="14">
        <f>IFERROR(VLOOKUP(A9, KEEPA!$A:$AW, 28, FALSE), 0)</f>
        <v/>
      </c>
      <c r="AL9" s="16">
        <f>IFERROR(IF(AK9=0, 0, (AK9-H9)/H9), 0)</f>
        <v/>
      </c>
      <c r="AM9" s="13">
        <f>IFERROR(VLOOKUP(A9, AZInsight_Data!$A:$AS, 34, FALSE), 0)</f>
        <v/>
      </c>
      <c r="AN9">
        <f>IFERROR(AND(VLOOKUP(A9, KEEPA!$A:$AW, 2, FALSE)&lt;=$AO$2, N9 &gt;= $AM$2), FALSE)</f>
        <v/>
      </c>
      <c r="AO9" s="16">
        <f>IFERROR(VLOOKUP(A9, KEEPA!$A:$AW, 24, FALSE), 0)</f>
        <v/>
      </c>
      <c r="AP9" s="16">
        <f>IFERROR(VLOOKUP(A9, KEEPA!$A:$AW, 48, FALSE), 0)</f>
        <v/>
      </c>
      <c r="AQ9">
        <f>IFERROR(VLOOKUP(A9, AZInsight_Data!$A:$AS, 5, FALSE), "SL")</f>
        <v/>
      </c>
      <c r="AR9">
        <f>IF(OR(A9="", A9=0), "", HYPERLINK("https://keepa.com/#!product/1-"&amp;A9, "Keepa"))</f>
        <v/>
      </c>
      <c r="AS9">
        <f>IF(OR(A9="", A9=0), "", HYPERLINK("https://www.amazon.com/dp/"&amp;A9, "Amazon"))</f>
        <v/>
      </c>
      <c r="AT9">
        <f>IF(OR(A9="", A9=0), "", HYPERLINK("https://sellercentral.amazon.com/product-search/search?q="&amp;A9, "Check Gated"))</f>
        <v/>
      </c>
      <c r="AU9" s="12" t="n"/>
      <c r="AV9" s="12" t="n"/>
      <c r="AW9" s="12" t="n"/>
    </row>
    <row r="10">
      <c r="A10" s="12" t="n"/>
      <c r="B10" s="12">
        <f>IFERROR(VLOOKUP(A10, AZInsight_Data!$A:$AS, 3, FALSE), "")</f>
        <v/>
      </c>
      <c r="C10" s="13">
        <f>IFERROR(VLOOKUP(A10, AZInsight_Data!$A:$AS, 9, FALSE), 0)</f>
        <v/>
      </c>
      <c r="D10">
        <f>IFERROR(VLOOKUP(A10, AZInsight_Data!$A:$AS, 17, FALSE), 0)</f>
        <v/>
      </c>
      <c r="E10">
        <f>IFERROR(VLOOKUP(A10, AZInsight_Data!$A:$AS, 18, FALSE), 0)</f>
        <v/>
      </c>
      <c r="F10" s="14">
        <f>IFERROR(VLOOKUP(A10, AZInsight_Data!$A:$AS, 7, FALSE), 0)</f>
        <v/>
      </c>
      <c r="G10" s="15">
        <f>IFERROR(VLOOKUP(A10, AZInsight_Data!$A:$AS, 14, FALSE), 0)</f>
        <v/>
      </c>
      <c r="H10" s="14">
        <f>IFERROR(VLOOKUP(A10, AZInsight_Data!$A:$AS, 8, FALSE), 0)</f>
        <v/>
      </c>
      <c r="I10" s="16">
        <f>IFERROR(VLOOKUP(A10, KEEPA!$A:$AW, 47, FALSE), 0)</f>
        <v/>
      </c>
      <c r="J10">
        <f>IFERROR(VLOOKUP(A10, AZInsight_Data!$A:$AS, 25, FALSE), 0)</f>
        <v/>
      </c>
      <c r="K10" s="15">
        <f>IFERROR(VLOOKUP(A10, AZInsight_Data!$A:$AS, 16, FALSE), 0)</f>
        <v/>
      </c>
      <c r="L10" s="15">
        <f>IFERROR(K10-T10-J10, 0)</f>
        <v/>
      </c>
      <c r="M10" s="16">
        <f>IFERROR(IF(T10=0, 0, L10/T10), 0)</f>
        <v/>
      </c>
      <c r="N10" s="14">
        <f>IFERROR(C10*($V$2/30), 0)</f>
        <v/>
      </c>
      <c r="O10">
        <f>IFERROR(VLOOKUP(A10, AZInsight_Data!$A:$AS, 40, FALSE), 1)</f>
        <v/>
      </c>
      <c r="P10" s="13">
        <f>IF(O10&gt;0, O10, 1)</f>
        <v/>
      </c>
      <c r="Q10" s="13">
        <f>IFERROR(U10/P10, 0)</f>
        <v/>
      </c>
      <c r="R10">
        <f>IFERROR(VLOOKUP(A10, AZInsight_Data!$A:$AS, 36, FALSE), "")</f>
        <v/>
      </c>
      <c r="S10">
        <f>IFERROR(VLOOKUP(A10, AZInsight_Data!$A:$AS, 3, FALSE), "")</f>
        <v/>
      </c>
      <c r="T10" s="17">
        <f>IFERROR(VLOOKUP(A10, AZInsight_Data!$A:$AS, 13, FALSE), 0)</f>
        <v/>
      </c>
      <c r="U10" s="13">
        <f>AH10</f>
        <v/>
      </c>
      <c r="V10" s="15">
        <f>T10*U10</f>
        <v/>
      </c>
      <c r="W10" s="16" t="n"/>
      <c r="X10" s="12">
        <f>IFERROR(VLOOKUP(A10, AZInsight_Data!$A:$AS, 40, FALSE), 1)</f>
        <v/>
      </c>
      <c r="Y10" s="13">
        <f>IFERROR(VLOOKUP(A10, IP Qty!$D:$R, 5, FALSE), 0)</f>
        <v/>
      </c>
      <c r="Z10" s="14">
        <f>IFERROR(VLOOKUP(A10, IP Qty!$D:$R, 6, FALSE), 0)</f>
        <v/>
      </c>
      <c r="AA10">
        <f>IFERROR(VLOOKUP(A10, IP Qty!$D:$R, 7, FALSE), 0)</f>
        <v/>
      </c>
      <c r="AB10">
        <f>IFERROR(VLOOKUP(A10, IP Qty!$D:$R, 9, FALSE), 0)</f>
        <v/>
      </c>
      <c r="AC10">
        <f>IFERROR(VLOOKUP(A10, IP Qty!$D:$R, 8, FALSE), 0)</f>
        <v/>
      </c>
      <c r="AD10" s="14">
        <f>IFERROR(VLOOKUP(A10, KEEPA!$A:$AW, 34, FALSE), 0)</f>
        <v/>
      </c>
      <c r="AE10" s="15">
        <f>IF(P10&gt;1, ((((M10&gt;=$AD$2)*(L10&gt;=$AH$2)) + ((M10&lt;$AD$2)*(M10&gt;=$AE$2)*(L10&gt;=$AG$2)) + ((M10&lt;$AE$2)*(M10&gt;=$AC$2)*(L10&gt;=0)))*2 * IF($AI$2=0, 1, AI10&lt;=$AI$2) * IF($AK$2=0, 1, AK10&lt;=$AK$2) * AND(N10&gt;=$D$1, H10&lt;=$I$2, G10&gt;=$H$2)), ((((M10&gt;=$AD$2)*(L10&gt;=$AH$2)) + ((M10&lt;$AD$2)*(M10&gt;=$AE$2)*(L10&gt;=$AG$2)) + ((M10&lt;$AE$2)*(M10&gt;=$AC$2)*(L10&gt;=0))) * IF($AI$2=0, 1, AI10&lt;=$AI$2) * IF($AK$2=0, 1, AK10&lt;=$AK$2) * AND(N10&gt;=$D$1, H10&lt;=$I$2, G10&gt;=$H$2)))</f>
        <v/>
      </c>
      <c r="AF10">
        <f>IF(AE10&gt;0, 1, 0)</f>
        <v/>
      </c>
      <c r="AG10">
        <f>IFERROR(IF(ISNUMBER(W10), IF(AN10, N10*W10*$AN$2, N10*W10), NA()), NA())</f>
        <v/>
      </c>
      <c r="AH10" s="13">
        <f>IFERROR(MIN(AG10, $U$2), 0)</f>
        <v/>
      </c>
      <c r="AI10" s="14">
        <f>IFERROR(VLOOKUP(A10, KEEPA!$A:$AW, 26, FALSE), 0)</f>
        <v/>
      </c>
      <c r="AJ10" s="16">
        <f>IFERROR(IF(AI10=0, 0, (AI10-H10)/H10), 0)</f>
        <v/>
      </c>
      <c r="AK10" s="14">
        <f>IFERROR(VLOOKUP(A10, KEEPA!$A:$AW, 28, FALSE), 0)</f>
        <v/>
      </c>
      <c r="AL10" s="16">
        <f>IFERROR(IF(AK10=0, 0, (AK10-H10)/H10), 0)</f>
        <v/>
      </c>
      <c r="AM10" s="13">
        <f>IFERROR(VLOOKUP(A10, AZInsight_Data!$A:$AS, 34, FALSE), 0)</f>
        <v/>
      </c>
      <c r="AN10">
        <f>IFERROR(AND(VLOOKUP(A10, KEEPA!$A:$AW, 2, FALSE)&lt;=$AO$2, N10 &gt;= $AM$2), FALSE)</f>
        <v/>
      </c>
      <c r="AO10" s="16">
        <f>IFERROR(VLOOKUP(A10, KEEPA!$A:$AW, 24, FALSE), 0)</f>
        <v/>
      </c>
      <c r="AP10" s="16">
        <f>IFERROR(VLOOKUP(A10, KEEPA!$A:$AW, 48, FALSE), 0)</f>
        <v/>
      </c>
      <c r="AQ10">
        <f>IFERROR(VLOOKUP(A10, AZInsight_Data!$A:$AS, 5, FALSE), "SL")</f>
        <v/>
      </c>
      <c r="AR10">
        <f>IF(OR(A10="", A10=0), "", HYPERLINK("https://keepa.com/#!product/1-"&amp;A10, "Keepa"))</f>
        <v/>
      </c>
      <c r="AS10">
        <f>IF(OR(A10="", A10=0), "", HYPERLINK("https://www.amazon.com/dp/"&amp;A10, "Amazon"))</f>
        <v/>
      </c>
      <c r="AT10">
        <f>IF(OR(A10="", A10=0), "", HYPERLINK("https://sellercentral.amazon.com/product-search/search?q="&amp;A10, "Check Gated"))</f>
        <v/>
      </c>
      <c r="AU10" s="12" t="n"/>
      <c r="AV10" s="12" t="n"/>
      <c r="AW10" s="12" t="n"/>
    </row>
    <row r="11">
      <c r="A11" s="12" t="n"/>
      <c r="B11" s="12">
        <f>IFERROR(VLOOKUP(A11, AZInsight_Data!$A:$AS, 3, FALSE), "")</f>
        <v/>
      </c>
      <c r="C11" s="13">
        <f>IFERROR(VLOOKUP(A11, AZInsight_Data!$A:$AS, 9, FALSE), 0)</f>
        <v/>
      </c>
      <c r="D11">
        <f>IFERROR(VLOOKUP(A11, AZInsight_Data!$A:$AS, 17, FALSE), 0)</f>
        <v/>
      </c>
      <c r="E11">
        <f>IFERROR(VLOOKUP(A11, AZInsight_Data!$A:$AS, 18, FALSE), 0)</f>
        <v/>
      </c>
      <c r="F11" s="14">
        <f>IFERROR(VLOOKUP(A11, AZInsight_Data!$A:$AS, 7, FALSE), 0)</f>
        <v/>
      </c>
      <c r="G11" s="15">
        <f>IFERROR(VLOOKUP(A11, AZInsight_Data!$A:$AS, 14, FALSE), 0)</f>
        <v/>
      </c>
      <c r="H11" s="14">
        <f>IFERROR(VLOOKUP(A11, AZInsight_Data!$A:$AS, 8, FALSE), 0)</f>
        <v/>
      </c>
      <c r="I11" s="16">
        <f>IFERROR(VLOOKUP(A11, KEEPA!$A:$AW, 47, FALSE), 0)</f>
        <v/>
      </c>
      <c r="J11">
        <f>IFERROR(VLOOKUP(A11, AZInsight_Data!$A:$AS, 25, FALSE), 0)</f>
        <v/>
      </c>
      <c r="K11" s="15">
        <f>IFERROR(VLOOKUP(A11, AZInsight_Data!$A:$AS, 16, FALSE), 0)</f>
        <v/>
      </c>
      <c r="L11" s="15">
        <f>IFERROR(K11-T11-J11, 0)</f>
        <v/>
      </c>
      <c r="M11" s="16">
        <f>IFERROR(IF(T11=0, 0, L11/T11), 0)</f>
        <v/>
      </c>
      <c r="N11" s="14">
        <f>IFERROR(C11*($V$2/30), 0)</f>
        <v/>
      </c>
      <c r="O11">
        <f>IFERROR(VLOOKUP(A11, AZInsight_Data!$A:$AS, 40, FALSE), 1)</f>
        <v/>
      </c>
      <c r="P11" s="13">
        <f>IF(O11&gt;0, O11, 1)</f>
        <v/>
      </c>
      <c r="Q11" s="13">
        <f>IFERROR(U11/P11, 0)</f>
        <v/>
      </c>
      <c r="R11">
        <f>IFERROR(VLOOKUP(A11, AZInsight_Data!$A:$AS, 36, FALSE), "")</f>
        <v/>
      </c>
      <c r="S11">
        <f>IFERROR(VLOOKUP(A11, AZInsight_Data!$A:$AS, 3, FALSE), "")</f>
        <v/>
      </c>
      <c r="T11" s="17">
        <f>IFERROR(VLOOKUP(A11, AZInsight_Data!$A:$AS, 13, FALSE), 0)</f>
        <v/>
      </c>
      <c r="U11" s="13">
        <f>AH11</f>
        <v/>
      </c>
      <c r="V11" s="15">
        <f>T11*U11</f>
        <v/>
      </c>
      <c r="W11" s="16" t="n"/>
      <c r="X11" s="12">
        <f>IFERROR(VLOOKUP(A11, AZInsight_Data!$A:$AS, 40, FALSE), 1)</f>
        <v/>
      </c>
      <c r="Y11" s="13">
        <f>IFERROR(VLOOKUP(A11, IP Qty!$D:$R, 5, FALSE), 0)</f>
        <v/>
      </c>
      <c r="Z11" s="14">
        <f>IFERROR(VLOOKUP(A11, IP Qty!$D:$R, 6, FALSE), 0)</f>
        <v/>
      </c>
      <c r="AA11">
        <f>IFERROR(VLOOKUP(A11, IP Qty!$D:$R, 7, FALSE), 0)</f>
        <v/>
      </c>
      <c r="AB11">
        <f>IFERROR(VLOOKUP(A11, IP Qty!$D:$R, 9, FALSE), 0)</f>
        <v/>
      </c>
      <c r="AC11">
        <f>IFERROR(VLOOKUP(A11, IP Qty!$D:$R, 8, FALSE), 0)</f>
        <v/>
      </c>
      <c r="AD11" s="14">
        <f>IFERROR(VLOOKUP(A11, KEEPA!$A:$AW, 34, FALSE), 0)</f>
        <v/>
      </c>
      <c r="AE11" s="15">
        <f>IF(P11&gt;1, ((((M11&gt;=$AD$2)*(L11&gt;=$AH$2)) + ((M11&lt;$AD$2)*(M11&gt;=$AE$2)*(L11&gt;=$AG$2)) + ((M11&lt;$AE$2)*(M11&gt;=$AC$2)*(L11&gt;=0)))*2 * IF($AI$2=0, 1, AI11&lt;=$AI$2) * IF($AK$2=0, 1, AK11&lt;=$AK$2) * AND(N11&gt;=$D$1, H11&lt;=$I$2, G11&gt;=$H$2)), ((((M11&gt;=$AD$2)*(L11&gt;=$AH$2)) + ((M11&lt;$AD$2)*(M11&gt;=$AE$2)*(L11&gt;=$AG$2)) + ((M11&lt;$AE$2)*(M11&gt;=$AC$2)*(L11&gt;=0))) * IF($AI$2=0, 1, AI11&lt;=$AI$2) * IF($AK$2=0, 1, AK11&lt;=$AK$2) * AND(N11&gt;=$D$1, H11&lt;=$I$2, G11&gt;=$H$2)))</f>
        <v/>
      </c>
      <c r="AF11">
        <f>IF(AE11&gt;0, 1, 0)</f>
        <v/>
      </c>
      <c r="AG11">
        <f>IFERROR(IF(ISNUMBER(W11), IF(AN11, N11*W11*$AN$2, N11*W11), NA()), NA())</f>
        <v/>
      </c>
      <c r="AH11" s="13">
        <f>IFERROR(MIN(AG11, $U$2), 0)</f>
        <v/>
      </c>
      <c r="AI11" s="14">
        <f>IFERROR(VLOOKUP(A11, KEEPA!$A:$AW, 26, FALSE), 0)</f>
        <v/>
      </c>
      <c r="AJ11" s="16">
        <f>IFERROR(IF(AI11=0, 0, (AI11-H11)/H11), 0)</f>
        <v/>
      </c>
      <c r="AK11" s="14">
        <f>IFERROR(VLOOKUP(A11, KEEPA!$A:$AW, 28, FALSE), 0)</f>
        <v/>
      </c>
      <c r="AL11" s="16">
        <f>IFERROR(IF(AK11=0, 0, (AK11-H11)/H11), 0)</f>
        <v/>
      </c>
      <c r="AM11" s="13">
        <f>IFERROR(VLOOKUP(A11, AZInsight_Data!$A:$AS, 34, FALSE), 0)</f>
        <v/>
      </c>
      <c r="AN11">
        <f>IFERROR(AND(VLOOKUP(A11, KEEPA!$A:$AW, 2, FALSE)&lt;=$AO$2, N11 &gt;= $AM$2), FALSE)</f>
        <v/>
      </c>
      <c r="AO11" s="16">
        <f>IFERROR(VLOOKUP(A11, KEEPA!$A:$AW, 24, FALSE), 0)</f>
        <v/>
      </c>
      <c r="AP11" s="16">
        <f>IFERROR(VLOOKUP(A11, KEEPA!$A:$AW, 48, FALSE), 0)</f>
        <v/>
      </c>
      <c r="AQ11">
        <f>IFERROR(VLOOKUP(A11, AZInsight_Data!$A:$AS, 5, FALSE), "SL")</f>
        <v/>
      </c>
      <c r="AR11">
        <f>IF(OR(A11="", A11=0), "", HYPERLINK("https://keepa.com/#!product/1-"&amp;A11, "Keepa"))</f>
        <v/>
      </c>
      <c r="AS11">
        <f>IF(OR(A11="", A11=0), "", HYPERLINK("https://www.amazon.com/dp/"&amp;A11, "Amazon"))</f>
        <v/>
      </c>
      <c r="AT11">
        <f>IF(OR(A11="", A11=0), "", HYPERLINK("https://sellercentral.amazon.com/product-search/search?q="&amp;A11, "Check Gated"))</f>
        <v/>
      </c>
      <c r="AU11" s="12" t="n"/>
      <c r="AV11" s="12" t="n"/>
      <c r="AW11" s="12" t="n"/>
    </row>
    <row r="12">
      <c r="A12" s="12" t="n"/>
      <c r="B12" s="12">
        <f>IFERROR(VLOOKUP(A12, AZInsight_Data!$A:$AS, 3, FALSE), "")</f>
        <v/>
      </c>
      <c r="C12" s="13">
        <f>IFERROR(VLOOKUP(A12, AZInsight_Data!$A:$AS, 9, FALSE), 0)</f>
        <v/>
      </c>
      <c r="D12">
        <f>IFERROR(VLOOKUP(A12, AZInsight_Data!$A:$AS, 17, FALSE), 0)</f>
        <v/>
      </c>
      <c r="E12">
        <f>IFERROR(VLOOKUP(A12, AZInsight_Data!$A:$AS, 18, FALSE), 0)</f>
        <v/>
      </c>
      <c r="F12" s="14">
        <f>IFERROR(VLOOKUP(A12, AZInsight_Data!$A:$AS, 7, FALSE), 0)</f>
        <v/>
      </c>
      <c r="G12" s="15">
        <f>IFERROR(VLOOKUP(A12, AZInsight_Data!$A:$AS, 14, FALSE), 0)</f>
        <v/>
      </c>
      <c r="H12" s="14">
        <f>IFERROR(VLOOKUP(A12, AZInsight_Data!$A:$AS, 8, FALSE), 0)</f>
        <v/>
      </c>
      <c r="I12" s="16">
        <f>IFERROR(VLOOKUP(A12, KEEPA!$A:$AW, 47, FALSE), 0)</f>
        <v/>
      </c>
      <c r="J12">
        <f>IFERROR(VLOOKUP(A12, AZInsight_Data!$A:$AS, 25, FALSE), 0)</f>
        <v/>
      </c>
      <c r="K12" s="15">
        <f>IFERROR(VLOOKUP(A12, AZInsight_Data!$A:$AS, 16, FALSE), 0)</f>
        <v/>
      </c>
      <c r="L12" s="15">
        <f>IFERROR(K12-T12-J12, 0)</f>
        <v/>
      </c>
      <c r="M12" s="16">
        <f>IFERROR(IF(T12=0, 0, L12/T12), 0)</f>
        <v/>
      </c>
      <c r="N12" s="14">
        <f>IFERROR(C12*($V$2/30), 0)</f>
        <v/>
      </c>
      <c r="O12">
        <f>IFERROR(VLOOKUP(A12, AZInsight_Data!$A:$AS, 40, FALSE), 1)</f>
        <v/>
      </c>
      <c r="P12" s="13">
        <f>IF(O12&gt;0, O12, 1)</f>
        <v/>
      </c>
      <c r="Q12" s="13">
        <f>IFERROR(U12/P12, 0)</f>
        <v/>
      </c>
      <c r="R12">
        <f>IFERROR(VLOOKUP(A12, AZInsight_Data!$A:$AS, 36, FALSE), "")</f>
        <v/>
      </c>
      <c r="S12">
        <f>IFERROR(VLOOKUP(A12, AZInsight_Data!$A:$AS, 3, FALSE), "")</f>
        <v/>
      </c>
      <c r="T12" s="17">
        <f>IFERROR(VLOOKUP(A12, AZInsight_Data!$A:$AS, 13, FALSE), 0)</f>
        <v/>
      </c>
      <c r="U12" s="13">
        <f>AH12</f>
        <v/>
      </c>
      <c r="V12" s="15">
        <f>T12*U12</f>
        <v/>
      </c>
      <c r="W12" s="16" t="n"/>
      <c r="X12" s="12">
        <f>IFERROR(VLOOKUP(A12, AZInsight_Data!$A:$AS, 40, FALSE), 1)</f>
        <v/>
      </c>
      <c r="Y12" s="13">
        <f>IFERROR(VLOOKUP(A12, IP Qty!$D:$R, 5, FALSE), 0)</f>
        <v/>
      </c>
      <c r="Z12" s="14">
        <f>IFERROR(VLOOKUP(A12, IP Qty!$D:$R, 6, FALSE), 0)</f>
        <v/>
      </c>
      <c r="AA12">
        <f>IFERROR(VLOOKUP(A12, IP Qty!$D:$R, 7, FALSE), 0)</f>
        <v/>
      </c>
      <c r="AB12">
        <f>IFERROR(VLOOKUP(A12, IP Qty!$D:$R, 9, FALSE), 0)</f>
        <v/>
      </c>
      <c r="AC12">
        <f>IFERROR(VLOOKUP(A12, IP Qty!$D:$R, 8, FALSE), 0)</f>
        <v/>
      </c>
      <c r="AD12" s="14">
        <f>IFERROR(VLOOKUP(A12, KEEPA!$A:$AW, 34, FALSE), 0)</f>
        <v/>
      </c>
      <c r="AE12" s="15">
        <f>IF(P12&gt;1, ((((M12&gt;=$AD$2)*(L12&gt;=$AH$2)) + ((M12&lt;$AD$2)*(M12&gt;=$AE$2)*(L12&gt;=$AG$2)) + ((M12&lt;$AE$2)*(M12&gt;=$AC$2)*(L12&gt;=0)))*2 * IF($AI$2=0, 1, AI12&lt;=$AI$2) * IF($AK$2=0, 1, AK12&lt;=$AK$2) * AND(N12&gt;=$D$1, H12&lt;=$I$2, G12&gt;=$H$2)), ((((M12&gt;=$AD$2)*(L12&gt;=$AH$2)) + ((M12&lt;$AD$2)*(M12&gt;=$AE$2)*(L12&gt;=$AG$2)) + ((M12&lt;$AE$2)*(M12&gt;=$AC$2)*(L12&gt;=0))) * IF($AI$2=0, 1, AI12&lt;=$AI$2) * IF($AK$2=0, 1, AK12&lt;=$AK$2) * AND(N12&gt;=$D$1, H12&lt;=$I$2, G12&gt;=$H$2)))</f>
        <v/>
      </c>
      <c r="AF12">
        <f>IF(AE12&gt;0, 1, 0)</f>
        <v/>
      </c>
      <c r="AG12">
        <f>IFERROR(IF(ISNUMBER(W12), IF(AN12, N12*W12*$AN$2, N12*W12), NA()), NA())</f>
        <v/>
      </c>
      <c r="AH12" s="13">
        <f>IFERROR(MIN(AG12, $U$2), 0)</f>
        <v/>
      </c>
      <c r="AI12" s="14">
        <f>IFERROR(VLOOKUP(A12, KEEPA!$A:$AW, 26, FALSE), 0)</f>
        <v/>
      </c>
      <c r="AJ12" s="16">
        <f>IFERROR(IF(AI12=0, 0, (AI12-H12)/H12), 0)</f>
        <v/>
      </c>
      <c r="AK12" s="14">
        <f>IFERROR(VLOOKUP(A12, KEEPA!$A:$AW, 28, FALSE), 0)</f>
        <v/>
      </c>
      <c r="AL12" s="16">
        <f>IFERROR(IF(AK12=0, 0, (AK12-H12)/H12), 0)</f>
        <v/>
      </c>
      <c r="AM12" s="13">
        <f>IFERROR(VLOOKUP(A12, AZInsight_Data!$A:$AS, 34, FALSE), 0)</f>
        <v/>
      </c>
      <c r="AN12">
        <f>IFERROR(AND(VLOOKUP(A12, KEEPA!$A:$AW, 2, FALSE)&lt;=$AO$2, N12 &gt;= $AM$2), FALSE)</f>
        <v/>
      </c>
      <c r="AO12" s="16">
        <f>IFERROR(VLOOKUP(A12, KEEPA!$A:$AW, 24, FALSE), 0)</f>
        <v/>
      </c>
      <c r="AP12" s="16">
        <f>IFERROR(VLOOKUP(A12, KEEPA!$A:$AW, 48, FALSE), 0)</f>
        <v/>
      </c>
      <c r="AQ12">
        <f>IFERROR(VLOOKUP(A12, AZInsight_Data!$A:$AS, 5, FALSE), "SL")</f>
        <v/>
      </c>
      <c r="AR12">
        <f>IF(OR(A12="", A12=0), "", HYPERLINK("https://keepa.com/#!product/1-"&amp;A12, "Keepa"))</f>
        <v/>
      </c>
      <c r="AS12">
        <f>IF(OR(A12="", A12=0), "", HYPERLINK("https://www.amazon.com/dp/"&amp;A12, "Amazon"))</f>
        <v/>
      </c>
      <c r="AT12">
        <f>IF(OR(A12="", A12=0), "", HYPERLINK("https://sellercentral.amazon.com/product-search/search?q="&amp;A12, "Check Gated"))</f>
        <v/>
      </c>
      <c r="AU12" s="12" t="n"/>
      <c r="AV12" s="12" t="n"/>
      <c r="AW12" s="12" t="n"/>
    </row>
    <row r="13">
      <c r="A13" s="12" t="n"/>
      <c r="B13" s="12">
        <f>IFERROR(VLOOKUP(A13, AZInsight_Data!$A:$AS, 3, FALSE), "")</f>
        <v/>
      </c>
      <c r="C13" s="13">
        <f>IFERROR(VLOOKUP(A13, AZInsight_Data!$A:$AS, 9, FALSE), 0)</f>
        <v/>
      </c>
      <c r="D13">
        <f>IFERROR(VLOOKUP(A13, AZInsight_Data!$A:$AS, 17, FALSE), 0)</f>
        <v/>
      </c>
      <c r="E13">
        <f>IFERROR(VLOOKUP(A13, AZInsight_Data!$A:$AS, 18, FALSE), 0)</f>
        <v/>
      </c>
      <c r="F13" s="14">
        <f>IFERROR(VLOOKUP(A13, AZInsight_Data!$A:$AS, 7, FALSE), 0)</f>
        <v/>
      </c>
      <c r="G13" s="15">
        <f>IFERROR(VLOOKUP(A13, AZInsight_Data!$A:$AS, 14, FALSE), 0)</f>
        <v/>
      </c>
      <c r="H13" s="14">
        <f>IFERROR(VLOOKUP(A13, AZInsight_Data!$A:$AS, 8, FALSE), 0)</f>
        <v/>
      </c>
      <c r="I13" s="16">
        <f>IFERROR(VLOOKUP(A13, KEEPA!$A:$AW, 47, FALSE), 0)</f>
        <v/>
      </c>
      <c r="J13">
        <f>IFERROR(VLOOKUP(A13, AZInsight_Data!$A:$AS, 25, FALSE), 0)</f>
        <v/>
      </c>
      <c r="K13" s="15">
        <f>IFERROR(VLOOKUP(A13, AZInsight_Data!$A:$AS, 16, FALSE), 0)</f>
        <v/>
      </c>
      <c r="L13" s="15">
        <f>IFERROR(K13-T13-J13, 0)</f>
        <v/>
      </c>
      <c r="M13" s="16">
        <f>IFERROR(IF(T13=0, 0, L13/T13), 0)</f>
        <v/>
      </c>
      <c r="N13" s="14">
        <f>IFERROR(C13*($V$2/30), 0)</f>
        <v/>
      </c>
      <c r="O13">
        <f>IFERROR(VLOOKUP(A13, AZInsight_Data!$A:$AS, 40, FALSE), 1)</f>
        <v/>
      </c>
      <c r="P13" s="13">
        <f>IF(O13&gt;0, O13, 1)</f>
        <v/>
      </c>
      <c r="Q13" s="13">
        <f>IFERROR(U13/P13, 0)</f>
        <v/>
      </c>
      <c r="R13">
        <f>IFERROR(VLOOKUP(A13, AZInsight_Data!$A:$AS, 36, FALSE), "")</f>
        <v/>
      </c>
      <c r="S13">
        <f>IFERROR(VLOOKUP(A13, AZInsight_Data!$A:$AS, 3, FALSE), "")</f>
        <v/>
      </c>
      <c r="T13" s="17">
        <f>IFERROR(VLOOKUP(A13, AZInsight_Data!$A:$AS, 13, FALSE), 0)</f>
        <v/>
      </c>
      <c r="U13" s="13">
        <f>AH13</f>
        <v/>
      </c>
      <c r="V13" s="15">
        <f>T13*U13</f>
        <v/>
      </c>
      <c r="W13" s="16" t="n"/>
      <c r="X13" s="12">
        <f>IFERROR(VLOOKUP(A13, AZInsight_Data!$A:$AS, 40, FALSE), 1)</f>
        <v/>
      </c>
      <c r="Y13" s="13">
        <f>IFERROR(VLOOKUP(A13, IP Qty!$D:$R, 5, FALSE), 0)</f>
        <v/>
      </c>
      <c r="Z13" s="14">
        <f>IFERROR(VLOOKUP(A13, IP Qty!$D:$R, 6, FALSE), 0)</f>
        <v/>
      </c>
      <c r="AA13">
        <f>IFERROR(VLOOKUP(A13, IP Qty!$D:$R, 7, FALSE), 0)</f>
        <v/>
      </c>
      <c r="AB13">
        <f>IFERROR(VLOOKUP(A13, IP Qty!$D:$R, 9, FALSE), 0)</f>
        <v/>
      </c>
      <c r="AC13">
        <f>IFERROR(VLOOKUP(A13, IP Qty!$D:$R, 8, FALSE), 0)</f>
        <v/>
      </c>
      <c r="AD13" s="14">
        <f>IFERROR(VLOOKUP(A13, KEEPA!$A:$AW, 34, FALSE), 0)</f>
        <v/>
      </c>
      <c r="AE13" s="15">
        <f>IF(P13&gt;1, ((((M13&gt;=$AD$2)*(L13&gt;=$AH$2)) + ((M13&lt;$AD$2)*(M13&gt;=$AE$2)*(L13&gt;=$AG$2)) + ((M13&lt;$AE$2)*(M13&gt;=$AC$2)*(L13&gt;=0)))*2 * IF($AI$2=0, 1, AI13&lt;=$AI$2) * IF($AK$2=0, 1, AK13&lt;=$AK$2) * AND(N13&gt;=$D$1, H13&lt;=$I$2, G13&gt;=$H$2)), ((((M13&gt;=$AD$2)*(L13&gt;=$AH$2)) + ((M13&lt;$AD$2)*(M13&gt;=$AE$2)*(L13&gt;=$AG$2)) + ((M13&lt;$AE$2)*(M13&gt;=$AC$2)*(L13&gt;=0))) * IF($AI$2=0, 1, AI13&lt;=$AI$2) * IF($AK$2=0, 1, AK13&lt;=$AK$2) * AND(N13&gt;=$D$1, H13&lt;=$I$2, G13&gt;=$H$2)))</f>
        <v/>
      </c>
      <c r="AF13">
        <f>IF(AE13&gt;0, 1, 0)</f>
        <v/>
      </c>
      <c r="AG13">
        <f>IFERROR(IF(ISNUMBER(W13), IF(AN13, N13*W13*$AN$2, N13*W13), NA()), NA())</f>
        <v/>
      </c>
      <c r="AH13" s="13">
        <f>IFERROR(MIN(AG13, $U$2), 0)</f>
        <v/>
      </c>
      <c r="AI13" s="14">
        <f>IFERROR(VLOOKUP(A13, KEEPA!$A:$AW, 26, FALSE), 0)</f>
        <v/>
      </c>
      <c r="AJ13" s="16">
        <f>IFERROR(IF(AI13=0, 0, (AI13-H13)/H13), 0)</f>
        <v/>
      </c>
      <c r="AK13" s="14">
        <f>IFERROR(VLOOKUP(A13, KEEPA!$A:$AW, 28, FALSE), 0)</f>
        <v/>
      </c>
      <c r="AL13" s="16">
        <f>IFERROR(IF(AK13=0, 0, (AK13-H13)/H13), 0)</f>
        <v/>
      </c>
      <c r="AM13" s="13">
        <f>IFERROR(VLOOKUP(A13, AZInsight_Data!$A:$AS, 34, FALSE), 0)</f>
        <v/>
      </c>
      <c r="AN13">
        <f>IFERROR(AND(VLOOKUP(A13, KEEPA!$A:$AW, 2, FALSE)&lt;=$AO$2, N13 &gt;= $AM$2), FALSE)</f>
        <v/>
      </c>
      <c r="AO13" s="16">
        <f>IFERROR(VLOOKUP(A13, KEEPA!$A:$AW, 24, FALSE), 0)</f>
        <v/>
      </c>
      <c r="AP13" s="16">
        <f>IFERROR(VLOOKUP(A13, KEEPA!$A:$AW, 48, FALSE), 0)</f>
        <v/>
      </c>
      <c r="AQ13">
        <f>IFERROR(VLOOKUP(A13, AZInsight_Data!$A:$AS, 5, FALSE), "SL")</f>
        <v/>
      </c>
      <c r="AR13">
        <f>IF(OR(A13="", A13=0), "", HYPERLINK("https://keepa.com/#!product/1-"&amp;A13, "Keepa"))</f>
        <v/>
      </c>
      <c r="AS13">
        <f>IF(OR(A13="", A13=0), "", HYPERLINK("https://www.amazon.com/dp/"&amp;A13, "Amazon"))</f>
        <v/>
      </c>
      <c r="AT13">
        <f>IF(OR(A13="", A13=0), "", HYPERLINK("https://sellercentral.amazon.com/product-search/search?q="&amp;A13, "Check Gated"))</f>
        <v/>
      </c>
      <c r="AU13" s="12" t="n"/>
      <c r="AV13" s="12" t="n"/>
      <c r="AW13" s="12" t="n"/>
    </row>
    <row r="14">
      <c r="A14" s="12" t="n"/>
      <c r="B14" s="12">
        <f>IFERROR(VLOOKUP(A14, AZInsight_Data!$A:$AS, 3, FALSE), "")</f>
        <v/>
      </c>
      <c r="C14" s="13">
        <f>IFERROR(VLOOKUP(A14, AZInsight_Data!$A:$AS, 9, FALSE), 0)</f>
        <v/>
      </c>
      <c r="D14">
        <f>IFERROR(VLOOKUP(A14, AZInsight_Data!$A:$AS, 17, FALSE), 0)</f>
        <v/>
      </c>
      <c r="E14">
        <f>IFERROR(VLOOKUP(A14, AZInsight_Data!$A:$AS, 18, FALSE), 0)</f>
        <v/>
      </c>
      <c r="F14" s="14">
        <f>IFERROR(VLOOKUP(A14, AZInsight_Data!$A:$AS, 7, FALSE), 0)</f>
        <v/>
      </c>
      <c r="G14" s="15">
        <f>IFERROR(VLOOKUP(A14, AZInsight_Data!$A:$AS, 14, FALSE), 0)</f>
        <v/>
      </c>
      <c r="H14" s="14">
        <f>IFERROR(VLOOKUP(A14, AZInsight_Data!$A:$AS, 8, FALSE), 0)</f>
        <v/>
      </c>
      <c r="I14" s="16">
        <f>IFERROR(VLOOKUP(A14, KEEPA!$A:$AW, 47, FALSE), 0)</f>
        <v/>
      </c>
      <c r="J14">
        <f>IFERROR(VLOOKUP(A14, AZInsight_Data!$A:$AS, 25, FALSE), 0)</f>
        <v/>
      </c>
      <c r="K14" s="15">
        <f>IFERROR(VLOOKUP(A14, AZInsight_Data!$A:$AS, 16, FALSE), 0)</f>
        <v/>
      </c>
      <c r="L14" s="15">
        <f>IFERROR(K14-T14-J14, 0)</f>
        <v/>
      </c>
      <c r="M14" s="16">
        <f>IFERROR(IF(T14=0, 0, L14/T14), 0)</f>
        <v/>
      </c>
      <c r="N14" s="14">
        <f>IFERROR(C14*($V$2/30), 0)</f>
        <v/>
      </c>
      <c r="O14">
        <f>IFERROR(VLOOKUP(A14, AZInsight_Data!$A:$AS, 40, FALSE), 1)</f>
        <v/>
      </c>
      <c r="P14" s="13">
        <f>IF(O14&gt;0, O14, 1)</f>
        <v/>
      </c>
      <c r="Q14" s="13">
        <f>IFERROR(U14/P14, 0)</f>
        <v/>
      </c>
      <c r="R14">
        <f>IFERROR(VLOOKUP(A14, AZInsight_Data!$A:$AS, 36, FALSE), "")</f>
        <v/>
      </c>
      <c r="S14">
        <f>IFERROR(VLOOKUP(A14, AZInsight_Data!$A:$AS, 3, FALSE), "")</f>
        <v/>
      </c>
      <c r="T14" s="17">
        <f>IFERROR(VLOOKUP(A14, AZInsight_Data!$A:$AS, 13, FALSE), 0)</f>
        <v/>
      </c>
      <c r="U14" s="13">
        <f>AH14</f>
        <v/>
      </c>
      <c r="V14" s="15">
        <f>T14*U14</f>
        <v/>
      </c>
      <c r="W14" s="16" t="n"/>
      <c r="X14" s="12">
        <f>IFERROR(VLOOKUP(A14, AZInsight_Data!$A:$AS, 40, FALSE), 1)</f>
        <v/>
      </c>
      <c r="Y14" s="13">
        <f>IFERROR(VLOOKUP(A14, IP Qty!$D:$R, 5, FALSE), 0)</f>
        <v/>
      </c>
      <c r="Z14" s="14">
        <f>IFERROR(VLOOKUP(A14, IP Qty!$D:$R, 6, FALSE), 0)</f>
        <v/>
      </c>
      <c r="AA14">
        <f>IFERROR(VLOOKUP(A14, IP Qty!$D:$R, 7, FALSE), 0)</f>
        <v/>
      </c>
      <c r="AB14">
        <f>IFERROR(VLOOKUP(A14, IP Qty!$D:$R, 9, FALSE), 0)</f>
        <v/>
      </c>
      <c r="AC14">
        <f>IFERROR(VLOOKUP(A14, IP Qty!$D:$R, 8, FALSE), 0)</f>
        <v/>
      </c>
      <c r="AD14" s="14">
        <f>IFERROR(VLOOKUP(A14, KEEPA!$A:$AW, 34, FALSE), 0)</f>
        <v/>
      </c>
      <c r="AE14" s="15">
        <f>IF(P14&gt;1, ((((M14&gt;=$AD$2)*(L14&gt;=$AH$2)) + ((M14&lt;$AD$2)*(M14&gt;=$AE$2)*(L14&gt;=$AG$2)) + ((M14&lt;$AE$2)*(M14&gt;=$AC$2)*(L14&gt;=0)))*2 * IF($AI$2=0, 1, AI14&lt;=$AI$2) * IF($AK$2=0, 1, AK14&lt;=$AK$2) * AND(N14&gt;=$D$1, H14&lt;=$I$2, G14&gt;=$H$2)), ((((M14&gt;=$AD$2)*(L14&gt;=$AH$2)) + ((M14&lt;$AD$2)*(M14&gt;=$AE$2)*(L14&gt;=$AG$2)) + ((M14&lt;$AE$2)*(M14&gt;=$AC$2)*(L14&gt;=0))) * IF($AI$2=0, 1, AI14&lt;=$AI$2) * IF($AK$2=0, 1, AK14&lt;=$AK$2) * AND(N14&gt;=$D$1, H14&lt;=$I$2, G14&gt;=$H$2)))</f>
        <v/>
      </c>
      <c r="AF14">
        <f>IF(AE14&gt;0, 1, 0)</f>
        <v/>
      </c>
      <c r="AG14">
        <f>IFERROR(IF(ISNUMBER(W14), IF(AN14, N14*W14*$AN$2, N14*W14), NA()), NA())</f>
        <v/>
      </c>
      <c r="AH14" s="13">
        <f>IFERROR(MIN(AG14, $U$2), 0)</f>
        <v/>
      </c>
      <c r="AI14" s="14">
        <f>IFERROR(VLOOKUP(A14, KEEPA!$A:$AW, 26, FALSE), 0)</f>
        <v/>
      </c>
      <c r="AJ14" s="16">
        <f>IFERROR(IF(AI14=0, 0, (AI14-H14)/H14), 0)</f>
        <v/>
      </c>
      <c r="AK14" s="14">
        <f>IFERROR(VLOOKUP(A14, KEEPA!$A:$AW, 28, FALSE), 0)</f>
        <v/>
      </c>
      <c r="AL14" s="16">
        <f>IFERROR(IF(AK14=0, 0, (AK14-H14)/H14), 0)</f>
        <v/>
      </c>
      <c r="AM14" s="13">
        <f>IFERROR(VLOOKUP(A14, AZInsight_Data!$A:$AS, 34, FALSE), 0)</f>
        <v/>
      </c>
      <c r="AN14">
        <f>IFERROR(AND(VLOOKUP(A14, KEEPA!$A:$AW, 2, FALSE)&lt;=$AO$2, N14 &gt;= $AM$2), FALSE)</f>
        <v/>
      </c>
      <c r="AO14" s="16">
        <f>IFERROR(VLOOKUP(A14, KEEPA!$A:$AW, 24, FALSE), 0)</f>
        <v/>
      </c>
      <c r="AP14" s="16">
        <f>IFERROR(VLOOKUP(A14, KEEPA!$A:$AW, 48, FALSE), 0)</f>
        <v/>
      </c>
      <c r="AQ14">
        <f>IFERROR(VLOOKUP(A14, AZInsight_Data!$A:$AS, 5, FALSE), "SL")</f>
        <v/>
      </c>
      <c r="AR14">
        <f>IF(OR(A14="", A14=0), "", HYPERLINK("https://keepa.com/#!product/1-"&amp;A14, "Keepa"))</f>
        <v/>
      </c>
      <c r="AS14">
        <f>IF(OR(A14="", A14=0), "", HYPERLINK("https://www.amazon.com/dp/"&amp;A14, "Amazon"))</f>
        <v/>
      </c>
      <c r="AT14">
        <f>IF(OR(A14="", A14=0), "", HYPERLINK("https://sellercentral.amazon.com/product-search/search?q="&amp;A14, "Check Gated"))</f>
        <v/>
      </c>
      <c r="AU14" s="12" t="n"/>
      <c r="AV14" s="12" t="n"/>
      <c r="AW14" s="12" t="n"/>
    </row>
    <row r="15">
      <c r="A15" s="12" t="n"/>
      <c r="B15" s="12">
        <f>IFERROR(VLOOKUP(A15, AZInsight_Data!$A:$AS, 3, FALSE), "")</f>
        <v/>
      </c>
      <c r="C15" s="13">
        <f>IFERROR(VLOOKUP(A15, AZInsight_Data!$A:$AS, 9, FALSE), 0)</f>
        <v/>
      </c>
      <c r="D15">
        <f>IFERROR(VLOOKUP(A15, AZInsight_Data!$A:$AS, 17, FALSE), 0)</f>
        <v/>
      </c>
      <c r="E15">
        <f>IFERROR(VLOOKUP(A15, AZInsight_Data!$A:$AS, 18, FALSE), 0)</f>
        <v/>
      </c>
      <c r="F15" s="14">
        <f>IFERROR(VLOOKUP(A15, AZInsight_Data!$A:$AS, 7, FALSE), 0)</f>
        <v/>
      </c>
      <c r="G15" s="15">
        <f>IFERROR(VLOOKUP(A15, AZInsight_Data!$A:$AS, 14, FALSE), 0)</f>
        <v/>
      </c>
      <c r="H15" s="14">
        <f>IFERROR(VLOOKUP(A15, AZInsight_Data!$A:$AS, 8, FALSE), 0)</f>
        <v/>
      </c>
      <c r="I15" s="16">
        <f>IFERROR(VLOOKUP(A15, KEEPA!$A:$AW, 47, FALSE), 0)</f>
        <v/>
      </c>
      <c r="J15">
        <f>IFERROR(VLOOKUP(A15, AZInsight_Data!$A:$AS, 25, FALSE), 0)</f>
        <v/>
      </c>
      <c r="K15" s="15">
        <f>IFERROR(VLOOKUP(A15, AZInsight_Data!$A:$AS, 16, FALSE), 0)</f>
        <v/>
      </c>
      <c r="L15" s="15">
        <f>IFERROR(K15-T15-J15, 0)</f>
        <v/>
      </c>
      <c r="M15" s="16">
        <f>IFERROR(IF(T15=0, 0, L15/T15), 0)</f>
        <v/>
      </c>
      <c r="N15" s="14">
        <f>IFERROR(C15*($V$2/30), 0)</f>
        <v/>
      </c>
      <c r="O15">
        <f>IFERROR(VLOOKUP(A15, AZInsight_Data!$A:$AS, 40, FALSE), 1)</f>
        <v/>
      </c>
      <c r="P15" s="13">
        <f>IF(O15&gt;0, O15, 1)</f>
        <v/>
      </c>
      <c r="Q15" s="13">
        <f>IFERROR(U15/P15, 0)</f>
        <v/>
      </c>
      <c r="R15">
        <f>IFERROR(VLOOKUP(A15, AZInsight_Data!$A:$AS, 36, FALSE), "")</f>
        <v/>
      </c>
      <c r="S15">
        <f>IFERROR(VLOOKUP(A15, AZInsight_Data!$A:$AS, 3, FALSE), "")</f>
        <v/>
      </c>
      <c r="T15" s="17">
        <f>IFERROR(VLOOKUP(A15, AZInsight_Data!$A:$AS, 13, FALSE), 0)</f>
        <v/>
      </c>
      <c r="U15" s="13">
        <f>AH15</f>
        <v/>
      </c>
      <c r="V15" s="15">
        <f>T15*U15</f>
        <v/>
      </c>
      <c r="W15" s="16" t="n"/>
      <c r="X15" s="12">
        <f>IFERROR(VLOOKUP(A15, AZInsight_Data!$A:$AS, 40, FALSE), 1)</f>
        <v/>
      </c>
      <c r="Y15" s="13">
        <f>IFERROR(VLOOKUP(A15, IP Qty!$D:$R, 5, FALSE), 0)</f>
        <v/>
      </c>
      <c r="Z15" s="14">
        <f>IFERROR(VLOOKUP(A15, IP Qty!$D:$R, 6, FALSE), 0)</f>
        <v/>
      </c>
      <c r="AA15">
        <f>IFERROR(VLOOKUP(A15, IP Qty!$D:$R, 7, FALSE), 0)</f>
        <v/>
      </c>
      <c r="AB15">
        <f>IFERROR(VLOOKUP(A15, IP Qty!$D:$R, 9, FALSE), 0)</f>
        <v/>
      </c>
      <c r="AC15">
        <f>IFERROR(VLOOKUP(A15, IP Qty!$D:$R, 8, FALSE), 0)</f>
        <v/>
      </c>
      <c r="AD15" s="14">
        <f>IFERROR(VLOOKUP(A15, KEEPA!$A:$AW, 34, FALSE), 0)</f>
        <v/>
      </c>
      <c r="AE15" s="15">
        <f>IF(P15&gt;1, ((((M15&gt;=$AD$2)*(L15&gt;=$AH$2)) + ((M15&lt;$AD$2)*(M15&gt;=$AE$2)*(L15&gt;=$AG$2)) + ((M15&lt;$AE$2)*(M15&gt;=$AC$2)*(L15&gt;=0)))*2 * IF($AI$2=0, 1, AI15&lt;=$AI$2) * IF($AK$2=0, 1, AK15&lt;=$AK$2) * AND(N15&gt;=$D$1, H15&lt;=$I$2, G15&gt;=$H$2)), ((((M15&gt;=$AD$2)*(L15&gt;=$AH$2)) + ((M15&lt;$AD$2)*(M15&gt;=$AE$2)*(L15&gt;=$AG$2)) + ((M15&lt;$AE$2)*(M15&gt;=$AC$2)*(L15&gt;=0))) * IF($AI$2=0, 1, AI15&lt;=$AI$2) * IF($AK$2=0, 1, AK15&lt;=$AK$2) * AND(N15&gt;=$D$1, H15&lt;=$I$2, G15&gt;=$H$2)))</f>
        <v/>
      </c>
      <c r="AF15">
        <f>IF(AE15&gt;0, 1, 0)</f>
        <v/>
      </c>
      <c r="AG15">
        <f>IFERROR(IF(ISNUMBER(W15), IF(AN15, N15*W15*$AN$2, N15*W15), NA()), NA())</f>
        <v/>
      </c>
      <c r="AH15" s="13">
        <f>IFERROR(MIN(AG15, $U$2), 0)</f>
        <v/>
      </c>
      <c r="AI15" s="14">
        <f>IFERROR(VLOOKUP(A15, KEEPA!$A:$AW, 26, FALSE), 0)</f>
        <v/>
      </c>
      <c r="AJ15" s="16">
        <f>IFERROR(IF(AI15=0, 0, (AI15-H15)/H15), 0)</f>
        <v/>
      </c>
      <c r="AK15" s="14">
        <f>IFERROR(VLOOKUP(A15, KEEPA!$A:$AW, 28, FALSE), 0)</f>
        <v/>
      </c>
      <c r="AL15" s="16">
        <f>IFERROR(IF(AK15=0, 0, (AK15-H15)/H15), 0)</f>
        <v/>
      </c>
      <c r="AM15" s="13">
        <f>IFERROR(VLOOKUP(A15, AZInsight_Data!$A:$AS, 34, FALSE), 0)</f>
        <v/>
      </c>
      <c r="AN15">
        <f>IFERROR(AND(VLOOKUP(A15, KEEPA!$A:$AW, 2, FALSE)&lt;=$AO$2, N15 &gt;= $AM$2), FALSE)</f>
        <v/>
      </c>
      <c r="AO15" s="16">
        <f>IFERROR(VLOOKUP(A15, KEEPA!$A:$AW, 24, FALSE), 0)</f>
        <v/>
      </c>
      <c r="AP15" s="16">
        <f>IFERROR(VLOOKUP(A15, KEEPA!$A:$AW, 48, FALSE), 0)</f>
        <v/>
      </c>
      <c r="AQ15">
        <f>IFERROR(VLOOKUP(A15, AZInsight_Data!$A:$AS, 5, FALSE), "SL")</f>
        <v/>
      </c>
      <c r="AR15">
        <f>IF(OR(A15="", A15=0), "", HYPERLINK("https://keepa.com/#!product/1-"&amp;A15, "Keepa"))</f>
        <v/>
      </c>
      <c r="AS15">
        <f>IF(OR(A15="", A15=0), "", HYPERLINK("https://www.amazon.com/dp/"&amp;A15, "Amazon"))</f>
        <v/>
      </c>
      <c r="AT15">
        <f>IF(OR(A15="", A15=0), "", HYPERLINK("https://sellercentral.amazon.com/product-search/search?q="&amp;A15, "Check Gated"))</f>
        <v/>
      </c>
      <c r="AU15" s="12" t="n"/>
      <c r="AV15" s="12" t="n"/>
      <c r="AW15" s="12" t="n"/>
    </row>
    <row r="16">
      <c r="A16" s="12" t="n"/>
      <c r="B16" s="12">
        <f>IFERROR(VLOOKUP(A16, AZInsight_Data!$A:$AS, 3, FALSE), "")</f>
        <v/>
      </c>
      <c r="C16" s="13">
        <f>IFERROR(VLOOKUP(A16, AZInsight_Data!$A:$AS, 9, FALSE), 0)</f>
        <v/>
      </c>
      <c r="D16">
        <f>IFERROR(VLOOKUP(A16, AZInsight_Data!$A:$AS, 17, FALSE), 0)</f>
        <v/>
      </c>
      <c r="E16">
        <f>IFERROR(VLOOKUP(A16, AZInsight_Data!$A:$AS, 18, FALSE), 0)</f>
        <v/>
      </c>
      <c r="F16" s="14">
        <f>IFERROR(VLOOKUP(A16, AZInsight_Data!$A:$AS, 7, FALSE), 0)</f>
        <v/>
      </c>
      <c r="G16" s="15">
        <f>IFERROR(VLOOKUP(A16, AZInsight_Data!$A:$AS, 14, FALSE), 0)</f>
        <v/>
      </c>
      <c r="H16" s="14">
        <f>IFERROR(VLOOKUP(A16, AZInsight_Data!$A:$AS, 8, FALSE), 0)</f>
        <v/>
      </c>
      <c r="I16" s="16">
        <f>IFERROR(VLOOKUP(A16, KEEPA!$A:$AW, 47, FALSE), 0)</f>
        <v/>
      </c>
      <c r="J16">
        <f>IFERROR(VLOOKUP(A16, AZInsight_Data!$A:$AS, 25, FALSE), 0)</f>
        <v/>
      </c>
      <c r="K16" s="15">
        <f>IFERROR(VLOOKUP(A16, AZInsight_Data!$A:$AS, 16, FALSE), 0)</f>
        <v/>
      </c>
      <c r="L16" s="15">
        <f>IFERROR(K16-T16-J16, 0)</f>
        <v/>
      </c>
      <c r="M16" s="16">
        <f>IFERROR(IF(T16=0, 0, L16/T16), 0)</f>
        <v/>
      </c>
      <c r="N16" s="14">
        <f>IFERROR(C16*($V$2/30), 0)</f>
        <v/>
      </c>
      <c r="O16">
        <f>IFERROR(VLOOKUP(A16, AZInsight_Data!$A:$AS, 40, FALSE), 1)</f>
        <v/>
      </c>
      <c r="P16" s="13">
        <f>IF(O16&gt;0, O16, 1)</f>
        <v/>
      </c>
      <c r="Q16" s="13">
        <f>IFERROR(U16/P16, 0)</f>
        <v/>
      </c>
      <c r="R16">
        <f>IFERROR(VLOOKUP(A16, AZInsight_Data!$A:$AS, 36, FALSE), "")</f>
        <v/>
      </c>
      <c r="S16">
        <f>IFERROR(VLOOKUP(A16, AZInsight_Data!$A:$AS, 3, FALSE), "")</f>
        <v/>
      </c>
      <c r="T16" s="17">
        <f>IFERROR(VLOOKUP(A16, AZInsight_Data!$A:$AS, 13, FALSE), 0)</f>
        <v/>
      </c>
      <c r="U16" s="13">
        <f>AH16</f>
        <v/>
      </c>
      <c r="V16" s="15">
        <f>T16*U16</f>
        <v/>
      </c>
      <c r="W16" s="16" t="n"/>
      <c r="X16" s="12">
        <f>IFERROR(VLOOKUP(A16, AZInsight_Data!$A:$AS, 40, FALSE), 1)</f>
        <v/>
      </c>
      <c r="Y16" s="13">
        <f>IFERROR(VLOOKUP(A16, IP Qty!$D:$R, 5, FALSE), 0)</f>
        <v/>
      </c>
      <c r="Z16" s="14">
        <f>IFERROR(VLOOKUP(A16, IP Qty!$D:$R, 6, FALSE), 0)</f>
        <v/>
      </c>
      <c r="AA16">
        <f>IFERROR(VLOOKUP(A16, IP Qty!$D:$R, 7, FALSE), 0)</f>
        <v/>
      </c>
      <c r="AB16">
        <f>IFERROR(VLOOKUP(A16, IP Qty!$D:$R, 9, FALSE), 0)</f>
        <v/>
      </c>
      <c r="AC16">
        <f>IFERROR(VLOOKUP(A16, IP Qty!$D:$R, 8, FALSE), 0)</f>
        <v/>
      </c>
      <c r="AD16" s="14">
        <f>IFERROR(VLOOKUP(A16, KEEPA!$A:$AW, 34, FALSE), 0)</f>
        <v/>
      </c>
      <c r="AE16" s="15">
        <f>IF(P16&gt;1, ((((M16&gt;=$AD$2)*(L16&gt;=$AH$2)) + ((M16&lt;$AD$2)*(M16&gt;=$AE$2)*(L16&gt;=$AG$2)) + ((M16&lt;$AE$2)*(M16&gt;=$AC$2)*(L16&gt;=0)))*2 * IF($AI$2=0, 1, AI16&lt;=$AI$2) * IF($AK$2=0, 1, AK16&lt;=$AK$2) * AND(N16&gt;=$D$1, H16&lt;=$I$2, G16&gt;=$H$2)), ((((M16&gt;=$AD$2)*(L16&gt;=$AH$2)) + ((M16&lt;$AD$2)*(M16&gt;=$AE$2)*(L16&gt;=$AG$2)) + ((M16&lt;$AE$2)*(M16&gt;=$AC$2)*(L16&gt;=0))) * IF($AI$2=0, 1, AI16&lt;=$AI$2) * IF($AK$2=0, 1, AK16&lt;=$AK$2) * AND(N16&gt;=$D$1, H16&lt;=$I$2, G16&gt;=$H$2)))</f>
        <v/>
      </c>
      <c r="AF16">
        <f>IF(AE16&gt;0, 1, 0)</f>
        <v/>
      </c>
      <c r="AG16">
        <f>IFERROR(IF(ISNUMBER(W16), IF(AN16, N16*W16*$AN$2, N16*W16), NA()), NA())</f>
        <v/>
      </c>
      <c r="AH16" s="13">
        <f>IFERROR(MIN(AG16, $U$2), 0)</f>
        <v/>
      </c>
      <c r="AI16" s="14">
        <f>IFERROR(VLOOKUP(A16, KEEPA!$A:$AW, 26, FALSE), 0)</f>
        <v/>
      </c>
      <c r="AJ16" s="16">
        <f>IFERROR(IF(AI16=0, 0, (AI16-H16)/H16), 0)</f>
        <v/>
      </c>
      <c r="AK16" s="14">
        <f>IFERROR(VLOOKUP(A16, KEEPA!$A:$AW, 28, FALSE), 0)</f>
        <v/>
      </c>
      <c r="AL16" s="16">
        <f>IFERROR(IF(AK16=0, 0, (AK16-H16)/H16), 0)</f>
        <v/>
      </c>
      <c r="AM16" s="13">
        <f>IFERROR(VLOOKUP(A16, AZInsight_Data!$A:$AS, 34, FALSE), 0)</f>
        <v/>
      </c>
      <c r="AN16">
        <f>IFERROR(AND(VLOOKUP(A16, KEEPA!$A:$AW, 2, FALSE)&lt;=$AO$2, N16 &gt;= $AM$2), FALSE)</f>
        <v/>
      </c>
      <c r="AO16" s="16">
        <f>IFERROR(VLOOKUP(A16, KEEPA!$A:$AW, 24, FALSE), 0)</f>
        <v/>
      </c>
      <c r="AP16" s="16">
        <f>IFERROR(VLOOKUP(A16, KEEPA!$A:$AW, 48, FALSE), 0)</f>
        <v/>
      </c>
      <c r="AQ16">
        <f>IFERROR(VLOOKUP(A16, AZInsight_Data!$A:$AS, 5, FALSE), "SL")</f>
        <v/>
      </c>
      <c r="AR16">
        <f>IF(OR(A16="", A16=0), "", HYPERLINK("https://keepa.com/#!product/1-"&amp;A16, "Keepa"))</f>
        <v/>
      </c>
      <c r="AS16">
        <f>IF(OR(A16="", A16=0), "", HYPERLINK("https://www.amazon.com/dp/"&amp;A16, "Amazon"))</f>
        <v/>
      </c>
      <c r="AT16">
        <f>IF(OR(A16="", A16=0), "", HYPERLINK("https://sellercentral.amazon.com/product-search/search?q="&amp;A16, "Check Gated"))</f>
        <v/>
      </c>
      <c r="AU16" s="12" t="n"/>
      <c r="AV16" s="12" t="n"/>
      <c r="AW16" s="12" t="n"/>
    </row>
    <row r="17">
      <c r="A17" s="12" t="n"/>
      <c r="B17" s="12">
        <f>IFERROR(VLOOKUP(A17, AZInsight_Data!$A:$AS, 3, FALSE), "")</f>
        <v/>
      </c>
      <c r="C17" s="13">
        <f>IFERROR(VLOOKUP(A17, AZInsight_Data!$A:$AS, 9, FALSE), 0)</f>
        <v/>
      </c>
      <c r="D17">
        <f>IFERROR(VLOOKUP(A17, AZInsight_Data!$A:$AS, 17, FALSE), 0)</f>
        <v/>
      </c>
      <c r="E17">
        <f>IFERROR(VLOOKUP(A17, AZInsight_Data!$A:$AS, 18, FALSE), 0)</f>
        <v/>
      </c>
      <c r="F17" s="14">
        <f>IFERROR(VLOOKUP(A17, AZInsight_Data!$A:$AS, 7, FALSE), 0)</f>
        <v/>
      </c>
      <c r="G17" s="15">
        <f>IFERROR(VLOOKUP(A17, AZInsight_Data!$A:$AS, 14, FALSE), 0)</f>
        <v/>
      </c>
      <c r="H17" s="14">
        <f>IFERROR(VLOOKUP(A17, AZInsight_Data!$A:$AS, 8, FALSE), 0)</f>
        <v/>
      </c>
      <c r="I17" s="16">
        <f>IFERROR(VLOOKUP(A17, KEEPA!$A:$AW, 47, FALSE), 0)</f>
        <v/>
      </c>
      <c r="J17">
        <f>IFERROR(VLOOKUP(A17, AZInsight_Data!$A:$AS, 25, FALSE), 0)</f>
        <v/>
      </c>
      <c r="K17" s="15">
        <f>IFERROR(VLOOKUP(A17, AZInsight_Data!$A:$AS, 16, FALSE), 0)</f>
        <v/>
      </c>
      <c r="L17" s="15">
        <f>IFERROR(K17-T17-J17, 0)</f>
        <v/>
      </c>
      <c r="M17" s="16">
        <f>IFERROR(IF(T17=0, 0, L17/T17), 0)</f>
        <v/>
      </c>
      <c r="N17" s="14">
        <f>IFERROR(C17*($V$2/30), 0)</f>
        <v/>
      </c>
      <c r="O17">
        <f>IFERROR(VLOOKUP(A17, AZInsight_Data!$A:$AS, 40, FALSE), 1)</f>
        <v/>
      </c>
      <c r="P17" s="13">
        <f>IF(O17&gt;0, O17, 1)</f>
        <v/>
      </c>
      <c r="Q17" s="13">
        <f>IFERROR(U17/P17, 0)</f>
        <v/>
      </c>
      <c r="R17">
        <f>IFERROR(VLOOKUP(A17, AZInsight_Data!$A:$AS, 36, FALSE), "")</f>
        <v/>
      </c>
      <c r="S17">
        <f>IFERROR(VLOOKUP(A17, AZInsight_Data!$A:$AS, 3, FALSE), "")</f>
        <v/>
      </c>
      <c r="T17" s="17">
        <f>IFERROR(VLOOKUP(A17, AZInsight_Data!$A:$AS, 13, FALSE), 0)</f>
        <v/>
      </c>
      <c r="U17" s="13">
        <f>AH17</f>
        <v/>
      </c>
      <c r="V17" s="15">
        <f>T17*U17</f>
        <v/>
      </c>
      <c r="W17" s="16" t="n"/>
      <c r="X17" s="12">
        <f>IFERROR(VLOOKUP(A17, AZInsight_Data!$A:$AS, 40, FALSE), 1)</f>
        <v/>
      </c>
      <c r="Y17" s="13">
        <f>IFERROR(VLOOKUP(A17, IP Qty!$D:$R, 5, FALSE), 0)</f>
        <v/>
      </c>
      <c r="Z17" s="14">
        <f>IFERROR(VLOOKUP(A17, IP Qty!$D:$R, 6, FALSE), 0)</f>
        <v/>
      </c>
      <c r="AA17">
        <f>IFERROR(VLOOKUP(A17, IP Qty!$D:$R, 7, FALSE), 0)</f>
        <v/>
      </c>
      <c r="AB17">
        <f>IFERROR(VLOOKUP(A17, IP Qty!$D:$R, 9, FALSE), 0)</f>
        <v/>
      </c>
      <c r="AC17">
        <f>IFERROR(VLOOKUP(A17, IP Qty!$D:$R, 8, FALSE), 0)</f>
        <v/>
      </c>
      <c r="AD17" s="14">
        <f>IFERROR(VLOOKUP(A17, KEEPA!$A:$AW, 34, FALSE), 0)</f>
        <v/>
      </c>
      <c r="AE17" s="15">
        <f>IF(P17&gt;1, ((((M17&gt;=$AD$2)*(L17&gt;=$AH$2)) + ((M17&lt;$AD$2)*(M17&gt;=$AE$2)*(L17&gt;=$AG$2)) + ((M17&lt;$AE$2)*(M17&gt;=$AC$2)*(L17&gt;=0)))*2 * IF($AI$2=0, 1, AI17&lt;=$AI$2) * IF($AK$2=0, 1, AK17&lt;=$AK$2) * AND(N17&gt;=$D$1, H17&lt;=$I$2, G17&gt;=$H$2)), ((((M17&gt;=$AD$2)*(L17&gt;=$AH$2)) + ((M17&lt;$AD$2)*(M17&gt;=$AE$2)*(L17&gt;=$AG$2)) + ((M17&lt;$AE$2)*(M17&gt;=$AC$2)*(L17&gt;=0))) * IF($AI$2=0, 1, AI17&lt;=$AI$2) * IF($AK$2=0, 1, AK17&lt;=$AK$2) * AND(N17&gt;=$D$1, H17&lt;=$I$2, G17&gt;=$H$2)))</f>
        <v/>
      </c>
      <c r="AF17">
        <f>IF(AE17&gt;0, 1, 0)</f>
        <v/>
      </c>
      <c r="AG17">
        <f>IFERROR(IF(ISNUMBER(W17), IF(AN17, N17*W17*$AN$2, N17*W17), NA()), NA())</f>
        <v/>
      </c>
      <c r="AH17" s="13">
        <f>IFERROR(MIN(AG17, $U$2), 0)</f>
        <v/>
      </c>
      <c r="AI17" s="14">
        <f>IFERROR(VLOOKUP(A17, KEEPA!$A:$AW, 26, FALSE), 0)</f>
        <v/>
      </c>
      <c r="AJ17" s="16">
        <f>IFERROR(IF(AI17=0, 0, (AI17-H17)/H17), 0)</f>
        <v/>
      </c>
      <c r="AK17" s="14">
        <f>IFERROR(VLOOKUP(A17, KEEPA!$A:$AW, 28, FALSE), 0)</f>
        <v/>
      </c>
      <c r="AL17" s="16">
        <f>IFERROR(IF(AK17=0, 0, (AK17-H17)/H17), 0)</f>
        <v/>
      </c>
      <c r="AM17" s="13">
        <f>IFERROR(VLOOKUP(A17, AZInsight_Data!$A:$AS, 34, FALSE), 0)</f>
        <v/>
      </c>
      <c r="AN17">
        <f>IFERROR(AND(VLOOKUP(A17, KEEPA!$A:$AW, 2, FALSE)&lt;=$AO$2, N17 &gt;= $AM$2), FALSE)</f>
        <v/>
      </c>
      <c r="AO17" s="16">
        <f>IFERROR(VLOOKUP(A17, KEEPA!$A:$AW, 24, FALSE), 0)</f>
        <v/>
      </c>
      <c r="AP17" s="16">
        <f>IFERROR(VLOOKUP(A17, KEEPA!$A:$AW, 48, FALSE), 0)</f>
        <v/>
      </c>
      <c r="AQ17">
        <f>IFERROR(VLOOKUP(A17, AZInsight_Data!$A:$AS, 5, FALSE), "SL")</f>
        <v/>
      </c>
      <c r="AR17">
        <f>IF(OR(A17="", A17=0), "", HYPERLINK("https://keepa.com/#!product/1-"&amp;A17, "Keepa"))</f>
        <v/>
      </c>
      <c r="AS17">
        <f>IF(OR(A17="", A17=0), "", HYPERLINK("https://www.amazon.com/dp/"&amp;A17, "Amazon"))</f>
        <v/>
      </c>
      <c r="AT17">
        <f>IF(OR(A17="", A17=0), "", HYPERLINK("https://sellercentral.amazon.com/product-search/search?q="&amp;A17, "Check Gated"))</f>
        <v/>
      </c>
      <c r="AU17" s="12" t="n"/>
      <c r="AV17" s="12" t="n"/>
      <c r="AW17" s="12" t="n"/>
    </row>
    <row r="18">
      <c r="A18" s="12" t="n"/>
      <c r="B18" s="12">
        <f>IFERROR(VLOOKUP(A18, AZInsight_Data!$A:$AS, 3, FALSE), "")</f>
        <v/>
      </c>
      <c r="C18" s="13">
        <f>IFERROR(VLOOKUP(A18, AZInsight_Data!$A:$AS, 9, FALSE), 0)</f>
        <v/>
      </c>
      <c r="D18">
        <f>IFERROR(VLOOKUP(A18, AZInsight_Data!$A:$AS, 17, FALSE), 0)</f>
        <v/>
      </c>
      <c r="E18">
        <f>IFERROR(VLOOKUP(A18, AZInsight_Data!$A:$AS, 18, FALSE), 0)</f>
        <v/>
      </c>
      <c r="F18" s="14">
        <f>IFERROR(VLOOKUP(A18, AZInsight_Data!$A:$AS, 7, FALSE), 0)</f>
        <v/>
      </c>
      <c r="G18" s="15">
        <f>IFERROR(VLOOKUP(A18, AZInsight_Data!$A:$AS, 14, FALSE), 0)</f>
        <v/>
      </c>
      <c r="H18" s="14">
        <f>IFERROR(VLOOKUP(A18, AZInsight_Data!$A:$AS, 8, FALSE), 0)</f>
        <v/>
      </c>
      <c r="I18" s="16">
        <f>IFERROR(VLOOKUP(A18, KEEPA!$A:$AW, 47, FALSE), 0)</f>
        <v/>
      </c>
      <c r="J18">
        <f>IFERROR(VLOOKUP(A18, AZInsight_Data!$A:$AS, 25, FALSE), 0)</f>
        <v/>
      </c>
      <c r="K18" s="15">
        <f>IFERROR(VLOOKUP(A18, AZInsight_Data!$A:$AS, 16, FALSE), 0)</f>
        <v/>
      </c>
      <c r="L18" s="15">
        <f>IFERROR(K18-T18-J18, 0)</f>
        <v/>
      </c>
      <c r="M18" s="16">
        <f>IFERROR(IF(T18=0, 0, L18/T18), 0)</f>
        <v/>
      </c>
      <c r="N18" s="14">
        <f>IFERROR(C18*($V$2/30), 0)</f>
        <v/>
      </c>
      <c r="O18">
        <f>IFERROR(VLOOKUP(A18, AZInsight_Data!$A:$AS, 40, FALSE), 1)</f>
        <v/>
      </c>
      <c r="P18" s="13">
        <f>IF(O18&gt;0, O18, 1)</f>
        <v/>
      </c>
      <c r="Q18" s="13">
        <f>IFERROR(U18/P18, 0)</f>
        <v/>
      </c>
      <c r="R18">
        <f>IFERROR(VLOOKUP(A18, AZInsight_Data!$A:$AS, 36, FALSE), "")</f>
        <v/>
      </c>
      <c r="S18">
        <f>IFERROR(VLOOKUP(A18, AZInsight_Data!$A:$AS, 3, FALSE), "")</f>
        <v/>
      </c>
      <c r="T18" s="17">
        <f>IFERROR(VLOOKUP(A18, AZInsight_Data!$A:$AS, 13, FALSE), 0)</f>
        <v/>
      </c>
      <c r="U18" s="13">
        <f>AH18</f>
        <v/>
      </c>
      <c r="V18" s="15">
        <f>T18*U18</f>
        <v/>
      </c>
      <c r="W18" s="16" t="n"/>
      <c r="X18" s="12">
        <f>IFERROR(VLOOKUP(A18, AZInsight_Data!$A:$AS, 40, FALSE), 1)</f>
        <v/>
      </c>
      <c r="Y18" s="13">
        <f>IFERROR(VLOOKUP(A18, IP Qty!$D:$R, 5, FALSE), 0)</f>
        <v/>
      </c>
      <c r="Z18" s="14">
        <f>IFERROR(VLOOKUP(A18, IP Qty!$D:$R, 6, FALSE), 0)</f>
        <v/>
      </c>
      <c r="AA18">
        <f>IFERROR(VLOOKUP(A18, IP Qty!$D:$R, 7, FALSE), 0)</f>
        <v/>
      </c>
      <c r="AB18">
        <f>IFERROR(VLOOKUP(A18, IP Qty!$D:$R, 9, FALSE), 0)</f>
        <v/>
      </c>
      <c r="AC18">
        <f>IFERROR(VLOOKUP(A18, IP Qty!$D:$R, 8, FALSE), 0)</f>
        <v/>
      </c>
      <c r="AD18" s="14">
        <f>IFERROR(VLOOKUP(A18, KEEPA!$A:$AW, 34, FALSE), 0)</f>
        <v/>
      </c>
      <c r="AE18" s="15">
        <f>IF(P18&gt;1, ((((M18&gt;=$AD$2)*(L18&gt;=$AH$2)) + ((M18&lt;$AD$2)*(M18&gt;=$AE$2)*(L18&gt;=$AG$2)) + ((M18&lt;$AE$2)*(M18&gt;=$AC$2)*(L18&gt;=0)))*2 * IF($AI$2=0, 1, AI18&lt;=$AI$2) * IF($AK$2=0, 1, AK18&lt;=$AK$2) * AND(N18&gt;=$D$1, H18&lt;=$I$2, G18&gt;=$H$2)), ((((M18&gt;=$AD$2)*(L18&gt;=$AH$2)) + ((M18&lt;$AD$2)*(M18&gt;=$AE$2)*(L18&gt;=$AG$2)) + ((M18&lt;$AE$2)*(M18&gt;=$AC$2)*(L18&gt;=0))) * IF($AI$2=0, 1, AI18&lt;=$AI$2) * IF($AK$2=0, 1, AK18&lt;=$AK$2) * AND(N18&gt;=$D$1, H18&lt;=$I$2, G18&gt;=$H$2)))</f>
        <v/>
      </c>
      <c r="AF18">
        <f>IF(AE18&gt;0, 1, 0)</f>
        <v/>
      </c>
      <c r="AG18">
        <f>IFERROR(IF(ISNUMBER(W18), IF(AN18, N18*W18*$AN$2, N18*W18), NA()), NA())</f>
        <v/>
      </c>
      <c r="AH18" s="13">
        <f>IFERROR(MIN(AG18, $U$2), 0)</f>
        <v/>
      </c>
      <c r="AI18" s="14">
        <f>IFERROR(VLOOKUP(A18, KEEPA!$A:$AW, 26, FALSE), 0)</f>
        <v/>
      </c>
      <c r="AJ18" s="16">
        <f>IFERROR(IF(AI18=0, 0, (AI18-H18)/H18), 0)</f>
        <v/>
      </c>
      <c r="AK18" s="14">
        <f>IFERROR(VLOOKUP(A18, KEEPA!$A:$AW, 28, FALSE), 0)</f>
        <v/>
      </c>
      <c r="AL18" s="16">
        <f>IFERROR(IF(AK18=0, 0, (AK18-H18)/H18), 0)</f>
        <v/>
      </c>
      <c r="AM18" s="13">
        <f>IFERROR(VLOOKUP(A18, AZInsight_Data!$A:$AS, 34, FALSE), 0)</f>
        <v/>
      </c>
      <c r="AN18">
        <f>IFERROR(AND(VLOOKUP(A18, KEEPA!$A:$AW, 2, FALSE)&lt;=$AO$2, N18 &gt;= $AM$2), FALSE)</f>
        <v/>
      </c>
      <c r="AO18" s="16">
        <f>IFERROR(VLOOKUP(A18, KEEPA!$A:$AW, 24, FALSE), 0)</f>
        <v/>
      </c>
      <c r="AP18" s="16">
        <f>IFERROR(VLOOKUP(A18, KEEPA!$A:$AW, 48, FALSE), 0)</f>
        <v/>
      </c>
      <c r="AQ18">
        <f>IFERROR(VLOOKUP(A18, AZInsight_Data!$A:$AS, 5, FALSE), "SL")</f>
        <v/>
      </c>
      <c r="AR18">
        <f>IF(OR(A18="", A18=0), "", HYPERLINK("https://keepa.com/#!product/1-"&amp;A18, "Keepa"))</f>
        <v/>
      </c>
      <c r="AS18">
        <f>IF(OR(A18="", A18=0), "", HYPERLINK("https://www.amazon.com/dp/"&amp;A18, "Amazon"))</f>
        <v/>
      </c>
      <c r="AT18">
        <f>IF(OR(A18="", A18=0), "", HYPERLINK("https://sellercentral.amazon.com/product-search/search?q="&amp;A18, "Check Gated"))</f>
        <v/>
      </c>
      <c r="AU18" s="12" t="n"/>
      <c r="AV18" s="12" t="n"/>
      <c r="AW18" s="12" t="n"/>
    </row>
    <row r="19">
      <c r="A19" s="12" t="n"/>
      <c r="B19" s="12">
        <f>IFERROR(VLOOKUP(A19, AZInsight_Data!$A:$AS, 3, FALSE), "")</f>
        <v/>
      </c>
      <c r="C19" s="13">
        <f>IFERROR(VLOOKUP(A19, AZInsight_Data!$A:$AS, 9, FALSE), 0)</f>
        <v/>
      </c>
      <c r="D19">
        <f>IFERROR(VLOOKUP(A19, AZInsight_Data!$A:$AS, 17, FALSE), 0)</f>
        <v/>
      </c>
      <c r="E19">
        <f>IFERROR(VLOOKUP(A19, AZInsight_Data!$A:$AS, 18, FALSE), 0)</f>
        <v/>
      </c>
      <c r="F19" s="14">
        <f>IFERROR(VLOOKUP(A19, AZInsight_Data!$A:$AS, 7, FALSE), 0)</f>
        <v/>
      </c>
      <c r="G19" s="15">
        <f>IFERROR(VLOOKUP(A19, AZInsight_Data!$A:$AS, 14, FALSE), 0)</f>
        <v/>
      </c>
      <c r="H19" s="14">
        <f>IFERROR(VLOOKUP(A19, AZInsight_Data!$A:$AS, 8, FALSE), 0)</f>
        <v/>
      </c>
      <c r="I19" s="16">
        <f>IFERROR(VLOOKUP(A19, KEEPA!$A:$AW, 47, FALSE), 0)</f>
        <v/>
      </c>
      <c r="J19">
        <f>IFERROR(VLOOKUP(A19, AZInsight_Data!$A:$AS, 25, FALSE), 0)</f>
        <v/>
      </c>
      <c r="K19" s="15">
        <f>IFERROR(VLOOKUP(A19, AZInsight_Data!$A:$AS, 16, FALSE), 0)</f>
        <v/>
      </c>
      <c r="L19" s="15">
        <f>IFERROR(K19-T19-J19, 0)</f>
        <v/>
      </c>
      <c r="M19" s="16">
        <f>IFERROR(IF(T19=0, 0, L19/T19), 0)</f>
        <v/>
      </c>
      <c r="N19" s="14">
        <f>IFERROR(C19*($V$2/30), 0)</f>
        <v/>
      </c>
      <c r="O19">
        <f>IFERROR(VLOOKUP(A19, AZInsight_Data!$A:$AS, 40, FALSE), 1)</f>
        <v/>
      </c>
      <c r="P19" s="13">
        <f>IF(O19&gt;0, O19, 1)</f>
        <v/>
      </c>
      <c r="Q19" s="13">
        <f>IFERROR(U19/P19, 0)</f>
        <v/>
      </c>
      <c r="R19">
        <f>IFERROR(VLOOKUP(A19, AZInsight_Data!$A:$AS, 36, FALSE), "")</f>
        <v/>
      </c>
      <c r="S19">
        <f>IFERROR(VLOOKUP(A19, AZInsight_Data!$A:$AS, 3, FALSE), "")</f>
        <v/>
      </c>
      <c r="T19" s="17">
        <f>IFERROR(VLOOKUP(A19, AZInsight_Data!$A:$AS, 13, FALSE), 0)</f>
        <v/>
      </c>
      <c r="U19" s="13">
        <f>AH19</f>
        <v/>
      </c>
      <c r="V19" s="15">
        <f>T19*U19</f>
        <v/>
      </c>
      <c r="W19" s="16" t="n"/>
      <c r="X19" s="12">
        <f>IFERROR(VLOOKUP(A19, AZInsight_Data!$A:$AS, 40, FALSE), 1)</f>
        <v/>
      </c>
      <c r="Y19" s="13">
        <f>IFERROR(VLOOKUP(A19, IP Qty!$D:$R, 5, FALSE), 0)</f>
        <v/>
      </c>
      <c r="Z19" s="14">
        <f>IFERROR(VLOOKUP(A19, IP Qty!$D:$R, 6, FALSE), 0)</f>
        <v/>
      </c>
      <c r="AA19">
        <f>IFERROR(VLOOKUP(A19, IP Qty!$D:$R, 7, FALSE), 0)</f>
        <v/>
      </c>
      <c r="AB19">
        <f>IFERROR(VLOOKUP(A19, IP Qty!$D:$R, 9, FALSE), 0)</f>
        <v/>
      </c>
      <c r="AC19">
        <f>IFERROR(VLOOKUP(A19, IP Qty!$D:$R, 8, FALSE), 0)</f>
        <v/>
      </c>
      <c r="AD19" s="14">
        <f>IFERROR(VLOOKUP(A19, KEEPA!$A:$AW, 34, FALSE), 0)</f>
        <v/>
      </c>
      <c r="AE19" s="15">
        <f>IF(P19&gt;1, ((((M19&gt;=$AD$2)*(L19&gt;=$AH$2)) + ((M19&lt;$AD$2)*(M19&gt;=$AE$2)*(L19&gt;=$AG$2)) + ((M19&lt;$AE$2)*(M19&gt;=$AC$2)*(L19&gt;=0)))*2 * IF($AI$2=0, 1, AI19&lt;=$AI$2) * IF($AK$2=0, 1, AK19&lt;=$AK$2) * AND(N19&gt;=$D$1, H19&lt;=$I$2, G19&gt;=$H$2)), ((((M19&gt;=$AD$2)*(L19&gt;=$AH$2)) + ((M19&lt;$AD$2)*(M19&gt;=$AE$2)*(L19&gt;=$AG$2)) + ((M19&lt;$AE$2)*(M19&gt;=$AC$2)*(L19&gt;=0))) * IF($AI$2=0, 1, AI19&lt;=$AI$2) * IF($AK$2=0, 1, AK19&lt;=$AK$2) * AND(N19&gt;=$D$1, H19&lt;=$I$2, G19&gt;=$H$2)))</f>
        <v/>
      </c>
      <c r="AF19">
        <f>IF(AE19&gt;0, 1, 0)</f>
        <v/>
      </c>
      <c r="AG19">
        <f>IFERROR(IF(ISNUMBER(W19), IF(AN19, N19*W19*$AN$2, N19*W19), NA()), NA())</f>
        <v/>
      </c>
      <c r="AH19" s="13">
        <f>IFERROR(MIN(AG19, $U$2), 0)</f>
        <v/>
      </c>
      <c r="AI19" s="14">
        <f>IFERROR(VLOOKUP(A19, KEEPA!$A:$AW, 26, FALSE), 0)</f>
        <v/>
      </c>
      <c r="AJ19" s="16">
        <f>IFERROR(IF(AI19=0, 0, (AI19-H19)/H19), 0)</f>
        <v/>
      </c>
      <c r="AK19" s="14">
        <f>IFERROR(VLOOKUP(A19, KEEPA!$A:$AW, 28, FALSE), 0)</f>
        <v/>
      </c>
      <c r="AL19" s="16">
        <f>IFERROR(IF(AK19=0, 0, (AK19-H19)/H19), 0)</f>
        <v/>
      </c>
      <c r="AM19" s="13">
        <f>IFERROR(VLOOKUP(A19, AZInsight_Data!$A:$AS, 34, FALSE), 0)</f>
        <v/>
      </c>
      <c r="AN19">
        <f>IFERROR(AND(VLOOKUP(A19, KEEPA!$A:$AW, 2, FALSE)&lt;=$AO$2, N19 &gt;= $AM$2), FALSE)</f>
        <v/>
      </c>
      <c r="AO19" s="16">
        <f>IFERROR(VLOOKUP(A19, KEEPA!$A:$AW, 24, FALSE), 0)</f>
        <v/>
      </c>
      <c r="AP19" s="16">
        <f>IFERROR(VLOOKUP(A19, KEEPA!$A:$AW, 48, FALSE), 0)</f>
        <v/>
      </c>
      <c r="AQ19">
        <f>IFERROR(VLOOKUP(A19, AZInsight_Data!$A:$AS, 5, FALSE), "SL")</f>
        <v/>
      </c>
      <c r="AR19">
        <f>IF(OR(A19="", A19=0), "", HYPERLINK("https://keepa.com/#!product/1-"&amp;A19, "Keepa"))</f>
        <v/>
      </c>
      <c r="AS19">
        <f>IF(OR(A19="", A19=0), "", HYPERLINK("https://www.amazon.com/dp/"&amp;A19, "Amazon"))</f>
        <v/>
      </c>
      <c r="AT19">
        <f>IF(OR(A19="", A19=0), "", HYPERLINK("https://sellercentral.amazon.com/product-search/search?q="&amp;A19, "Check Gated"))</f>
        <v/>
      </c>
      <c r="AU19" s="12" t="n"/>
      <c r="AV19" s="12" t="n"/>
      <c r="AW19" s="12" t="n"/>
    </row>
    <row r="20">
      <c r="A20" s="12" t="n"/>
      <c r="B20" s="12">
        <f>IFERROR(VLOOKUP(A20, AZInsight_Data!$A:$AS, 3, FALSE), "")</f>
        <v/>
      </c>
      <c r="C20" s="13">
        <f>IFERROR(VLOOKUP(A20, AZInsight_Data!$A:$AS, 9, FALSE), 0)</f>
        <v/>
      </c>
      <c r="D20">
        <f>IFERROR(VLOOKUP(A20, AZInsight_Data!$A:$AS, 17, FALSE), 0)</f>
        <v/>
      </c>
      <c r="E20">
        <f>IFERROR(VLOOKUP(A20, AZInsight_Data!$A:$AS, 18, FALSE), 0)</f>
        <v/>
      </c>
      <c r="F20" s="14">
        <f>IFERROR(VLOOKUP(A20, AZInsight_Data!$A:$AS, 7, FALSE), 0)</f>
        <v/>
      </c>
      <c r="G20" s="15">
        <f>IFERROR(VLOOKUP(A20, AZInsight_Data!$A:$AS, 14, FALSE), 0)</f>
        <v/>
      </c>
      <c r="H20" s="14">
        <f>IFERROR(VLOOKUP(A20, AZInsight_Data!$A:$AS, 8, FALSE), 0)</f>
        <v/>
      </c>
      <c r="I20" s="16">
        <f>IFERROR(VLOOKUP(A20, KEEPA!$A:$AW, 47, FALSE), 0)</f>
        <v/>
      </c>
      <c r="J20">
        <f>IFERROR(VLOOKUP(A20, AZInsight_Data!$A:$AS, 25, FALSE), 0)</f>
        <v/>
      </c>
      <c r="K20" s="15">
        <f>IFERROR(VLOOKUP(A20, AZInsight_Data!$A:$AS, 16, FALSE), 0)</f>
        <v/>
      </c>
      <c r="L20" s="15">
        <f>IFERROR(K20-T20-J20, 0)</f>
        <v/>
      </c>
      <c r="M20" s="16">
        <f>IFERROR(IF(T20=0, 0, L20/T20), 0)</f>
        <v/>
      </c>
      <c r="N20" s="14">
        <f>IFERROR(C20*($V$2/30), 0)</f>
        <v/>
      </c>
      <c r="O20">
        <f>IFERROR(VLOOKUP(A20, AZInsight_Data!$A:$AS, 40, FALSE), 1)</f>
        <v/>
      </c>
      <c r="P20" s="13">
        <f>IF(O20&gt;0, O20, 1)</f>
        <v/>
      </c>
      <c r="Q20" s="13">
        <f>IFERROR(U20/P20, 0)</f>
        <v/>
      </c>
      <c r="R20">
        <f>IFERROR(VLOOKUP(A20, AZInsight_Data!$A:$AS, 36, FALSE), "")</f>
        <v/>
      </c>
      <c r="S20">
        <f>IFERROR(VLOOKUP(A20, AZInsight_Data!$A:$AS, 3, FALSE), "")</f>
        <v/>
      </c>
      <c r="T20" s="17">
        <f>IFERROR(VLOOKUP(A20, AZInsight_Data!$A:$AS, 13, FALSE), 0)</f>
        <v/>
      </c>
      <c r="U20" s="13">
        <f>AH20</f>
        <v/>
      </c>
      <c r="V20" s="15">
        <f>T20*U20</f>
        <v/>
      </c>
      <c r="W20" s="16" t="n"/>
      <c r="X20" s="12">
        <f>IFERROR(VLOOKUP(A20, AZInsight_Data!$A:$AS, 40, FALSE), 1)</f>
        <v/>
      </c>
      <c r="Y20" s="13">
        <f>IFERROR(VLOOKUP(A20, IP Qty!$D:$R, 5, FALSE), 0)</f>
        <v/>
      </c>
      <c r="Z20" s="14">
        <f>IFERROR(VLOOKUP(A20, IP Qty!$D:$R, 6, FALSE), 0)</f>
        <v/>
      </c>
      <c r="AA20">
        <f>IFERROR(VLOOKUP(A20, IP Qty!$D:$R, 7, FALSE), 0)</f>
        <v/>
      </c>
      <c r="AB20">
        <f>IFERROR(VLOOKUP(A20, IP Qty!$D:$R, 9, FALSE), 0)</f>
        <v/>
      </c>
      <c r="AC20">
        <f>IFERROR(VLOOKUP(A20, IP Qty!$D:$R, 8, FALSE), 0)</f>
        <v/>
      </c>
      <c r="AD20" s="14">
        <f>IFERROR(VLOOKUP(A20, KEEPA!$A:$AW, 34, FALSE), 0)</f>
        <v/>
      </c>
      <c r="AE20" s="15">
        <f>IF(P20&gt;1, ((((M20&gt;=$AD$2)*(L20&gt;=$AH$2)) + ((M20&lt;$AD$2)*(M20&gt;=$AE$2)*(L20&gt;=$AG$2)) + ((M20&lt;$AE$2)*(M20&gt;=$AC$2)*(L20&gt;=0)))*2 * IF($AI$2=0, 1, AI20&lt;=$AI$2) * IF($AK$2=0, 1, AK20&lt;=$AK$2) * AND(N20&gt;=$D$1, H20&lt;=$I$2, G20&gt;=$H$2)), ((((M20&gt;=$AD$2)*(L20&gt;=$AH$2)) + ((M20&lt;$AD$2)*(M20&gt;=$AE$2)*(L20&gt;=$AG$2)) + ((M20&lt;$AE$2)*(M20&gt;=$AC$2)*(L20&gt;=0))) * IF($AI$2=0, 1, AI20&lt;=$AI$2) * IF($AK$2=0, 1, AK20&lt;=$AK$2) * AND(N20&gt;=$D$1, H20&lt;=$I$2, G20&gt;=$H$2)))</f>
        <v/>
      </c>
      <c r="AF20">
        <f>IF(AE20&gt;0, 1, 0)</f>
        <v/>
      </c>
      <c r="AG20">
        <f>IFERROR(IF(ISNUMBER(W20), IF(AN20, N20*W20*$AN$2, N20*W20), NA()), NA())</f>
        <v/>
      </c>
      <c r="AH20" s="13">
        <f>IFERROR(MIN(AG20, $U$2), 0)</f>
        <v/>
      </c>
      <c r="AI20" s="14">
        <f>IFERROR(VLOOKUP(A20, KEEPA!$A:$AW, 26, FALSE), 0)</f>
        <v/>
      </c>
      <c r="AJ20" s="16">
        <f>IFERROR(IF(AI20=0, 0, (AI20-H20)/H20), 0)</f>
        <v/>
      </c>
      <c r="AK20" s="14">
        <f>IFERROR(VLOOKUP(A20, KEEPA!$A:$AW, 28, FALSE), 0)</f>
        <v/>
      </c>
      <c r="AL20" s="16">
        <f>IFERROR(IF(AK20=0, 0, (AK20-H20)/H20), 0)</f>
        <v/>
      </c>
      <c r="AM20" s="13">
        <f>IFERROR(VLOOKUP(A20, AZInsight_Data!$A:$AS, 34, FALSE), 0)</f>
        <v/>
      </c>
      <c r="AN20">
        <f>IFERROR(AND(VLOOKUP(A20, KEEPA!$A:$AW, 2, FALSE)&lt;=$AO$2, N20 &gt;= $AM$2), FALSE)</f>
        <v/>
      </c>
      <c r="AO20" s="16">
        <f>IFERROR(VLOOKUP(A20, KEEPA!$A:$AW, 24, FALSE), 0)</f>
        <v/>
      </c>
      <c r="AP20" s="16">
        <f>IFERROR(VLOOKUP(A20, KEEPA!$A:$AW, 48, FALSE), 0)</f>
        <v/>
      </c>
      <c r="AQ20">
        <f>IFERROR(VLOOKUP(A20, AZInsight_Data!$A:$AS, 5, FALSE), "SL")</f>
        <v/>
      </c>
      <c r="AR20">
        <f>IF(OR(A20="", A20=0), "", HYPERLINK("https://keepa.com/#!product/1-"&amp;A20, "Keepa"))</f>
        <v/>
      </c>
      <c r="AS20">
        <f>IF(OR(A20="", A20=0), "", HYPERLINK("https://www.amazon.com/dp/"&amp;A20, "Amazon"))</f>
        <v/>
      </c>
      <c r="AT20">
        <f>IF(OR(A20="", A20=0), "", HYPERLINK("https://sellercentral.amazon.com/product-search/search?q="&amp;A20, "Check Gated"))</f>
        <v/>
      </c>
      <c r="AU20" s="12" t="n"/>
      <c r="AV20" s="12" t="n"/>
      <c r="AW20" s="12" t="n"/>
    </row>
    <row r="21">
      <c r="A21" s="12" t="n"/>
      <c r="B21" s="12">
        <f>IFERROR(VLOOKUP(A21, AZInsight_Data!$A:$AS, 3, FALSE), "")</f>
        <v/>
      </c>
      <c r="C21" s="13">
        <f>IFERROR(VLOOKUP(A21, AZInsight_Data!$A:$AS, 9, FALSE), 0)</f>
        <v/>
      </c>
      <c r="D21">
        <f>IFERROR(VLOOKUP(A21, AZInsight_Data!$A:$AS, 17, FALSE), 0)</f>
        <v/>
      </c>
      <c r="E21">
        <f>IFERROR(VLOOKUP(A21, AZInsight_Data!$A:$AS, 18, FALSE), 0)</f>
        <v/>
      </c>
      <c r="F21" s="14">
        <f>IFERROR(VLOOKUP(A21, AZInsight_Data!$A:$AS, 7, FALSE), 0)</f>
        <v/>
      </c>
      <c r="G21" s="15">
        <f>IFERROR(VLOOKUP(A21, AZInsight_Data!$A:$AS, 14, FALSE), 0)</f>
        <v/>
      </c>
      <c r="H21" s="14">
        <f>IFERROR(VLOOKUP(A21, AZInsight_Data!$A:$AS, 8, FALSE), 0)</f>
        <v/>
      </c>
      <c r="I21" s="16">
        <f>IFERROR(VLOOKUP(A21, KEEPA!$A:$AW, 47, FALSE), 0)</f>
        <v/>
      </c>
      <c r="J21">
        <f>IFERROR(VLOOKUP(A21, AZInsight_Data!$A:$AS, 25, FALSE), 0)</f>
        <v/>
      </c>
      <c r="K21" s="15">
        <f>IFERROR(VLOOKUP(A21, AZInsight_Data!$A:$AS, 16, FALSE), 0)</f>
        <v/>
      </c>
      <c r="L21" s="15">
        <f>IFERROR(K21-T21-J21, 0)</f>
        <v/>
      </c>
      <c r="M21" s="16">
        <f>IFERROR(IF(T21=0, 0, L21/T21), 0)</f>
        <v/>
      </c>
      <c r="N21" s="14">
        <f>IFERROR(C21*($V$2/30), 0)</f>
        <v/>
      </c>
      <c r="O21">
        <f>IFERROR(VLOOKUP(A21, AZInsight_Data!$A:$AS, 40, FALSE), 1)</f>
        <v/>
      </c>
      <c r="P21" s="13">
        <f>IF(O21&gt;0, O21, 1)</f>
        <v/>
      </c>
      <c r="Q21" s="13">
        <f>IFERROR(U21/P21, 0)</f>
        <v/>
      </c>
      <c r="R21">
        <f>IFERROR(VLOOKUP(A21, AZInsight_Data!$A:$AS, 36, FALSE), "")</f>
        <v/>
      </c>
      <c r="S21">
        <f>IFERROR(VLOOKUP(A21, AZInsight_Data!$A:$AS, 3, FALSE), "")</f>
        <v/>
      </c>
      <c r="T21" s="17">
        <f>IFERROR(VLOOKUP(A21, AZInsight_Data!$A:$AS, 13, FALSE), 0)</f>
        <v/>
      </c>
      <c r="U21" s="13">
        <f>AH21</f>
        <v/>
      </c>
      <c r="V21" s="15">
        <f>T21*U21</f>
        <v/>
      </c>
      <c r="W21" s="16" t="n"/>
      <c r="X21" s="12">
        <f>IFERROR(VLOOKUP(A21, AZInsight_Data!$A:$AS, 40, FALSE), 1)</f>
        <v/>
      </c>
      <c r="Y21" s="13">
        <f>IFERROR(VLOOKUP(A21, IP Qty!$D:$R, 5, FALSE), 0)</f>
        <v/>
      </c>
      <c r="Z21" s="14">
        <f>IFERROR(VLOOKUP(A21, IP Qty!$D:$R, 6, FALSE), 0)</f>
        <v/>
      </c>
      <c r="AA21">
        <f>IFERROR(VLOOKUP(A21, IP Qty!$D:$R, 7, FALSE), 0)</f>
        <v/>
      </c>
      <c r="AB21">
        <f>IFERROR(VLOOKUP(A21, IP Qty!$D:$R, 9, FALSE), 0)</f>
        <v/>
      </c>
      <c r="AC21">
        <f>IFERROR(VLOOKUP(A21, IP Qty!$D:$R, 8, FALSE), 0)</f>
        <v/>
      </c>
      <c r="AD21" s="14">
        <f>IFERROR(VLOOKUP(A21, KEEPA!$A:$AW, 34, FALSE), 0)</f>
        <v/>
      </c>
      <c r="AE21" s="15">
        <f>IF(P21&gt;1, ((((M21&gt;=$AD$2)*(L21&gt;=$AH$2)) + ((M21&lt;$AD$2)*(M21&gt;=$AE$2)*(L21&gt;=$AG$2)) + ((M21&lt;$AE$2)*(M21&gt;=$AC$2)*(L21&gt;=0)))*2 * IF($AI$2=0, 1, AI21&lt;=$AI$2) * IF($AK$2=0, 1, AK21&lt;=$AK$2) * AND(N21&gt;=$D$1, H21&lt;=$I$2, G21&gt;=$H$2)), ((((M21&gt;=$AD$2)*(L21&gt;=$AH$2)) + ((M21&lt;$AD$2)*(M21&gt;=$AE$2)*(L21&gt;=$AG$2)) + ((M21&lt;$AE$2)*(M21&gt;=$AC$2)*(L21&gt;=0))) * IF($AI$2=0, 1, AI21&lt;=$AI$2) * IF($AK$2=0, 1, AK21&lt;=$AK$2) * AND(N21&gt;=$D$1, H21&lt;=$I$2, G21&gt;=$H$2)))</f>
        <v/>
      </c>
      <c r="AF21">
        <f>IF(AE21&gt;0, 1, 0)</f>
        <v/>
      </c>
      <c r="AG21">
        <f>IFERROR(IF(ISNUMBER(W21), IF(AN21, N21*W21*$AN$2, N21*W21), NA()), NA())</f>
        <v/>
      </c>
      <c r="AH21" s="13">
        <f>IFERROR(MIN(AG21, $U$2), 0)</f>
        <v/>
      </c>
      <c r="AI21" s="14">
        <f>IFERROR(VLOOKUP(A21, KEEPA!$A:$AW, 26, FALSE), 0)</f>
        <v/>
      </c>
      <c r="AJ21" s="16">
        <f>IFERROR(IF(AI21=0, 0, (AI21-H21)/H21), 0)</f>
        <v/>
      </c>
      <c r="AK21" s="14">
        <f>IFERROR(VLOOKUP(A21, KEEPA!$A:$AW, 28, FALSE), 0)</f>
        <v/>
      </c>
      <c r="AL21" s="16">
        <f>IFERROR(IF(AK21=0, 0, (AK21-H21)/H21), 0)</f>
        <v/>
      </c>
      <c r="AM21" s="13">
        <f>IFERROR(VLOOKUP(A21, AZInsight_Data!$A:$AS, 34, FALSE), 0)</f>
        <v/>
      </c>
      <c r="AN21">
        <f>IFERROR(AND(VLOOKUP(A21, KEEPA!$A:$AW, 2, FALSE)&lt;=$AO$2, N21 &gt;= $AM$2), FALSE)</f>
        <v/>
      </c>
      <c r="AO21" s="16">
        <f>IFERROR(VLOOKUP(A21, KEEPA!$A:$AW, 24, FALSE), 0)</f>
        <v/>
      </c>
      <c r="AP21" s="16">
        <f>IFERROR(VLOOKUP(A21, KEEPA!$A:$AW, 48, FALSE), 0)</f>
        <v/>
      </c>
      <c r="AQ21">
        <f>IFERROR(VLOOKUP(A21, AZInsight_Data!$A:$AS, 5, FALSE), "SL")</f>
        <v/>
      </c>
      <c r="AR21">
        <f>IF(OR(A21="", A21=0), "", HYPERLINK("https://keepa.com/#!product/1-"&amp;A21, "Keepa"))</f>
        <v/>
      </c>
      <c r="AS21">
        <f>IF(OR(A21="", A21=0), "", HYPERLINK("https://www.amazon.com/dp/"&amp;A21, "Amazon"))</f>
        <v/>
      </c>
      <c r="AT21">
        <f>IF(OR(A21="", A21=0), "", HYPERLINK("https://sellercentral.amazon.com/product-search/search?q="&amp;A21, "Check Gated"))</f>
        <v/>
      </c>
      <c r="AU21" s="12" t="n"/>
      <c r="AV21" s="12" t="n"/>
      <c r="AW21" s="12" t="n"/>
    </row>
    <row r="22">
      <c r="A22" s="12" t="n"/>
      <c r="B22" s="12">
        <f>IFERROR(VLOOKUP(A22, AZInsight_Data!$A:$AS, 3, FALSE), "")</f>
        <v/>
      </c>
      <c r="C22" s="13">
        <f>IFERROR(VLOOKUP(A22, AZInsight_Data!$A:$AS, 9, FALSE), 0)</f>
        <v/>
      </c>
      <c r="D22">
        <f>IFERROR(VLOOKUP(A22, AZInsight_Data!$A:$AS, 17, FALSE), 0)</f>
        <v/>
      </c>
      <c r="E22">
        <f>IFERROR(VLOOKUP(A22, AZInsight_Data!$A:$AS, 18, FALSE), 0)</f>
        <v/>
      </c>
      <c r="F22" s="14">
        <f>IFERROR(VLOOKUP(A22, AZInsight_Data!$A:$AS, 7, FALSE), 0)</f>
        <v/>
      </c>
      <c r="G22" s="15">
        <f>IFERROR(VLOOKUP(A22, AZInsight_Data!$A:$AS, 14, FALSE), 0)</f>
        <v/>
      </c>
      <c r="H22" s="14">
        <f>IFERROR(VLOOKUP(A22, AZInsight_Data!$A:$AS, 8, FALSE), 0)</f>
        <v/>
      </c>
      <c r="I22" s="16">
        <f>IFERROR(VLOOKUP(A22, KEEPA!$A:$AW, 47, FALSE), 0)</f>
        <v/>
      </c>
      <c r="J22">
        <f>IFERROR(VLOOKUP(A22, AZInsight_Data!$A:$AS, 25, FALSE), 0)</f>
        <v/>
      </c>
      <c r="K22" s="15">
        <f>IFERROR(VLOOKUP(A22, AZInsight_Data!$A:$AS, 16, FALSE), 0)</f>
        <v/>
      </c>
      <c r="L22" s="15">
        <f>IFERROR(K22-T22-J22, 0)</f>
        <v/>
      </c>
      <c r="M22" s="16">
        <f>IFERROR(IF(T22=0, 0, L22/T22), 0)</f>
        <v/>
      </c>
      <c r="N22" s="14">
        <f>IFERROR(C22*($V$2/30), 0)</f>
        <v/>
      </c>
      <c r="O22">
        <f>IFERROR(VLOOKUP(A22, AZInsight_Data!$A:$AS, 40, FALSE), 1)</f>
        <v/>
      </c>
      <c r="P22" s="13">
        <f>IF(O22&gt;0, O22, 1)</f>
        <v/>
      </c>
      <c r="Q22" s="13">
        <f>IFERROR(U22/P22, 0)</f>
        <v/>
      </c>
      <c r="R22">
        <f>IFERROR(VLOOKUP(A22, AZInsight_Data!$A:$AS, 36, FALSE), "")</f>
        <v/>
      </c>
      <c r="S22">
        <f>IFERROR(VLOOKUP(A22, AZInsight_Data!$A:$AS, 3, FALSE), "")</f>
        <v/>
      </c>
      <c r="T22" s="17">
        <f>IFERROR(VLOOKUP(A22, AZInsight_Data!$A:$AS, 13, FALSE), 0)</f>
        <v/>
      </c>
      <c r="U22" s="13">
        <f>AH22</f>
        <v/>
      </c>
      <c r="V22" s="15">
        <f>T22*U22</f>
        <v/>
      </c>
      <c r="W22" s="16" t="n"/>
      <c r="X22" s="12">
        <f>IFERROR(VLOOKUP(A22, AZInsight_Data!$A:$AS, 40, FALSE), 1)</f>
        <v/>
      </c>
      <c r="Y22" s="13">
        <f>IFERROR(VLOOKUP(A22, IP Qty!$D:$R, 5, FALSE), 0)</f>
        <v/>
      </c>
      <c r="Z22" s="14">
        <f>IFERROR(VLOOKUP(A22, IP Qty!$D:$R, 6, FALSE), 0)</f>
        <v/>
      </c>
      <c r="AA22">
        <f>IFERROR(VLOOKUP(A22, IP Qty!$D:$R, 7, FALSE), 0)</f>
        <v/>
      </c>
      <c r="AB22">
        <f>IFERROR(VLOOKUP(A22, IP Qty!$D:$R, 9, FALSE), 0)</f>
        <v/>
      </c>
      <c r="AC22">
        <f>IFERROR(VLOOKUP(A22, IP Qty!$D:$R, 8, FALSE), 0)</f>
        <v/>
      </c>
      <c r="AD22" s="14">
        <f>IFERROR(VLOOKUP(A22, KEEPA!$A:$AW, 34, FALSE), 0)</f>
        <v/>
      </c>
      <c r="AE22" s="15">
        <f>IF(P22&gt;1, ((((M22&gt;=$AD$2)*(L22&gt;=$AH$2)) + ((M22&lt;$AD$2)*(M22&gt;=$AE$2)*(L22&gt;=$AG$2)) + ((M22&lt;$AE$2)*(M22&gt;=$AC$2)*(L22&gt;=0)))*2 * IF($AI$2=0, 1, AI22&lt;=$AI$2) * IF($AK$2=0, 1, AK22&lt;=$AK$2) * AND(N22&gt;=$D$1, H22&lt;=$I$2, G22&gt;=$H$2)), ((((M22&gt;=$AD$2)*(L22&gt;=$AH$2)) + ((M22&lt;$AD$2)*(M22&gt;=$AE$2)*(L22&gt;=$AG$2)) + ((M22&lt;$AE$2)*(M22&gt;=$AC$2)*(L22&gt;=0))) * IF($AI$2=0, 1, AI22&lt;=$AI$2) * IF($AK$2=0, 1, AK22&lt;=$AK$2) * AND(N22&gt;=$D$1, H22&lt;=$I$2, G22&gt;=$H$2)))</f>
        <v/>
      </c>
      <c r="AF22">
        <f>IF(AE22&gt;0, 1, 0)</f>
        <v/>
      </c>
      <c r="AG22">
        <f>IFERROR(IF(ISNUMBER(W22), IF(AN22, N22*W22*$AN$2, N22*W22), NA()), NA())</f>
        <v/>
      </c>
      <c r="AH22" s="13">
        <f>IFERROR(MIN(AG22, $U$2), 0)</f>
        <v/>
      </c>
      <c r="AI22" s="14">
        <f>IFERROR(VLOOKUP(A22, KEEPA!$A:$AW, 26, FALSE), 0)</f>
        <v/>
      </c>
      <c r="AJ22" s="16">
        <f>IFERROR(IF(AI22=0, 0, (AI22-H22)/H22), 0)</f>
        <v/>
      </c>
      <c r="AK22" s="14">
        <f>IFERROR(VLOOKUP(A22, KEEPA!$A:$AW, 28, FALSE), 0)</f>
        <v/>
      </c>
      <c r="AL22" s="16">
        <f>IFERROR(IF(AK22=0, 0, (AK22-H22)/H22), 0)</f>
        <v/>
      </c>
      <c r="AM22" s="13">
        <f>IFERROR(VLOOKUP(A22, AZInsight_Data!$A:$AS, 34, FALSE), 0)</f>
        <v/>
      </c>
      <c r="AN22">
        <f>IFERROR(AND(VLOOKUP(A22, KEEPA!$A:$AW, 2, FALSE)&lt;=$AO$2, N22 &gt;= $AM$2), FALSE)</f>
        <v/>
      </c>
      <c r="AO22" s="16">
        <f>IFERROR(VLOOKUP(A22, KEEPA!$A:$AW, 24, FALSE), 0)</f>
        <v/>
      </c>
      <c r="AP22" s="16">
        <f>IFERROR(VLOOKUP(A22, KEEPA!$A:$AW, 48, FALSE), 0)</f>
        <v/>
      </c>
      <c r="AQ22">
        <f>IFERROR(VLOOKUP(A22, AZInsight_Data!$A:$AS, 5, FALSE), "SL")</f>
        <v/>
      </c>
      <c r="AR22">
        <f>IF(OR(A22="", A22=0), "", HYPERLINK("https://keepa.com/#!product/1-"&amp;A22, "Keepa"))</f>
        <v/>
      </c>
      <c r="AS22">
        <f>IF(OR(A22="", A22=0), "", HYPERLINK("https://www.amazon.com/dp/"&amp;A22, "Amazon"))</f>
        <v/>
      </c>
      <c r="AT22">
        <f>IF(OR(A22="", A22=0), "", HYPERLINK("https://sellercentral.amazon.com/product-search/search?q="&amp;A22, "Check Gated"))</f>
        <v/>
      </c>
      <c r="AU22" s="12" t="n"/>
      <c r="AV22" s="12" t="n"/>
      <c r="AW22" s="12" t="n"/>
    </row>
    <row r="23">
      <c r="A23" s="12" t="n"/>
      <c r="B23" s="12">
        <f>IFERROR(VLOOKUP(A23, AZInsight_Data!$A:$AS, 3, FALSE), "")</f>
        <v/>
      </c>
      <c r="C23" s="13">
        <f>IFERROR(VLOOKUP(A23, AZInsight_Data!$A:$AS, 9, FALSE), 0)</f>
        <v/>
      </c>
      <c r="D23">
        <f>IFERROR(VLOOKUP(A23, AZInsight_Data!$A:$AS, 17, FALSE), 0)</f>
        <v/>
      </c>
      <c r="E23">
        <f>IFERROR(VLOOKUP(A23, AZInsight_Data!$A:$AS, 18, FALSE), 0)</f>
        <v/>
      </c>
      <c r="F23" s="14">
        <f>IFERROR(VLOOKUP(A23, AZInsight_Data!$A:$AS, 7, FALSE), 0)</f>
        <v/>
      </c>
      <c r="G23" s="15">
        <f>IFERROR(VLOOKUP(A23, AZInsight_Data!$A:$AS, 14, FALSE), 0)</f>
        <v/>
      </c>
      <c r="H23" s="14">
        <f>IFERROR(VLOOKUP(A23, AZInsight_Data!$A:$AS, 8, FALSE), 0)</f>
        <v/>
      </c>
      <c r="I23" s="16">
        <f>IFERROR(VLOOKUP(A23, KEEPA!$A:$AW, 47, FALSE), 0)</f>
        <v/>
      </c>
      <c r="J23">
        <f>IFERROR(VLOOKUP(A23, AZInsight_Data!$A:$AS, 25, FALSE), 0)</f>
        <v/>
      </c>
      <c r="K23" s="15">
        <f>IFERROR(VLOOKUP(A23, AZInsight_Data!$A:$AS, 16, FALSE), 0)</f>
        <v/>
      </c>
      <c r="L23" s="15">
        <f>IFERROR(K23-T23-J23, 0)</f>
        <v/>
      </c>
      <c r="M23" s="16">
        <f>IFERROR(IF(T23=0, 0, L23/T23), 0)</f>
        <v/>
      </c>
      <c r="N23" s="14">
        <f>IFERROR(C23*($V$2/30), 0)</f>
        <v/>
      </c>
      <c r="O23">
        <f>IFERROR(VLOOKUP(A23, AZInsight_Data!$A:$AS, 40, FALSE), 1)</f>
        <v/>
      </c>
      <c r="P23" s="13">
        <f>IF(O23&gt;0, O23, 1)</f>
        <v/>
      </c>
      <c r="Q23" s="13">
        <f>IFERROR(U23/P23, 0)</f>
        <v/>
      </c>
      <c r="R23">
        <f>IFERROR(VLOOKUP(A23, AZInsight_Data!$A:$AS, 36, FALSE), "")</f>
        <v/>
      </c>
      <c r="S23">
        <f>IFERROR(VLOOKUP(A23, AZInsight_Data!$A:$AS, 3, FALSE), "")</f>
        <v/>
      </c>
      <c r="T23" s="17">
        <f>IFERROR(VLOOKUP(A23, AZInsight_Data!$A:$AS, 13, FALSE), 0)</f>
        <v/>
      </c>
      <c r="U23" s="13">
        <f>AH23</f>
        <v/>
      </c>
      <c r="V23" s="15">
        <f>T23*U23</f>
        <v/>
      </c>
      <c r="W23" s="16" t="n"/>
      <c r="X23" s="12">
        <f>IFERROR(VLOOKUP(A23, AZInsight_Data!$A:$AS, 40, FALSE), 1)</f>
        <v/>
      </c>
      <c r="Y23" s="13">
        <f>IFERROR(VLOOKUP(A23, IP Qty!$D:$R, 5, FALSE), 0)</f>
        <v/>
      </c>
      <c r="Z23" s="14">
        <f>IFERROR(VLOOKUP(A23, IP Qty!$D:$R, 6, FALSE), 0)</f>
        <v/>
      </c>
      <c r="AA23">
        <f>IFERROR(VLOOKUP(A23, IP Qty!$D:$R, 7, FALSE), 0)</f>
        <v/>
      </c>
      <c r="AB23">
        <f>IFERROR(VLOOKUP(A23, IP Qty!$D:$R, 9, FALSE), 0)</f>
        <v/>
      </c>
      <c r="AC23">
        <f>IFERROR(VLOOKUP(A23, IP Qty!$D:$R, 8, FALSE), 0)</f>
        <v/>
      </c>
      <c r="AD23" s="14">
        <f>IFERROR(VLOOKUP(A23, KEEPA!$A:$AW, 34, FALSE), 0)</f>
        <v/>
      </c>
      <c r="AE23" s="15">
        <f>IF(P23&gt;1, ((((M23&gt;=$AD$2)*(L23&gt;=$AH$2)) + ((M23&lt;$AD$2)*(M23&gt;=$AE$2)*(L23&gt;=$AG$2)) + ((M23&lt;$AE$2)*(M23&gt;=$AC$2)*(L23&gt;=0)))*2 * IF($AI$2=0, 1, AI23&lt;=$AI$2) * IF($AK$2=0, 1, AK23&lt;=$AK$2) * AND(N23&gt;=$D$1, H23&lt;=$I$2, G23&gt;=$H$2)), ((((M23&gt;=$AD$2)*(L23&gt;=$AH$2)) + ((M23&lt;$AD$2)*(M23&gt;=$AE$2)*(L23&gt;=$AG$2)) + ((M23&lt;$AE$2)*(M23&gt;=$AC$2)*(L23&gt;=0))) * IF($AI$2=0, 1, AI23&lt;=$AI$2) * IF($AK$2=0, 1, AK23&lt;=$AK$2) * AND(N23&gt;=$D$1, H23&lt;=$I$2, G23&gt;=$H$2)))</f>
        <v/>
      </c>
      <c r="AF23">
        <f>IF(AE23&gt;0, 1, 0)</f>
        <v/>
      </c>
      <c r="AG23">
        <f>IFERROR(IF(ISNUMBER(W23), IF(AN23, N23*W23*$AN$2, N23*W23), NA()), NA())</f>
        <v/>
      </c>
      <c r="AH23" s="13">
        <f>IFERROR(MIN(AG23, $U$2), 0)</f>
        <v/>
      </c>
      <c r="AI23" s="14">
        <f>IFERROR(VLOOKUP(A23, KEEPA!$A:$AW, 26, FALSE), 0)</f>
        <v/>
      </c>
      <c r="AJ23" s="16">
        <f>IFERROR(IF(AI23=0, 0, (AI23-H23)/H23), 0)</f>
        <v/>
      </c>
      <c r="AK23" s="14">
        <f>IFERROR(VLOOKUP(A23, KEEPA!$A:$AW, 28, FALSE), 0)</f>
        <v/>
      </c>
      <c r="AL23" s="16">
        <f>IFERROR(IF(AK23=0, 0, (AK23-H23)/H23), 0)</f>
        <v/>
      </c>
      <c r="AM23" s="13">
        <f>IFERROR(VLOOKUP(A23, AZInsight_Data!$A:$AS, 34, FALSE), 0)</f>
        <v/>
      </c>
      <c r="AN23">
        <f>IFERROR(AND(VLOOKUP(A23, KEEPA!$A:$AW, 2, FALSE)&lt;=$AO$2, N23 &gt;= $AM$2), FALSE)</f>
        <v/>
      </c>
      <c r="AO23" s="16">
        <f>IFERROR(VLOOKUP(A23, KEEPA!$A:$AW, 24, FALSE), 0)</f>
        <v/>
      </c>
      <c r="AP23" s="16">
        <f>IFERROR(VLOOKUP(A23, KEEPA!$A:$AW, 48, FALSE), 0)</f>
        <v/>
      </c>
      <c r="AQ23">
        <f>IFERROR(VLOOKUP(A23, AZInsight_Data!$A:$AS, 5, FALSE), "SL")</f>
        <v/>
      </c>
      <c r="AR23">
        <f>IF(OR(A23="", A23=0), "", HYPERLINK("https://keepa.com/#!product/1-"&amp;A23, "Keepa"))</f>
        <v/>
      </c>
      <c r="AS23">
        <f>IF(OR(A23="", A23=0), "", HYPERLINK("https://www.amazon.com/dp/"&amp;A23, "Amazon"))</f>
        <v/>
      </c>
      <c r="AT23">
        <f>IF(OR(A23="", A23=0), "", HYPERLINK("https://sellercentral.amazon.com/product-search/search?q="&amp;A23, "Check Gated"))</f>
        <v/>
      </c>
      <c r="AU23" s="12" t="n"/>
      <c r="AV23" s="12" t="n"/>
      <c r="AW23" s="12" t="n"/>
    </row>
    <row r="24">
      <c r="A24" s="12" t="n"/>
      <c r="B24" s="12">
        <f>IFERROR(VLOOKUP(A24, AZInsight_Data!$A:$AS, 3, FALSE), "")</f>
        <v/>
      </c>
      <c r="C24" s="13">
        <f>IFERROR(VLOOKUP(A24, AZInsight_Data!$A:$AS, 9, FALSE), 0)</f>
        <v/>
      </c>
      <c r="D24">
        <f>IFERROR(VLOOKUP(A24, AZInsight_Data!$A:$AS, 17, FALSE), 0)</f>
        <v/>
      </c>
      <c r="E24">
        <f>IFERROR(VLOOKUP(A24, AZInsight_Data!$A:$AS, 18, FALSE), 0)</f>
        <v/>
      </c>
      <c r="F24" s="14">
        <f>IFERROR(VLOOKUP(A24, AZInsight_Data!$A:$AS, 7, FALSE), 0)</f>
        <v/>
      </c>
      <c r="G24" s="15">
        <f>IFERROR(VLOOKUP(A24, AZInsight_Data!$A:$AS, 14, FALSE), 0)</f>
        <v/>
      </c>
      <c r="H24" s="14">
        <f>IFERROR(VLOOKUP(A24, AZInsight_Data!$A:$AS, 8, FALSE), 0)</f>
        <v/>
      </c>
      <c r="I24" s="16">
        <f>IFERROR(VLOOKUP(A24, KEEPA!$A:$AW, 47, FALSE), 0)</f>
        <v/>
      </c>
      <c r="J24">
        <f>IFERROR(VLOOKUP(A24, AZInsight_Data!$A:$AS, 25, FALSE), 0)</f>
        <v/>
      </c>
      <c r="K24" s="15">
        <f>IFERROR(VLOOKUP(A24, AZInsight_Data!$A:$AS, 16, FALSE), 0)</f>
        <v/>
      </c>
      <c r="L24" s="15">
        <f>IFERROR(K24-T24-J24, 0)</f>
        <v/>
      </c>
      <c r="M24" s="16">
        <f>IFERROR(IF(T24=0, 0, L24/T24), 0)</f>
        <v/>
      </c>
      <c r="N24" s="14">
        <f>IFERROR(C24*($V$2/30), 0)</f>
        <v/>
      </c>
      <c r="O24">
        <f>IFERROR(VLOOKUP(A24, AZInsight_Data!$A:$AS, 40, FALSE), 1)</f>
        <v/>
      </c>
      <c r="P24" s="13">
        <f>IF(O24&gt;0, O24, 1)</f>
        <v/>
      </c>
      <c r="Q24" s="13">
        <f>IFERROR(U24/P24, 0)</f>
        <v/>
      </c>
      <c r="R24">
        <f>IFERROR(VLOOKUP(A24, AZInsight_Data!$A:$AS, 36, FALSE), "")</f>
        <v/>
      </c>
      <c r="S24">
        <f>IFERROR(VLOOKUP(A24, AZInsight_Data!$A:$AS, 3, FALSE), "")</f>
        <v/>
      </c>
      <c r="T24" s="17">
        <f>IFERROR(VLOOKUP(A24, AZInsight_Data!$A:$AS, 13, FALSE), 0)</f>
        <v/>
      </c>
      <c r="U24" s="13">
        <f>AH24</f>
        <v/>
      </c>
      <c r="V24" s="15">
        <f>T24*U24</f>
        <v/>
      </c>
      <c r="W24" s="16" t="n"/>
      <c r="X24" s="12">
        <f>IFERROR(VLOOKUP(A24, AZInsight_Data!$A:$AS, 40, FALSE), 1)</f>
        <v/>
      </c>
      <c r="Y24" s="13">
        <f>IFERROR(VLOOKUP(A24, IP Qty!$D:$R, 5, FALSE), 0)</f>
        <v/>
      </c>
      <c r="Z24" s="14">
        <f>IFERROR(VLOOKUP(A24, IP Qty!$D:$R, 6, FALSE), 0)</f>
        <v/>
      </c>
      <c r="AA24">
        <f>IFERROR(VLOOKUP(A24, IP Qty!$D:$R, 7, FALSE), 0)</f>
        <v/>
      </c>
      <c r="AB24">
        <f>IFERROR(VLOOKUP(A24, IP Qty!$D:$R, 9, FALSE), 0)</f>
        <v/>
      </c>
      <c r="AC24">
        <f>IFERROR(VLOOKUP(A24, IP Qty!$D:$R, 8, FALSE), 0)</f>
        <v/>
      </c>
      <c r="AD24" s="14">
        <f>IFERROR(VLOOKUP(A24, KEEPA!$A:$AW, 34, FALSE), 0)</f>
        <v/>
      </c>
      <c r="AE24" s="15">
        <f>IF(P24&gt;1, ((((M24&gt;=$AD$2)*(L24&gt;=$AH$2)) + ((M24&lt;$AD$2)*(M24&gt;=$AE$2)*(L24&gt;=$AG$2)) + ((M24&lt;$AE$2)*(M24&gt;=$AC$2)*(L24&gt;=0)))*2 * IF($AI$2=0, 1, AI24&lt;=$AI$2) * IF($AK$2=0, 1, AK24&lt;=$AK$2) * AND(N24&gt;=$D$1, H24&lt;=$I$2, G24&gt;=$H$2)), ((((M24&gt;=$AD$2)*(L24&gt;=$AH$2)) + ((M24&lt;$AD$2)*(M24&gt;=$AE$2)*(L24&gt;=$AG$2)) + ((M24&lt;$AE$2)*(M24&gt;=$AC$2)*(L24&gt;=0))) * IF($AI$2=0, 1, AI24&lt;=$AI$2) * IF($AK$2=0, 1, AK24&lt;=$AK$2) * AND(N24&gt;=$D$1, H24&lt;=$I$2, G24&gt;=$H$2)))</f>
        <v/>
      </c>
      <c r="AF24">
        <f>IF(AE24&gt;0, 1, 0)</f>
        <v/>
      </c>
      <c r="AG24">
        <f>IFERROR(IF(ISNUMBER(W24), IF(AN24, N24*W24*$AN$2, N24*W24), NA()), NA())</f>
        <v/>
      </c>
      <c r="AH24" s="13">
        <f>IFERROR(MIN(AG24, $U$2), 0)</f>
        <v/>
      </c>
      <c r="AI24" s="14">
        <f>IFERROR(VLOOKUP(A24, KEEPA!$A:$AW, 26, FALSE), 0)</f>
        <v/>
      </c>
      <c r="AJ24" s="16">
        <f>IFERROR(IF(AI24=0, 0, (AI24-H24)/H24), 0)</f>
        <v/>
      </c>
      <c r="AK24" s="14">
        <f>IFERROR(VLOOKUP(A24, KEEPA!$A:$AW, 28, FALSE), 0)</f>
        <v/>
      </c>
      <c r="AL24" s="16">
        <f>IFERROR(IF(AK24=0, 0, (AK24-H24)/H24), 0)</f>
        <v/>
      </c>
      <c r="AM24" s="13">
        <f>IFERROR(VLOOKUP(A24, AZInsight_Data!$A:$AS, 34, FALSE), 0)</f>
        <v/>
      </c>
      <c r="AN24">
        <f>IFERROR(AND(VLOOKUP(A24, KEEPA!$A:$AW, 2, FALSE)&lt;=$AO$2, N24 &gt;= $AM$2), FALSE)</f>
        <v/>
      </c>
      <c r="AO24" s="16">
        <f>IFERROR(VLOOKUP(A24, KEEPA!$A:$AW, 24, FALSE), 0)</f>
        <v/>
      </c>
      <c r="AP24" s="16">
        <f>IFERROR(VLOOKUP(A24, KEEPA!$A:$AW, 48, FALSE), 0)</f>
        <v/>
      </c>
      <c r="AQ24">
        <f>IFERROR(VLOOKUP(A24, AZInsight_Data!$A:$AS, 5, FALSE), "SL")</f>
        <v/>
      </c>
      <c r="AR24">
        <f>IF(OR(A24="", A24=0), "", HYPERLINK("https://keepa.com/#!product/1-"&amp;A24, "Keepa"))</f>
        <v/>
      </c>
      <c r="AS24">
        <f>IF(OR(A24="", A24=0), "", HYPERLINK("https://www.amazon.com/dp/"&amp;A24, "Amazon"))</f>
        <v/>
      </c>
      <c r="AT24">
        <f>IF(OR(A24="", A24=0), "", HYPERLINK("https://sellercentral.amazon.com/product-search/search?q="&amp;A24, "Check Gated"))</f>
        <v/>
      </c>
      <c r="AU24" s="12" t="n"/>
      <c r="AV24" s="12" t="n"/>
      <c r="AW24" s="12" t="n"/>
    </row>
    <row r="25">
      <c r="A25" s="12" t="n"/>
      <c r="B25" s="12">
        <f>IFERROR(VLOOKUP(A25, AZInsight_Data!$A:$AS, 3, FALSE), "")</f>
        <v/>
      </c>
      <c r="C25" s="13">
        <f>IFERROR(VLOOKUP(A25, AZInsight_Data!$A:$AS, 9, FALSE), 0)</f>
        <v/>
      </c>
      <c r="D25">
        <f>IFERROR(VLOOKUP(A25, AZInsight_Data!$A:$AS, 17, FALSE), 0)</f>
        <v/>
      </c>
      <c r="E25">
        <f>IFERROR(VLOOKUP(A25, AZInsight_Data!$A:$AS, 18, FALSE), 0)</f>
        <v/>
      </c>
      <c r="F25" s="14">
        <f>IFERROR(VLOOKUP(A25, AZInsight_Data!$A:$AS, 7, FALSE), 0)</f>
        <v/>
      </c>
      <c r="G25" s="15">
        <f>IFERROR(VLOOKUP(A25, AZInsight_Data!$A:$AS, 14, FALSE), 0)</f>
        <v/>
      </c>
      <c r="H25" s="14">
        <f>IFERROR(VLOOKUP(A25, AZInsight_Data!$A:$AS, 8, FALSE), 0)</f>
        <v/>
      </c>
      <c r="I25" s="16">
        <f>IFERROR(VLOOKUP(A25, KEEPA!$A:$AW, 47, FALSE), 0)</f>
        <v/>
      </c>
      <c r="J25">
        <f>IFERROR(VLOOKUP(A25, AZInsight_Data!$A:$AS, 25, FALSE), 0)</f>
        <v/>
      </c>
      <c r="K25" s="15">
        <f>IFERROR(VLOOKUP(A25, AZInsight_Data!$A:$AS, 16, FALSE), 0)</f>
        <v/>
      </c>
      <c r="L25" s="15">
        <f>IFERROR(K25-T25-J25, 0)</f>
        <v/>
      </c>
      <c r="M25" s="16">
        <f>IFERROR(IF(T25=0, 0, L25/T25), 0)</f>
        <v/>
      </c>
      <c r="N25" s="14">
        <f>IFERROR(C25*($V$2/30), 0)</f>
        <v/>
      </c>
      <c r="O25">
        <f>IFERROR(VLOOKUP(A25, AZInsight_Data!$A:$AS, 40, FALSE), 1)</f>
        <v/>
      </c>
      <c r="P25" s="13">
        <f>IF(O25&gt;0, O25, 1)</f>
        <v/>
      </c>
      <c r="Q25" s="13">
        <f>IFERROR(U25/P25, 0)</f>
        <v/>
      </c>
      <c r="R25">
        <f>IFERROR(VLOOKUP(A25, AZInsight_Data!$A:$AS, 36, FALSE), "")</f>
        <v/>
      </c>
      <c r="S25">
        <f>IFERROR(VLOOKUP(A25, AZInsight_Data!$A:$AS, 3, FALSE), "")</f>
        <v/>
      </c>
      <c r="T25" s="17">
        <f>IFERROR(VLOOKUP(A25, AZInsight_Data!$A:$AS, 13, FALSE), 0)</f>
        <v/>
      </c>
      <c r="U25" s="13">
        <f>AH25</f>
        <v/>
      </c>
      <c r="V25" s="15">
        <f>T25*U25</f>
        <v/>
      </c>
      <c r="W25" s="16" t="n"/>
      <c r="X25" s="12">
        <f>IFERROR(VLOOKUP(A25, AZInsight_Data!$A:$AS, 40, FALSE), 1)</f>
        <v/>
      </c>
      <c r="Y25" s="13">
        <f>IFERROR(VLOOKUP(A25, IP Qty!$D:$R, 5, FALSE), 0)</f>
        <v/>
      </c>
      <c r="Z25" s="14">
        <f>IFERROR(VLOOKUP(A25, IP Qty!$D:$R, 6, FALSE), 0)</f>
        <v/>
      </c>
      <c r="AA25">
        <f>IFERROR(VLOOKUP(A25, IP Qty!$D:$R, 7, FALSE), 0)</f>
        <v/>
      </c>
      <c r="AB25">
        <f>IFERROR(VLOOKUP(A25, IP Qty!$D:$R, 9, FALSE), 0)</f>
        <v/>
      </c>
      <c r="AC25">
        <f>IFERROR(VLOOKUP(A25, IP Qty!$D:$R, 8, FALSE), 0)</f>
        <v/>
      </c>
      <c r="AD25" s="14">
        <f>IFERROR(VLOOKUP(A25, KEEPA!$A:$AW, 34, FALSE), 0)</f>
        <v/>
      </c>
      <c r="AE25" s="15">
        <f>IF(P25&gt;1, ((((M25&gt;=$AD$2)*(L25&gt;=$AH$2)) + ((M25&lt;$AD$2)*(M25&gt;=$AE$2)*(L25&gt;=$AG$2)) + ((M25&lt;$AE$2)*(M25&gt;=$AC$2)*(L25&gt;=0)))*2 * IF($AI$2=0, 1, AI25&lt;=$AI$2) * IF($AK$2=0, 1, AK25&lt;=$AK$2) * AND(N25&gt;=$D$1, H25&lt;=$I$2, G25&gt;=$H$2)), ((((M25&gt;=$AD$2)*(L25&gt;=$AH$2)) + ((M25&lt;$AD$2)*(M25&gt;=$AE$2)*(L25&gt;=$AG$2)) + ((M25&lt;$AE$2)*(M25&gt;=$AC$2)*(L25&gt;=0))) * IF($AI$2=0, 1, AI25&lt;=$AI$2) * IF($AK$2=0, 1, AK25&lt;=$AK$2) * AND(N25&gt;=$D$1, H25&lt;=$I$2, G25&gt;=$H$2)))</f>
        <v/>
      </c>
      <c r="AF25">
        <f>IF(AE25&gt;0, 1, 0)</f>
        <v/>
      </c>
      <c r="AG25">
        <f>IFERROR(IF(ISNUMBER(W25), IF(AN25, N25*W25*$AN$2, N25*W25), NA()), NA())</f>
        <v/>
      </c>
      <c r="AH25" s="13">
        <f>IFERROR(MIN(AG25, $U$2), 0)</f>
        <v/>
      </c>
      <c r="AI25" s="14">
        <f>IFERROR(VLOOKUP(A25, KEEPA!$A:$AW, 26, FALSE), 0)</f>
        <v/>
      </c>
      <c r="AJ25" s="16">
        <f>IFERROR(IF(AI25=0, 0, (AI25-H25)/H25), 0)</f>
        <v/>
      </c>
      <c r="AK25" s="14">
        <f>IFERROR(VLOOKUP(A25, KEEPA!$A:$AW, 28, FALSE), 0)</f>
        <v/>
      </c>
      <c r="AL25" s="16">
        <f>IFERROR(IF(AK25=0, 0, (AK25-H25)/H25), 0)</f>
        <v/>
      </c>
      <c r="AM25" s="13">
        <f>IFERROR(VLOOKUP(A25, AZInsight_Data!$A:$AS, 34, FALSE), 0)</f>
        <v/>
      </c>
      <c r="AN25">
        <f>IFERROR(AND(VLOOKUP(A25, KEEPA!$A:$AW, 2, FALSE)&lt;=$AO$2, N25 &gt;= $AM$2), FALSE)</f>
        <v/>
      </c>
      <c r="AO25" s="16">
        <f>IFERROR(VLOOKUP(A25, KEEPA!$A:$AW, 24, FALSE), 0)</f>
        <v/>
      </c>
      <c r="AP25" s="16">
        <f>IFERROR(VLOOKUP(A25, KEEPA!$A:$AW, 48, FALSE), 0)</f>
        <v/>
      </c>
      <c r="AQ25">
        <f>IFERROR(VLOOKUP(A25, AZInsight_Data!$A:$AS, 5, FALSE), "SL")</f>
        <v/>
      </c>
      <c r="AR25">
        <f>IF(OR(A25="", A25=0), "", HYPERLINK("https://keepa.com/#!product/1-"&amp;A25, "Keepa"))</f>
        <v/>
      </c>
      <c r="AS25">
        <f>IF(OR(A25="", A25=0), "", HYPERLINK("https://www.amazon.com/dp/"&amp;A25, "Amazon"))</f>
        <v/>
      </c>
      <c r="AT25">
        <f>IF(OR(A25="", A25=0), "", HYPERLINK("https://sellercentral.amazon.com/product-search/search?q="&amp;A25, "Check Gated"))</f>
        <v/>
      </c>
      <c r="AU25" s="12" t="n"/>
      <c r="AV25" s="12" t="n"/>
      <c r="AW25" s="12" t="n"/>
    </row>
    <row r="26">
      <c r="A26" s="12" t="n"/>
      <c r="B26" s="12">
        <f>IFERROR(VLOOKUP(A26, AZInsight_Data!$A:$AS, 3, FALSE), "")</f>
        <v/>
      </c>
      <c r="C26" s="13">
        <f>IFERROR(VLOOKUP(A26, AZInsight_Data!$A:$AS, 9, FALSE), 0)</f>
        <v/>
      </c>
      <c r="D26">
        <f>IFERROR(VLOOKUP(A26, AZInsight_Data!$A:$AS, 17, FALSE), 0)</f>
        <v/>
      </c>
      <c r="E26">
        <f>IFERROR(VLOOKUP(A26, AZInsight_Data!$A:$AS, 18, FALSE), 0)</f>
        <v/>
      </c>
      <c r="F26" s="14">
        <f>IFERROR(VLOOKUP(A26, AZInsight_Data!$A:$AS, 7, FALSE), 0)</f>
        <v/>
      </c>
      <c r="G26" s="15">
        <f>IFERROR(VLOOKUP(A26, AZInsight_Data!$A:$AS, 14, FALSE), 0)</f>
        <v/>
      </c>
      <c r="H26" s="14">
        <f>IFERROR(VLOOKUP(A26, AZInsight_Data!$A:$AS, 8, FALSE), 0)</f>
        <v/>
      </c>
      <c r="I26" s="16">
        <f>IFERROR(VLOOKUP(A26, KEEPA!$A:$AW, 47, FALSE), 0)</f>
        <v/>
      </c>
      <c r="J26">
        <f>IFERROR(VLOOKUP(A26, AZInsight_Data!$A:$AS, 25, FALSE), 0)</f>
        <v/>
      </c>
      <c r="K26" s="15">
        <f>IFERROR(VLOOKUP(A26, AZInsight_Data!$A:$AS, 16, FALSE), 0)</f>
        <v/>
      </c>
      <c r="L26" s="15">
        <f>IFERROR(K26-T26-J26, 0)</f>
        <v/>
      </c>
      <c r="M26" s="16">
        <f>IFERROR(IF(T26=0, 0, L26/T26), 0)</f>
        <v/>
      </c>
      <c r="N26" s="14">
        <f>IFERROR(C26*($V$2/30), 0)</f>
        <v/>
      </c>
      <c r="O26">
        <f>IFERROR(VLOOKUP(A26, AZInsight_Data!$A:$AS, 40, FALSE), 1)</f>
        <v/>
      </c>
      <c r="P26" s="13">
        <f>IF(O26&gt;0, O26, 1)</f>
        <v/>
      </c>
      <c r="Q26" s="13">
        <f>IFERROR(U26/P26, 0)</f>
        <v/>
      </c>
      <c r="R26">
        <f>IFERROR(VLOOKUP(A26, AZInsight_Data!$A:$AS, 36, FALSE), "")</f>
        <v/>
      </c>
      <c r="S26">
        <f>IFERROR(VLOOKUP(A26, AZInsight_Data!$A:$AS, 3, FALSE), "")</f>
        <v/>
      </c>
      <c r="T26" s="17">
        <f>IFERROR(VLOOKUP(A26, AZInsight_Data!$A:$AS, 13, FALSE), 0)</f>
        <v/>
      </c>
      <c r="U26" s="13">
        <f>AH26</f>
        <v/>
      </c>
      <c r="V26" s="15">
        <f>T26*U26</f>
        <v/>
      </c>
      <c r="W26" s="16" t="n"/>
      <c r="X26" s="12">
        <f>IFERROR(VLOOKUP(A26, AZInsight_Data!$A:$AS, 40, FALSE), 1)</f>
        <v/>
      </c>
      <c r="Y26" s="13">
        <f>IFERROR(VLOOKUP(A26, IP Qty!$D:$R, 5, FALSE), 0)</f>
        <v/>
      </c>
      <c r="Z26" s="14">
        <f>IFERROR(VLOOKUP(A26, IP Qty!$D:$R, 6, FALSE), 0)</f>
        <v/>
      </c>
      <c r="AA26">
        <f>IFERROR(VLOOKUP(A26, IP Qty!$D:$R, 7, FALSE), 0)</f>
        <v/>
      </c>
      <c r="AB26">
        <f>IFERROR(VLOOKUP(A26, IP Qty!$D:$R, 9, FALSE), 0)</f>
        <v/>
      </c>
      <c r="AC26">
        <f>IFERROR(VLOOKUP(A26, IP Qty!$D:$R, 8, FALSE), 0)</f>
        <v/>
      </c>
      <c r="AD26" s="14">
        <f>IFERROR(VLOOKUP(A26, KEEPA!$A:$AW, 34, FALSE), 0)</f>
        <v/>
      </c>
      <c r="AE26" s="15">
        <f>IF(P26&gt;1, ((((M26&gt;=$AD$2)*(L26&gt;=$AH$2)) + ((M26&lt;$AD$2)*(M26&gt;=$AE$2)*(L26&gt;=$AG$2)) + ((M26&lt;$AE$2)*(M26&gt;=$AC$2)*(L26&gt;=0)))*2 * IF($AI$2=0, 1, AI26&lt;=$AI$2) * IF($AK$2=0, 1, AK26&lt;=$AK$2) * AND(N26&gt;=$D$1, H26&lt;=$I$2, G26&gt;=$H$2)), ((((M26&gt;=$AD$2)*(L26&gt;=$AH$2)) + ((M26&lt;$AD$2)*(M26&gt;=$AE$2)*(L26&gt;=$AG$2)) + ((M26&lt;$AE$2)*(M26&gt;=$AC$2)*(L26&gt;=0))) * IF($AI$2=0, 1, AI26&lt;=$AI$2) * IF($AK$2=0, 1, AK26&lt;=$AK$2) * AND(N26&gt;=$D$1, H26&lt;=$I$2, G26&gt;=$H$2)))</f>
        <v/>
      </c>
      <c r="AF26">
        <f>IF(AE26&gt;0, 1, 0)</f>
        <v/>
      </c>
      <c r="AG26">
        <f>IFERROR(IF(ISNUMBER(W26), IF(AN26, N26*W26*$AN$2, N26*W26), NA()), NA())</f>
        <v/>
      </c>
      <c r="AH26" s="13">
        <f>IFERROR(MIN(AG26, $U$2), 0)</f>
        <v/>
      </c>
      <c r="AI26" s="14">
        <f>IFERROR(VLOOKUP(A26, KEEPA!$A:$AW, 26, FALSE), 0)</f>
        <v/>
      </c>
      <c r="AJ26" s="16">
        <f>IFERROR(IF(AI26=0, 0, (AI26-H26)/H26), 0)</f>
        <v/>
      </c>
      <c r="AK26" s="14">
        <f>IFERROR(VLOOKUP(A26, KEEPA!$A:$AW, 28, FALSE), 0)</f>
        <v/>
      </c>
      <c r="AL26" s="16">
        <f>IFERROR(IF(AK26=0, 0, (AK26-H26)/H26), 0)</f>
        <v/>
      </c>
      <c r="AM26" s="13">
        <f>IFERROR(VLOOKUP(A26, AZInsight_Data!$A:$AS, 34, FALSE), 0)</f>
        <v/>
      </c>
      <c r="AN26">
        <f>IFERROR(AND(VLOOKUP(A26, KEEPA!$A:$AW, 2, FALSE)&lt;=$AO$2, N26 &gt;= $AM$2), FALSE)</f>
        <v/>
      </c>
      <c r="AO26" s="16">
        <f>IFERROR(VLOOKUP(A26, KEEPA!$A:$AW, 24, FALSE), 0)</f>
        <v/>
      </c>
      <c r="AP26" s="16">
        <f>IFERROR(VLOOKUP(A26, KEEPA!$A:$AW, 48, FALSE), 0)</f>
        <v/>
      </c>
      <c r="AQ26">
        <f>IFERROR(VLOOKUP(A26, AZInsight_Data!$A:$AS, 5, FALSE), "SL")</f>
        <v/>
      </c>
      <c r="AR26">
        <f>IF(OR(A26="", A26=0), "", HYPERLINK("https://keepa.com/#!product/1-"&amp;A26, "Keepa"))</f>
        <v/>
      </c>
      <c r="AS26">
        <f>IF(OR(A26="", A26=0), "", HYPERLINK("https://www.amazon.com/dp/"&amp;A26, "Amazon"))</f>
        <v/>
      </c>
      <c r="AT26">
        <f>IF(OR(A26="", A26=0), "", HYPERLINK("https://sellercentral.amazon.com/product-search/search?q="&amp;A26, "Check Gated"))</f>
        <v/>
      </c>
      <c r="AU26" s="12" t="n"/>
      <c r="AV26" s="12" t="n"/>
      <c r="AW26" s="12" t="n"/>
    </row>
    <row r="27">
      <c r="A27" s="12" t="n"/>
      <c r="B27" s="12">
        <f>IFERROR(VLOOKUP(A27, AZInsight_Data!$A:$AS, 3, FALSE), "")</f>
        <v/>
      </c>
      <c r="C27" s="13">
        <f>IFERROR(VLOOKUP(A27, AZInsight_Data!$A:$AS, 9, FALSE), 0)</f>
        <v/>
      </c>
      <c r="D27">
        <f>IFERROR(VLOOKUP(A27, AZInsight_Data!$A:$AS, 17, FALSE), 0)</f>
        <v/>
      </c>
      <c r="E27">
        <f>IFERROR(VLOOKUP(A27, AZInsight_Data!$A:$AS, 18, FALSE), 0)</f>
        <v/>
      </c>
      <c r="F27" s="14">
        <f>IFERROR(VLOOKUP(A27, AZInsight_Data!$A:$AS, 7, FALSE), 0)</f>
        <v/>
      </c>
      <c r="G27" s="15">
        <f>IFERROR(VLOOKUP(A27, AZInsight_Data!$A:$AS, 14, FALSE), 0)</f>
        <v/>
      </c>
      <c r="H27" s="14">
        <f>IFERROR(VLOOKUP(A27, AZInsight_Data!$A:$AS, 8, FALSE), 0)</f>
        <v/>
      </c>
      <c r="I27" s="16">
        <f>IFERROR(VLOOKUP(A27, KEEPA!$A:$AW, 47, FALSE), 0)</f>
        <v/>
      </c>
      <c r="J27">
        <f>IFERROR(VLOOKUP(A27, AZInsight_Data!$A:$AS, 25, FALSE), 0)</f>
        <v/>
      </c>
      <c r="K27" s="15">
        <f>IFERROR(VLOOKUP(A27, AZInsight_Data!$A:$AS, 16, FALSE), 0)</f>
        <v/>
      </c>
      <c r="L27" s="15">
        <f>IFERROR(K27-T27-J27, 0)</f>
        <v/>
      </c>
      <c r="M27" s="16">
        <f>IFERROR(IF(T27=0, 0, L27/T27), 0)</f>
        <v/>
      </c>
      <c r="N27" s="14">
        <f>IFERROR(C27*($V$2/30), 0)</f>
        <v/>
      </c>
      <c r="O27">
        <f>IFERROR(VLOOKUP(A27, AZInsight_Data!$A:$AS, 40, FALSE), 1)</f>
        <v/>
      </c>
      <c r="P27" s="13">
        <f>IF(O27&gt;0, O27, 1)</f>
        <v/>
      </c>
      <c r="Q27" s="13">
        <f>IFERROR(U27/P27, 0)</f>
        <v/>
      </c>
      <c r="R27">
        <f>IFERROR(VLOOKUP(A27, AZInsight_Data!$A:$AS, 36, FALSE), "")</f>
        <v/>
      </c>
      <c r="S27">
        <f>IFERROR(VLOOKUP(A27, AZInsight_Data!$A:$AS, 3, FALSE), "")</f>
        <v/>
      </c>
      <c r="T27" s="17">
        <f>IFERROR(VLOOKUP(A27, AZInsight_Data!$A:$AS, 13, FALSE), 0)</f>
        <v/>
      </c>
      <c r="U27" s="13">
        <f>AH27</f>
        <v/>
      </c>
      <c r="V27" s="15">
        <f>T27*U27</f>
        <v/>
      </c>
      <c r="W27" s="16" t="n"/>
      <c r="X27" s="12">
        <f>IFERROR(VLOOKUP(A27, AZInsight_Data!$A:$AS, 40, FALSE), 1)</f>
        <v/>
      </c>
      <c r="Y27" s="13">
        <f>IFERROR(VLOOKUP(A27, IP Qty!$D:$R, 5, FALSE), 0)</f>
        <v/>
      </c>
      <c r="Z27" s="14">
        <f>IFERROR(VLOOKUP(A27, IP Qty!$D:$R, 6, FALSE), 0)</f>
        <v/>
      </c>
      <c r="AA27">
        <f>IFERROR(VLOOKUP(A27, IP Qty!$D:$R, 7, FALSE), 0)</f>
        <v/>
      </c>
      <c r="AB27">
        <f>IFERROR(VLOOKUP(A27, IP Qty!$D:$R, 9, FALSE), 0)</f>
        <v/>
      </c>
      <c r="AC27">
        <f>IFERROR(VLOOKUP(A27, IP Qty!$D:$R, 8, FALSE), 0)</f>
        <v/>
      </c>
      <c r="AD27" s="14">
        <f>IFERROR(VLOOKUP(A27, KEEPA!$A:$AW, 34, FALSE), 0)</f>
        <v/>
      </c>
      <c r="AE27" s="15">
        <f>IF(P27&gt;1, ((((M27&gt;=$AD$2)*(L27&gt;=$AH$2)) + ((M27&lt;$AD$2)*(M27&gt;=$AE$2)*(L27&gt;=$AG$2)) + ((M27&lt;$AE$2)*(M27&gt;=$AC$2)*(L27&gt;=0)))*2 * IF($AI$2=0, 1, AI27&lt;=$AI$2) * IF($AK$2=0, 1, AK27&lt;=$AK$2) * AND(N27&gt;=$D$1, H27&lt;=$I$2, G27&gt;=$H$2)), ((((M27&gt;=$AD$2)*(L27&gt;=$AH$2)) + ((M27&lt;$AD$2)*(M27&gt;=$AE$2)*(L27&gt;=$AG$2)) + ((M27&lt;$AE$2)*(M27&gt;=$AC$2)*(L27&gt;=0))) * IF($AI$2=0, 1, AI27&lt;=$AI$2) * IF($AK$2=0, 1, AK27&lt;=$AK$2) * AND(N27&gt;=$D$1, H27&lt;=$I$2, G27&gt;=$H$2)))</f>
        <v/>
      </c>
      <c r="AF27">
        <f>IF(AE27&gt;0, 1, 0)</f>
        <v/>
      </c>
      <c r="AG27">
        <f>IFERROR(IF(ISNUMBER(W27), IF(AN27, N27*W27*$AN$2, N27*W27), NA()), NA())</f>
        <v/>
      </c>
      <c r="AH27" s="13">
        <f>IFERROR(MIN(AG27, $U$2), 0)</f>
        <v/>
      </c>
      <c r="AI27" s="14">
        <f>IFERROR(VLOOKUP(A27, KEEPA!$A:$AW, 26, FALSE), 0)</f>
        <v/>
      </c>
      <c r="AJ27" s="16">
        <f>IFERROR(IF(AI27=0, 0, (AI27-H27)/H27), 0)</f>
        <v/>
      </c>
      <c r="AK27" s="14">
        <f>IFERROR(VLOOKUP(A27, KEEPA!$A:$AW, 28, FALSE), 0)</f>
        <v/>
      </c>
      <c r="AL27" s="16">
        <f>IFERROR(IF(AK27=0, 0, (AK27-H27)/H27), 0)</f>
        <v/>
      </c>
      <c r="AM27" s="13">
        <f>IFERROR(VLOOKUP(A27, AZInsight_Data!$A:$AS, 34, FALSE), 0)</f>
        <v/>
      </c>
      <c r="AN27">
        <f>IFERROR(AND(VLOOKUP(A27, KEEPA!$A:$AW, 2, FALSE)&lt;=$AO$2, N27 &gt;= $AM$2), FALSE)</f>
        <v/>
      </c>
      <c r="AO27" s="16">
        <f>IFERROR(VLOOKUP(A27, KEEPA!$A:$AW, 24, FALSE), 0)</f>
        <v/>
      </c>
      <c r="AP27" s="16">
        <f>IFERROR(VLOOKUP(A27, KEEPA!$A:$AW, 48, FALSE), 0)</f>
        <v/>
      </c>
      <c r="AQ27">
        <f>IFERROR(VLOOKUP(A27, AZInsight_Data!$A:$AS, 5, FALSE), "SL")</f>
        <v/>
      </c>
      <c r="AR27">
        <f>IF(OR(A27="", A27=0), "", HYPERLINK("https://keepa.com/#!product/1-"&amp;A27, "Keepa"))</f>
        <v/>
      </c>
      <c r="AS27">
        <f>IF(OR(A27="", A27=0), "", HYPERLINK("https://www.amazon.com/dp/"&amp;A27, "Amazon"))</f>
        <v/>
      </c>
      <c r="AT27">
        <f>IF(OR(A27="", A27=0), "", HYPERLINK("https://sellercentral.amazon.com/product-search/search?q="&amp;A27, "Check Gated"))</f>
        <v/>
      </c>
      <c r="AU27" s="12" t="n"/>
      <c r="AV27" s="12" t="n"/>
      <c r="AW27" s="12" t="n"/>
    </row>
    <row r="28">
      <c r="A28" s="12" t="n"/>
      <c r="B28" s="12">
        <f>IFERROR(VLOOKUP(A28, AZInsight_Data!$A:$AS, 3, FALSE), "")</f>
        <v/>
      </c>
      <c r="C28" s="13">
        <f>IFERROR(VLOOKUP(A28, AZInsight_Data!$A:$AS, 9, FALSE), 0)</f>
        <v/>
      </c>
      <c r="D28">
        <f>IFERROR(VLOOKUP(A28, AZInsight_Data!$A:$AS, 17, FALSE), 0)</f>
        <v/>
      </c>
      <c r="E28">
        <f>IFERROR(VLOOKUP(A28, AZInsight_Data!$A:$AS, 18, FALSE), 0)</f>
        <v/>
      </c>
      <c r="F28" s="14">
        <f>IFERROR(VLOOKUP(A28, AZInsight_Data!$A:$AS, 7, FALSE), 0)</f>
        <v/>
      </c>
      <c r="G28" s="15">
        <f>IFERROR(VLOOKUP(A28, AZInsight_Data!$A:$AS, 14, FALSE), 0)</f>
        <v/>
      </c>
      <c r="H28" s="14">
        <f>IFERROR(VLOOKUP(A28, AZInsight_Data!$A:$AS, 8, FALSE), 0)</f>
        <v/>
      </c>
      <c r="I28" s="16">
        <f>IFERROR(VLOOKUP(A28, KEEPA!$A:$AW, 47, FALSE), 0)</f>
        <v/>
      </c>
      <c r="J28">
        <f>IFERROR(VLOOKUP(A28, AZInsight_Data!$A:$AS, 25, FALSE), 0)</f>
        <v/>
      </c>
      <c r="K28" s="15">
        <f>IFERROR(VLOOKUP(A28, AZInsight_Data!$A:$AS, 16, FALSE), 0)</f>
        <v/>
      </c>
      <c r="L28" s="15">
        <f>IFERROR(K28-T28-J28, 0)</f>
        <v/>
      </c>
      <c r="M28" s="16">
        <f>IFERROR(IF(T28=0, 0, L28/T28), 0)</f>
        <v/>
      </c>
      <c r="N28" s="14">
        <f>IFERROR(C28*($V$2/30), 0)</f>
        <v/>
      </c>
      <c r="O28">
        <f>IFERROR(VLOOKUP(A28, AZInsight_Data!$A:$AS, 40, FALSE), 1)</f>
        <v/>
      </c>
      <c r="P28" s="13">
        <f>IF(O28&gt;0, O28, 1)</f>
        <v/>
      </c>
      <c r="Q28" s="13">
        <f>IFERROR(U28/P28, 0)</f>
        <v/>
      </c>
      <c r="R28">
        <f>IFERROR(VLOOKUP(A28, AZInsight_Data!$A:$AS, 36, FALSE), "")</f>
        <v/>
      </c>
      <c r="S28">
        <f>IFERROR(VLOOKUP(A28, AZInsight_Data!$A:$AS, 3, FALSE), "")</f>
        <v/>
      </c>
      <c r="T28" s="17">
        <f>IFERROR(VLOOKUP(A28, AZInsight_Data!$A:$AS, 13, FALSE), 0)</f>
        <v/>
      </c>
      <c r="U28" s="13">
        <f>AH28</f>
        <v/>
      </c>
      <c r="V28" s="15">
        <f>T28*U28</f>
        <v/>
      </c>
      <c r="W28" s="16" t="n"/>
      <c r="X28" s="12">
        <f>IFERROR(VLOOKUP(A28, AZInsight_Data!$A:$AS, 40, FALSE), 1)</f>
        <v/>
      </c>
      <c r="Y28" s="13">
        <f>IFERROR(VLOOKUP(A28, IP Qty!$D:$R, 5, FALSE), 0)</f>
        <v/>
      </c>
      <c r="Z28" s="14">
        <f>IFERROR(VLOOKUP(A28, IP Qty!$D:$R, 6, FALSE), 0)</f>
        <v/>
      </c>
      <c r="AA28">
        <f>IFERROR(VLOOKUP(A28, IP Qty!$D:$R, 7, FALSE), 0)</f>
        <v/>
      </c>
      <c r="AB28">
        <f>IFERROR(VLOOKUP(A28, IP Qty!$D:$R, 9, FALSE), 0)</f>
        <v/>
      </c>
      <c r="AC28">
        <f>IFERROR(VLOOKUP(A28, IP Qty!$D:$R, 8, FALSE), 0)</f>
        <v/>
      </c>
      <c r="AD28" s="14">
        <f>IFERROR(VLOOKUP(A28, KEEPA!$A:$AW, 34, FALSE), 0)</f>
        <v/>
      </c>
      <c r="AE28" s="15">
        <f>IF(P28&gt;1, ((((M28&gt;=$AD$2)*(L28&gt;=$AH$2)) + ((M28&lt;$AD$2)*(M28&gt;=$AE$2)*(L28&gt;=$AG$2)) + ((M28&lt;$AE$2)*(M28&gt;=$AC$2)*(L28&gt;=0)))*2 * IF($AI$2=0, 1, AI28&lt;=$AI$2) * IF($AK$2=0, 1, AK28&lt;=$AK$2) * AND(N28&gt;=$D$1, H28&lt;=$I$2, G28&gt;=$H$2)), ((((M28&gt;=$AD$2)*(L28&gt;=$AH$2)) + ((M28&lt;$AD$2)*(M28&gt;=$AE$2)*(L28&gt;=$AG$2)) + ((M28&lt;$AE$2)*(M28&gt;=$AC$2)*(L28&gt;=0))) * IF($AI$2=0, 1, AI28&lt;=$AI$2) * IF($AK$2=0, 1, AK28&lt;=$AK$2) * AND(N28&gt;=$D$1, H28&lt;=$I$2, G28&gt;=$H$2)))</f>
        <v/>
      </c>
      <c r="AF28">
        <f>IF(AE28&gt;0, 1, 0)</f>
        <v/>
      </c>
      <c r="AG28">
        <f>IFERROR(IF(ISNUMBER(W28), IF(AN28, N28*W28*$AN$2, N28*W28), NA()), NA())</f>
        <v/>
      </c>
      <c r="AH28" s="13">
        <f>IFERROR(MIN(AG28, $U$2), 0)</f>
        <v/>
      </c>
      <c r="AI28" s="14">
        <f>IFERROR(VLOOKUP(A28, KEEPA!$A:$AW, 26, FALSE), 0)</f>
        <v/>
      </c>
      <c r="AJ28" s="16">
        <f>IFERROR(IF(AI28=0, 0, (AI28-H28)/H28), 0)</f>
        <v/>
      </c>
      <c r="AK28" s="14">
        <f>IFERROR(VLOOKUP(A28, KEEPA!$A:$AW, 28, FALSE), 0)</f>
        <v/>
      </c>
      <c r="AL28" s="16">
        <f>IFERROR(IF(AK28=0, 0, (AK28-H28)/H28), 0)</f>
        <v/>
      </c>
      <c r="AM28" s="13">
        <f>IFERROR(VLOOKUP(A28, AZInsight_Data!$A:$AS, 34, FALSE), 0)</f>
        <v/>
      </c>
      <c r="AN28">
        <f>IFERROR(AND(VLOOKUP(A28, KEEPA!$A:$AW, 2, FALSE)&lt;=$AO$2, N28 &gt;= $AM$2), FALSE)</f>
        <v/>
      </c>
      <c r="AO28" s="16">
        <f>IFERROR(VLOOKUP(A28, KEEPA!$A:$AW, 24, FALSE), 0)</f>
        <v/>
      </c>
      <c r="AP28" s="16">
        <f>IFERROR(VLOOKUP(A28, KEEPA!$A:$AW, 48, FALSE), 0)</f>
        <v/>
      </c>
      <c r="AQ28">
        <f>IFERROR(VLOOKUP(A28, AZInsight_Data!$A:$AS, 5, FALSE), "SL")</f>
        <v/>
      </c>
      <c r="AR28">
        <f>IF(OR(A28="", A28=0), "", HYPERLINK("https://keepa.com/#!product/1-"&amp;A28, "Keepa"))</f>
        <v/>
      </c>
      <c r="AS28">
        <f>IF(OR(A28="", A28=0), "", HYPERLINK("https://www.amazon.com/dp/"&amp;A28, "Amazon"))</f>
        <v/>
      </c>
      <c r="AT28">
        <f>IF(OR(A28="", A28=0), "", HYPERLINK("https://sellercentral.amazon.com/product-search/search?q="&amp;A28, "Check Gated"))</f>
        <v/>
      </c>
      <c r="AU28" s="12" t="n"/>
      <c r="AV28" s="12" t="n"/>
      <c r="AW28" s="12" t="n"/>
    </row>
    <row r="29">
      <c r="A29" s="12" t="n"/>
      <c r="B29" s="12">
        <f>IFERROR(VLOOKUP(A29, AZInsight_Data!$A:$AS, 3, FALSE), "")</f>
        <v/>
      </c>
      <c r="C29" s="13">
        <f>IFERROR(VLOOKUP(A29, AZInsight_Data!$A:$AS, 9, FALSE), 0)</f>
        <v/>
      </c>
      <c r="D29">
        <f>IFERROR(VLOOKUP(A29, AZInsight_Data!$A:$AS, 17, FALSE), 0)</f>
        <v/>
      </c>
      <c r="E29">
        <f>IFERROR(VLOOKUP(A29, AZInsight_Data!$A:$AS, 18, FALSE), 0)</f>
        <v/>
      </c>
      <c r="F29" s="14">
        <f>IFERROR(VLOOKUP(A29, AZInsight_Data!$A:$AS, 7, FALSE), 0)</f>
        <v/>
      </c>
      <c r="G29" s="15">
        <f>IFERROR(VLOOKUP(A29, AZInsight_Data!$A:$AS, 14, FALSE), 0)</f>
        <v/>
      </c>
      <c r="H29" s="14">
        <f>IFERROR(VLOOKUP(A29, AZInsight_Data!$A:$AS, 8, FALSE), 0)</f>
        <v/>
      </c>
      <c r="I29" s="16">
        <f>IFERROR(VLOOKUP(A29, KEEPA!$A:$AW, 47, FALSE), 0)</f>
        <v/>
      </c>
      <c r="J29">
        <f>IFERROR(VLOOKUP(A29, AZInsight_Data!$A:$AS, 25, FALSE), 0)</f>
        <v/>
      </c>
      <c r="K29" s="15">
        <f>IFERROR(VLOOKUP(A29, AZInsight_Data!$A:$AS, 16, FALSE), 0)</f>
        <v/>
      </c>
      <c r="L29" s="15">
        <f>IFERROR(K29-T29-J29, 0)</f>
        <v/>
      </c>
      <c r="M29" s="16">
        <f>IFERROR(IF(T29=0, 0, L29/T29), 0)</f>
        <v/>
      </c>
      <c r="N29" s="14">
        <f>IFERROR(C29*($V$2/30), 0)</f>
        <v/>
      </c>
      <c r="O29">
        <f>IFERROR(VLOOKUP(A29, AZInsight_Data!$A:$AS, 40, FALSE), 1)</f>
        <v/>
      </c>
      <c r="P29" s="13">
        <f>IF(O29&gt;0, O29, 1)</f>
        <v/>
      </c>
      <c r="Q29" s="13">
        <f>IFERROR(U29/P29, 0)</f>
        <v/>
      </c>
      <c r="R29">
        <f>IFERROR(VLOOKUP(A29, AZInsight_Data!$A:$AS, 36, FALSE), "")</f>
        <v/>
      </c>
      <c r="S29">
        <f>IFERROR(VLOOKUP(A29, AZInsight_Data!$A:$AS, 3, FALSE), "")</f>
        <v/>
      </c>
      <c r="T29" s="17">
        <f>IFERROR(VLOOKUP(A29, AZInsight_Data!$A:$AS, 13, FALSE), 0)</f>
        <v/>
      </c>
      <c r="U29" s="13">
        <f>AH29</f>
        <v/>
      </c>
      <c r="V29" s="15">
        <f>T29*U29</f>
        <v/>
      </c>
      <c r="W29" s="16" t="n"/>
      <c r="X29" s="12">
        <f>IFERROR(VLOOKUP(A29, AZInsight_Data!$A:$AS, 40, FALSE), 1)</f>
        <v/>
      </c>
      <c r="Y29" s="13">
        <f>IFERROR(VLOOKUP(A29, IP Qty!$D:$R, 5, FALSE), 0)</f>
        <v/>
      </c>
      <c r="Z29" s="14">
        <f>IFERROR(VLOOKUP(A29, IP Qty!$D:$R, 6, FALSE), 0)</f>
        <v/>
      </c>
      <c r="AA29">
        <f>IFERROR(VLOOKUP(A29, IP Qty!$D:$R, 7, FALSE), 0)</f>
        <v/>
      </c>
      <c r="AB29">
        <f>IFERROR(VLOOKUP(A29, IP Qty!$D:$R, 9, FALSE), 0)</f>
        <v/>
      </c>
      <c r="AC29">
        <f>IFERROR(VLOOKUP(A29, IP Qty!$D:$R, 8, FALSE), 0)</f>
        <v/>
      </c>
      <c r="AD29" s="14">
        <f>IFERROR(VLOOKUP(A29, KEEPA!$A:$AW, 34, FALSE), 0)</f>
        <v/>
      </c>
      <c r="AE29" s="15">
        <f>IF(P29&gt;1, ((((M29&gt;=$AD$2)*(L29&gt;=$AH$2)) + ((M29&lt;$AD$2)*(M29&gt;=$AE$2)*(L29&gt;=$AG$2)) + ((M29&lt;$AE$2)*(M29&gt;=$AC$2)*(L29&gt;=0)))*2 * IF($AI$2=0, 1, AI29&lt;=$AI$2) * IF($AK$2=0, 1, AK29&lt;=$AK$2) * AND(N29&gt;=$D$1, H29&lt;=$I$2, G29&gt;=$H$2)), ((((M29&gt;=$AD$2)*(L29&gt;=$AH$2)) + ((M29&lt;$AD$2)*(M29&gt;=$AE$2)*(L29&gt;=$AG$2)) + ((M29&lt;$AE$2)*(M29&gt;=$AC$2)*(L29&gt;=0))) * IF($AI$2=0, 1, AI29&lt;=$AI$2) * IF($AK$2=0, 1, AK29&lt;=$AK$2) * AND(N29&gt;=$D$1, H29&lt;=$I$2, G29&gt;=$H$2)))</f>
        <v/>
      </c>
      <c r="AF29">
        <f>IF(AE29&gt;0, 1, 0)</f>
        <v/>
      </c>
      <c r="AG29">
        <f>IFERROR(IF(ISNUMBER(W29), IF(AN29, N29*W29*$AN$2, N29*W29), NA()), NA())</f>
        <v/>
      </c>
      <c r="AH29" s="13">
        <f>IFERROR(MIN(AG29, $U$2), 0)</f>
        <v/>
      </c>
      <c r="AI29" s="14">
        <f>IFERROR(VLOOKUP(A29, KEEPA!$A:$AW, 26, FALSE), 0)</f>
        <v/>
      </c>
      <c r="AJ29" s="16">
        <f>IFERROR(IF(AI29=0, 0, (AI29-H29)/H29), 0)</f>
        <v/>
      </c>
      <c r="AK29" s="14">
        <f>IFERROR(VLOOKUP(A29, KEEPA!$A:$AW, 28, FALSE), 0)</f>
        <v/>
      </c>
      <c r="AL29" s="16">
        <f>IFERROR(IF(AK29=0, 0, (AK29-H29)/H29), 0)</f>
        <v/>
      </c>
      <c r="AM29" s="13">
        <f>IFERROR(VLOOKUP(A29, AZInsight_Data!$A:$AS, 34, FALSE), 0)</f>
        <v/>
      </c>
      <c r="AN29">
        <f>IFERROR(AND(VLOOKUP(A29, KEEPA!$A:$AW, 2, FALSE)&lt;=$AO$2, N29 &gt;= $AM$2), FALSE)</f>
        <v/>
      </c>
      <c r="AO29" s="16">
        <f>IFERROR(VLOOKUP(A29, KEEPA!$A:$AW, 24, FALSE), 0)</f>
        <v/>
      </c>
      <c r="AP29" s="16">
        <f>IFERROR(VLOOKUP(A29, KEEPA!$A:$AW, 48, FALSE), 0)</f>
        <v/>
      </c>
      <c r="AQ29">
        <f>IFERROR(VLOOKUP(A29, AZInsight_Data!$A:$AS, 5, FALSE), "SL")</f>
        <v/>
      </c>
      <c r="AR29">
        <f>IF(OR(A29="", A29=0), "", HYPERLINK("https://keepa.com/#!product/1-"&amp;A29, "Keepa"))</f>
        <v/>
      </c>
      <c r="AS29">
        <f>IF(OR(A29="", A29=0), "", HYPERLINK("https://www.amazon.com/dp/"&amp;A29, "Amazon"))</f>
        <v/>
      </c>
      <c r="AT29">
        <f>IF(OR(A29="", A29=0), "", HYPERLINK("https://sellercentral.amazon.com/product-search/search?q="&amp;A29, "Check Gated"))</f>
        <v/>
      </c>
      <c r="AU29" s="12" t="n"/>
      <c r="AV29" s="12" t="n"/>
      <c r="AW29" s="12" t="n"/>
    </row>
    <row r="30">
      <c r="A30" s="12" t="n"/>
      <c r="B30" s="12">
        <f>IFERROR(VLOOKUP(A30, AZInsight_Data!$A:$AS, 3, FALSE), "")</f>
        <v/>
      </c>
      <c r="C30" s="13">
        <f>IFERROR(VLOOKUP(A30, AZInsight_Data!$A:$AS, 9, FALSE), 0)</f>
        <v/>
      </c>
      <c r="D30">
        <f>IFERROR(VLOOKUP(A30, AZInsight_Data!$A:$AS, 17, FALSE), 0)</f>
        <v/>
      </c>
      <c r="E30">
        <f>IFERROR(VLOOKUP(A30, AZInsight_Data!$A:$AS, 18, FALSE), 0)</f>
        <v/>
      </c>
      <c r="F30" s="14">
        <f>IFERROR(VLOOKUP(A30, AZInsight_Data!$A:$AS, 7, FALSE), 0)</f>
        <v/>
      </c>
      <c r="G30" s="15">
        <f>IFERROR(VLOOKUP(A30, AZInsight_Data!$A:$AS, 14, FALSE), 0)</f>
        <v/>
      </c>
      <c r="H30" s="14">
        <f>IFERROR(VLOOKUP(A30, AZInsight_Data!$A:$AS, 8, FALSE), 0)</f>
        <v/>
      </c>
      <c r="I30" s="16">
        <f>IFERROR(VLOOKUP(A30, KEEPA!$A:$AW, 47, FALSE), 0)</f>
        <v/>
      </c>
      <c r="J30">
        <f>IFERROR(VLOOKUP(A30, AZInsight_Data!$A:$AS, 25, FALSE), 0)</f>
        <v/>
      </c>
      <c r="K30" s="15">
        <f>IFERROR(VLOOKUP(A30, AZInsight_Data!$A:$AS, 16, FALSE), 0)</f>
        <v/>
      </c>
      <c r="L30" s="15">
        <f>IFERROR(K30-T30-J30, 0)</f>
        <v/>
      </c>
      <c r="M30" s="16">
        <f>IFERROR(IF(T30=0, 0, L30/T30), 0)</f>
        <v/>
      </c>
      <c r="N30" s="14">
        <f>IFERROR(C30*($V$2/30), 0)</f>
        <v/>
      </c>
      <c r="O30">
        <f>IFERROR(VLOOKUP(A30, AZInsight_Data!$A:$AS, 40, FALSE), 1)</f>
        <v/>
      </c>
      <c r="P30" s="13">
        <f>IF(O30&gt;0, O30, 1)</f>
        <v/>
      </c>
      <c r="Q30" s="13">
        <f>IFERROR(U30/P30, 0)</f>
        <v/>
      </c>
      <c r="R30">
        <f>IFERROR(VLOOKUP(A30, AZInsight_Data!$A:$AS, 36, FALSE), "")</f>
        <v/>
      </c>
      <c r="S30">
        <f>IFERROR(VLOOKUP(A30, AZInsight_Data!$A:$AS, 3, FALSE), "")</f>
        <v/>
      </c>
      <c r="T30" s="17">
        <f>IFERROR(VLOOKUP(A30, AZInsight_Data!$A:$AS, 13, FALSE), 0)</f>
        <v/>
      </c>
      <c r="U30" s="13">
        <f>AH30</f>
        <v/>
      </c>
      <c r="V30" s="15">
        <f>T30*U30</f>
        <v/>
      </c>
      <c r="W30" s="16" t="n"/>
      <c r="X30" s="12">
        <f>IFERROR(VLOOKUP(A30, AZInsight_Data!$A:$AS, 40, FALSE), 1)</f>
        <v/>
      </c>
      <c r="Y30" s="13">
        <f>IFERROR(VLOOKUP(A30, IP Qty!$D:$R, 5, FALSE), 0)</f>
        <v/>
      </c>
      <c r="Z30" s="14">
        <f>IFERROR(VLOOKUP(A30, IP Qty!$D:$R, 6, FALSE), 0)</f>
        <v/>
      </c>
      <c r="AA30">
        <f>IFERROR(VLOOKUP(A30, IP Qty!$D:$R, 7, FALSE), 0)</f>
        <v/>
      </c>
      <c r="AB30">
        <f>IFERROR(VLOOKUP(A30, IP Qty!$D:$R, 9, FALSE), 0)</f>
        <v/>
      </c>
      <c r="AC30">
        <f>IFERROR(VLOOKUP(A30, IP Qty!$D:$R, 8, FALSE), 0)</f>
        <v/>
      </c>
      <c r="AD30" s="14">
        <f>IFERROR(VLOOKUP(A30, KEEPA!$A:$AW, 34, FALSE), 0)</f>
        <v/>
      </c>
      <c r="AE30" s="15">
        <f>IF(P30&gt;1, ((((M30&gt;=$AD$2)*(L30&gt;=$AH$2)) + ((M30&lt;$AD$2)*(M30&gt;=$AE$2)*(L30&gt;=$AG$2)) + ((M30&lt;$AE$2)*(M30&gt;=$AC$2)*(L30&gt;=0)))*2 * IF($AI$2=0, 1, AI30&lt;=$AI$2) * IF($AK$2=0, 1, AK30&lt;=$AK$2) * AND(N30&gt;=$D$1, H30&lt;=$I$2, G30&gt;=$H$2)), ((((M30&gt;=$AD$2)*(L30&gt;=$AH$2)) + ((M30&lt;$AD$2)*(M30&gt;=$AE$2)*(L30&gt;=$AG$2)) + ((M30&lt;$AE$2)*(M30&gt;=$AC$2)*(L30&gt;=0))) * IF($AI$2=0, 1, AI30&lt;=$AI$2) * IF($AK$2=0, 1, AK30&lt;=$AK$2) * AND(N30&gt;=$D$1, H30&lt;=$I$2, G30&gt;=$H$2)))</f>
        <v/>
      </c>
      <c r="AF30">
        <f>IF(AE30&gt;0, 1, 0)</f>
        <v/>
      </c>
      <c r="AG30">
        <f>IFERROR(IF(ISNUMBER(W30), IF(AN30, N30*W30*$AN$2, N30*W30), NA()), NA())</f>
        <v/>
      </c>
      <c r="AH30" s="13">
        <f>IFERROR(MIN(AG30, $U$2), 0)</f>
        <v/>
      </c>
      <c r="AI30" s="14">
        <f>IFERROR(VLOOKUP(A30, KEEPA!$A:$AW, 26, FALSE), 0)</f>
        <v/>
      </c>
      <c r="AJ30" s="16">
        <f>IFERROR(IF(AI30=0, 0, (AI30-H30)/H30), 0)</f>
        <v/>
      </c>
      <c r="AK30" s="14">
        <f>IFERROR(VLOOKUP(A30, KEEPA!$A:$AW, 28, FALSE), 0)</f>
        <v/>
      </c>
      <c r="AL30" s="16">
        <f>IFERROR(IF(AK30=0, 0, (AK30-H30)/H30), 0)</f>
        <v/>
      </c>
      <c r="AM30" s="13">
        <f>IFERROR(VLOOKUP(A30, AZInsight_Data!$A:$AS, 34, FALSE), 0)</f>
        <v/>
      </c>
      <c r="AN30">
        <f>IFERROR(AND(VLOOKUP(A30, KEEPA!$A:$AW, 2, FALSE)&lt;=$AO$2, N30 &gt;= $AM$2), FALSE)</f>
        <v/>
      </c>
      <c r="AO30" s="16">
        <f>IFERROR(VLOOKUP(A30, KEEPA!$A:$AW, 24, FALSE), 0)</f>
        <v/>
      </c>
      <c r="AP30" s="16">
        <f>IFERROR(VLOOKUP(A30, KEEPA!$A:$AW, 48, FALSE), 0)</f>
        <v/>
      </c>
      <c r="AQ30">
        <f>IFERROR(VLOOKUP(A30, AZInsight_Data!$A:$AS, 5, FALSE), "SL")</f>
        <v/>
      </c>
      <c r="AR30">
        <f>IF(OR(A30="", A30=0), "", HYPERLINK("https://keepa.com/#!product/1-"&amp;A30, "Keepa"))</f>
        <v/>
      </c>
      <c r="AS30">
        <f>IF(OR(A30="", A30=0), "", HYPERLINK("https://www.amazon.com/dp/"&amp;A30, "Amazon"))</f>
        <v/>
      </c>
      <c r="AT30">
        <f>IF(OR(A30="", A30=0), "", HYPERLINK("https://sellercentral.amazon.com/product-search/search?q="&amp;A30, "Check Gated"))</f>
        <v/>
      </c>
      <c r="AU30" s="12" t="n"/>
      <c r="AV30" s="12" t="n"/>
      <c r="AW30" s="12" t="n"/>
    </row>
    <row r="31">
      <c r="A31" s="12" t="n"/>
      <c r="B31" s="12">
        <f>IFERROR(VLOOKUP(A31, AZInsight_Data!$A:$AS, 3, FALSE), "")</f>
        <v/>
      </c>
      <c r="C31" s="13">
        <f>IFERROR(VLOOKUP(A31, AZInsight_Data!$A:$AS, 9, FALSE), 0)</f>
        <v/>
      </c>
      <c r="D31">
        <f>IFERROR(VLOOKUP(A31, AZInsight_Data!$A:$AS, 17, FALSE), 0)</f>
        <v/>
      </c>
      <c r="E31">
        <f>IFERROR(VLOOKUP(A31, AZInsight_Data!$A:$AS, 18, FALSE), 0)</f>
        <v/>
      </c>
      <c r="F31" s="14">
        <f>IFERROR(VLOOKUP(A31, AZInsight_Data!$A:$AS, 7, FALSE), 0)</f>
        <v/>
      </c>
      <c r="G31" s="15">
        <f>IFERROR(VLOOKUP(A31, AZInsight_Data!$A:$AS, 14, FALSE), 0)</f>
        <v/>
      </c>
      <c r="H31" s="14">
        <f>IFERROR(VLOOKUP(A31, AZInsight_Data!$A:$AS, 8, FALSE), 0)</f>
        <v/>
      </c>
      <c r="I31" s="16">
        <f>IFERROR(VLOOKUP(A31, KEEPA!$A:$AW, 47, FALSE), 0)</f>
        <v/>
      </c>
      <c r="J31">
        <f>IFERROR(VLOOKUP(A31, AZInsight_Data!$A:$AS, 25, FALSE), 0)</f>
        <v/>
      </c>
      <c r="K31" s="15">
        <f>IFERROR(VLOOKUP(A31, AZInsight_Data!$A:$AS, 16, FALSE), 0)</f>
        <v/>
      </c>
      <c r="L31" s="15">
        <f>IFERROR(K31-T31-J31, 0)</f>
        <v/>
      </c>
      <c r="M31" s="16">
        <f>IFERROR(IF(T31=0, 0, L31/T31), 0)</f>
        <v/>
      </c>
      <c r="N31" s="14">
        <f>IFERROR(C31*($V$2/30), 0)</f>
        <v/>
      </c>
      <c r="O31">
        <f>IFERROR(VLOOKUP(A31, AZInsight_Data!$A:$AS, 40, FALSE), 1)</f>
        <v/>
      </c>
      <c r="P31" s="13">
        <f>IF(O31&gt;0, O31, 1)</f>
        <v/>
      </c>
      <c r="Q31" s="13">
        <f>IFERROR(U31/P31, 0)</f>
        <v/>
      </c>
      <c r="R31">
        <f>IFERROR(VLOOKUP(A31, AZInsight_Data!$A:$AS, 36, FALSE), "")</f>
        <v/>
      </c>
      <c r="S31">
        <f>IFERROR(VLOOKUP(A31, AZInsight_Data!$A:$AS, 3, FALSE), "")</f>
        <v/>
      </c>
      <c r="T31" s="17">
        <f>IFERROR(VLOOKUP(A31, AZInsight_Data!$A:$AS, 13, FALSE), 0)</f>
        <v/>
      </c>
      <c r="U31" s="13">
        <f>AH31</f>
        <v/>
      </c>
      <c r="V31" s="15">
        <f>T31*U31</f>
        <v/>
      </c>
      <c r="W31" s="16" t="n"/>
      <c r="X31" s="12">
        <f>IFERROR(VLOOKUP(A31, AZInsight_Data!$A:$AS, 40, FALSE), 1)</f>
        <v/>
      </c>
      <c r="Y31" s="13">
        <f>IFERROR(VLOOKUP(A31, IP Qty!$D:$R, 5, FALSE), 0)</f>
        <v/>
      </c>
      <c r="Z31" s="14">
        <f>IFERROR(VLOOKUP(A31, IP Qty!$D:$R, 6, FALSE), 0)</f>
        <v/>
      </c>
      <c r="AA31">
        <f>IFERROR(VLOOKUP(A31, IP Qty!$D:$R, 7, FALSE), 0)</f>
        <v/>
      </c>
      <c r="AB31">
        <f>IFERROR(VLOOKUP(A31, IP Qty!$D:$R, 9, FALSE), 0)</f>
        <v/>
      </c>
      <c r="AC31">
        <f>IFERROR(VLOOKUP(A31, IP Qty!$D:$R, 8, FALSE), 0)</f>
        <v/>
      </c>
      <c r="AD31" s="14">
        <f>IFERROR(VLOOKUP(A31, KEEPA!$A:$AW, 34, FALSE), 0)</f>
        <v/>
      </c>
      <c r="AE31" s="15">
        <f>IF(P31&gt;1, ((((M31&gt;=$AD$2)*(L31&gt;=$AH$2)) + ((M31&lt;$AD$2)*(M31&gt;=$AE$2)*(L31&gt;=$AG$2)) + ((M31&lt;$AE$2)*(M31&gt;=$AC$2)*(L31&gt;=0)))*2 * IF($AI$2=0, 1, AI31&lt;=$AI$2) * IF($AK$2=0, 1, AK31&lt;=$AK$2) * AND(N31&gt;=$D$1, H31&lt;=$I$2, G31&gt;=$H$2)), ((((M31&gt;=$AD$2)*(L31&gt;=$AH$2)) + ((M31&lt;$AD$2)*(M31&gt;=$AE$2)*(L31&gt;=$AG$2)) + ((M31&lt;$AE$2)*(M31&gt;=$AC$2)*(L31&gt;=0))) * IF($AI$2=0, 1, AI31&lt;=$AI$2) * IF($AK$2=0, 1, AK31&lt;=$AK$2) * AND(N31&gt;=$D$1, H31&lt;=$I$2, G31&gt;=$H$2)))</f>
        <v/>
      </c>
      <c r="AF31">
        <f>IF(AE31&gt;0, 1, 0)</f>
        <v/>
      </c>
      <c r="AG31">
        <f>IFERROR(IF(ISNUMBER(W31), IF(AN31, N31*W31*$AN$2, N31*W31), NA()), NA())</f>
        <v/>
      </c>
      <c r="AH31" s="13">
        <f>IFERROR(MIN(AG31, $U$2), 0)</f>
        <v/>
      </c>
      <c r="AI31" s="14">
        <f>IFERROR(VLOOKUP(A31, KEEPA!$A:$AW, 26, FALSE), 0)</f>
        <v/>
      </c>
      <c r="AJ31" s="16">
        <f>IFERROR(IF(AI31=0, 0, (AI31-H31)/H31), 0)</f>
        <v/>
      </c>
      <c r="AK31" s="14">
        <f>IFERROR(VLOOKUP(A31, KEEPA!$A:$AW, 28, FALSE), 0)</f>
        <v/>
      </c>
      <c r="AL31" s="16">
        <f>IFERROR(IF(AK31=0, 0, (AK31-H31)/H31), 0)</f>
        <v/>
      </c>
      <c r="AM31" s="13">
        <f>IFERROR(VLOOKUP(A31, AZInsight_Data!$A:$AS, 34, FALSE), 0)</f>
        <v/>
      </c>
      <c r="AN31">
        <f>IFERROR(AND(VLOOKUP(A31, KEEPA!$A:$AW, 2, FALSE)&lt;=$AO$2, N31 &gt;= $AM$2), FALSE)</f>
        <v/>
      </c>
      <c r="AO31" s="16">
        <f>IFERROR(VLOOKUP(A31, KEEPA!$A:$AW, 24, FALSE), 0)</f>
        <v/>
      </c>
      <c r="AP31" s="16">
        <f>IFERROR(VLOOKUP(A31, KEEPA!$A:$AW, 48, FALSE), 0)</f>
        <v/>
      </c>
      <c r="AQ31">
        <f>IFERROR(VLOOKUP(A31, AZInsight_Data!$A:$AS, 5, FALSE), "SL")</f>
        <v/>
      </c>
      <c r="AR31">
        <f>IF(OR(A31="", A31=0), "", HYPERLINK("https://keepa.com/#!product/1-"&amp;A31, "Keepa"))</f>
        <v/>
      </c>
      <c r="AS31">
        <f>IF(OR(A31="", A31=0), "", HYPERLINK("https://www.amazon.com/dp/"&amp;A31, "Amazon"))</f>
        <v/>
      </c>
      <c r="AT31">
        <f>IF(OR(A31="", A31=0), "", HYPERLINK("https://sellercentral.amazon.com/product-search/search?q="&amp;A31, "Check Gated"))</f>
        <v/>
      </c>
      <c r="AU31" s="12" t="n"/>
      <c r="AV31" s="12" t="n"/>
      <c r="AW31" s="12" t="n"/>
    </row>
    <row r="32">
      <c r="A32" s="12" t="n"/>
      <c r="B32" s="12">
        <f>IFERROR(VLOOKUP(A32, AZInsight_Data!$A:$AS, 3, FALSE), "")</f>
        <v/>
      </c>
      <c r="C32" s="13">
        <f>IFERROR(VLOOKUP(A32, AZInsight_Data!$A:$AS, 9, FALSE), 0)</f>
        <v/>
      </c>
      <c r="D32">
        <f>IFERROR(VLOOKUP(A32, AZInsight_Data!$A:$AS, 17, FALSE), 0)</f>
        <v/>
      </c>
      <c r="E32">
        <f>IFERROR(VLOOKUP(A32, AZInsight_Data!$A:$AS, 18, FALSE), 0)</f>
        <v/>
      </c>
      <c r="F32" s="14">
        <f>IFERROR(VLOOKUP(A32, AZInsight_Data!$A:$AS, 7, FALSE), 0)</f>
        <v/>
      </c>
      <c r="G32" s="15">
        <f>IFERROR(VLOOKUP(A32, AZInsight_Data!$A:$AS, 14, FALSE), 0)</f>
        <v/>
      </c>
      <c r="H32" s="14">
        <f>IFERROR(VLOOKUP(A32, AZInsight_Data!$A:$AS, 8, FALSE), 0)</f>
        <v/>
      </c>
      <c r="I32" s="16">
        <f>IFERROR(VLOOKUP(A32, KEEPA!$A:$AW, 47, FALSE), 0)</f>
        <v/>
      </c>
      <c r="J32">
        <f>IFERROR(VLOOKUP(A32, AZInsight_Data!$A:$AS, 25, FALSE), 0)</f>
        <v/>
      </c>
      <c r="K32" s="15">
        <f>IFERROR(VLOOKUP(A32, AZInsight_Data!$A:$AS, 16, FALSE), 0)</f>
        <v/>
      </c>
      <c r="L32" s="15">
        <f>IFERROR(K32-T32-J32, 0)</f>
        <v/>
      </c>
      <c r="M32" s="16">
        <f>IFERROR(IF(T32=0, 0, L32/T32), 0)</f>
        <v/>
      </c>
      <c r="N32" s="14">
        <f>IFERROR(C32*($V$2/30), 0)</f>
        <v/>
      </c>
      <c r="O32">
        <f>IFERROR(VLOOKUP(A32, AZInsight_Data!$A:$AS, 40, FALSE), 1)</f>
        <v/>
      </c>
      <c r="P32" s="13">
        <f>IF(O32&gt;0, O32, 1)</f>
        <v/>
      </c>
      <c r="Q32" s="13">
        <f>IFERROR(U32/P32, 0)</f>
        <v/>
      </c>
      <c r="R32">
        <f>IFERROR(VLOOKUP(A32, AZInsight_Data!$A:$AS, 36, FALSE), "")</f>
        <v/>
      </c>
      <c r="S32">
        <f>IFERROR(VLOOKUP(A32, AZInsight_Data!$A:$AS, 3, FALSE), "")</f>
        <v/>
      </c>
      <c r="T32" s="17">
        <f>IFERROR(VLOOKUP(A32, AZInsight_Data!$A:$AS, 13, FALSE), 0)</f>
        <v/>
      </c>
      <c r="U32" s="13">
        <f>AH32</f>
        <v/>
      </c>
      <c r="V32" s="15">
        <f>T32*U32</f>
        <v/>
      </c>
      <c r="W32" s="16" t="n"/>
      <c r="X32" s="12">
        <f>IFERROR(VLOOKUP(A32, AZInsight_Data!$A:$AS, 40, FALSE), 1)</f>
        <v/>
      </c>
      <c r="Y32" s="13">
        <f>IFERROR(VLOOKUP(A32, IP Qty!$D:$R, 5, FALSE), 0)</f>
        <v/>
      </c>
      <c r="Z32" s="14">
        <f>IFERROR(VLOOKUP(A32, IP Qty!$D:$R, 6, FALSE), 0)</f>
        <v/>
      </c>
      <c r="AA32">
        <f>IFERROR(VLOOKUP(A32, IP Qty!$D:$R, 7, FALSE), 0)</f>
        <v/>
      </c>
      <c r="AB32">
        <f>IFERROR(VLOOKUP(A32, IP Qty!$D:$R, 9, FALSE), 0)</f>
        <v/>
      </c>
      <c r="AC32">
        <f>IFERROR(VLOOKUP(A32, IP Qty!$D:$R, 8, FALSE), 0)</f>
        <v/>
      </c>
      <c r="AD32" s="14">
        <f>IFERROR(VLOOKUP(A32, KEEPA!$A:$AW, 34, FALSE), 0)</f>
        <v/>
      </c>
      <c r="AE32" s="15">
        <f>IF(P32&gt;1, ((((M32&gt;=$AD$2)*(L32&gt;=$AH$2)) + ((M32&lt;$AD$2)*(M32&gt;=$AE$2)*(L32&gt;=$AG$2)) + ((M32&lt;$AE$2)*(M32&gt;=$AC$2)*(L32&gt;=0)))*2 * IF($AI$2=0, 1, AI32&lt;=$AI$2) * IF($AK$2=0, 1, AK32&lt;=$AK$2) * AND(N32&gt;=$D$1, H32&lt;=$I$2, G32&gt;=$H$2)), ((((M32&gt;=$AD$2)*(L32&gt;=$AH$2)) + ((M32&lt;$AD$2)*(M32&gt;=$AE$2)*(L32&gt;=$AG$2)) + ((M32&lt;$AE$2)*(M32&gt;=$AC$2)*(L32&gt;=0))) * IF($AI$2=0, 1, AI32&lt;=$AI$2) * IF($AK$2=0, 1, AK32&lt;=$AK$2) * AND(N32&gt;=$D$1, H32&lt;=$I$2, G32&gt;=$H$2)))</f>
        <v/>
      </c>
      <c r="AF32">
        <f>IF(AE32&gt;0, 1, 0)</f>
        <v/>
      </c>
      <c r="AG32">
        <f>IFERROR(IF(ISNUMBER(W32), IF(AN32, N32*W32*$AN$2, N32*W32), NA()), NA())</f>
        <v/>
      </c>
      <c r="AH32" s="13">
        <f>IFERROR(MIN(AG32, $U$2), 0)</f>
        <v/>
      </c>
      <c r="AI32" s="14">
        <f>IFERROR(VLOOKUP(A32, KEEPA!$A:$AW, 26, FALSE), 0)</f>
        <v/>
      </c>
      <c r="AJ32" s="16">
        <f>IFERROR(IF(AI32=0, 0, (AI32-H32)/H32), 0)</f>
        <v/>
      </c>
      <c r="AK32" s="14">
        <f>IFERROR(VLOOKUP(A32, KEEPA!$A:$AW, 28, FALSE), 0)</f>
        <v/>
      </c>
      <c r="AL32" s="16">
        <f>IFERROR(IF(AK32=0, 0, (AK32-H32)/H32), 0)</f>
        <v/>
      </c>
      <c r="AM32" s="13">
        <f>IFERROR(VLOOKUP(A32, AZInsight_Data!$A:$AS, 34, FALSE), 0)</f>
        <v/>
      </c>
      <c r="AN32">
        <f>IFERROR(AND(VLOOKUP(A32, KEEPA!$A:$AW, 2, FALSE)&lt;=$AO$2, N32 &gt;= $AM$2), FALSE)</f>
        <v/>
      </c>
      <c r="AO32" s="16">
        <f>IFERROR(VLOOKUP(A32, KEEPA!$A:$AW, 24, FALSE), 0)</f>
        <v/>
      </c>
      <c r="AP32" s="16">
        <f>IFERROR(VLOOKUP(A32, KEEPA!$A:$AW, 48, FALSE), 0)</f>
        <v/>
      </c>
      <c r="AQ32">
        <f>IFERROR(VLOOKUP(A32, AZInsight_Data!$A:$AS, 5, FALSE), "SL")</f>
        <v/>
      </c>
      <c r="AR32">
        <f>IF(OR(A32="", A32=0), "", HYPERLINK("https://keepa.com/#!product/1-"&amp;A32, "Keepa"))</f>
        <v/>
      </c>
      <c r="AS32">
        <f>IF(OR(A32="", A32=0), "", HYPERLINK("https://www.amazon.com/dp/"&amp;A32, "Amazon"))</f>
        <v/>
      </c>
      <c r="AT32">
        <f>IF(OR(A32="", A32=0), "", HYPERLINK("https://sellercentral.amazon.com/product-search/search?q="&amp;A32, "Check Gated"))</f>
        <v/>
      </c>
      <c r="AU32" s="12" t="n"/>
      <c r="AV32" s="12" t="n"/>
      <c r="AW32" s="12" t="n"/>
    </row>
    <row r="33">
      <c r="A33" s="12" t="n"/>
      <c r="B33" s="12">
        <f>IFERROR(VLOOKUP(A33, AZInsight_Data!$A:$AS, 3, FALSE), "")</f>
        <v/>
      </c>
      <c r="C33" s="13">
        <f>IFERROR(VLOOKUP(A33, AZInsight_Data!$A:$AS, 9, FALSE), 0)</f>
        <v/>
      </c>
      <c r="D33">
        <f>IFERROR(VLOOKUP(A33, AZInsight_Data!$A:$AS, 17, FALSE), 0)</f>
        <v/>
      </c>
      <c r="E33">
        <f>IFERROR(VLOOKUP(A33, AZInsight_Data!$A:$AS, 18, FALSE), 0)</f>
        <v/>
      </c>
      <c r="F33" s="14">
        <f>IFERROR(VLOOKUP(A33, AZInsight_Data!$A:$AS, 7, FALSE), 0)</f>
        <v/>
      </c>
      <c r="G33" s="15">
        <f>IFERROR(VLOOKUP(A33, AZInsight_Data!$A:$AS, 14, FALSE), 0)</f>
        <v/>
      </c>
      <c r="H33" s="14">
        <f>IFERROR(VLOOKUP(A33, AZInsight_Data!$A:$AS, 8, FALSE), 0)</f>
        <v/>
      </c>
      <c r="I33" s="16">
        <f>IFERROR(VLOOKUP(A33, KEEPA!$A:$AW, 47, FALSE), 0)</f>
        <v/>
      </c>
      <c r="J33">
        <f>IFERROR(VLOOKUP(A33, AZInsight_Data!$A:$AS, 25, FALSE), 0)</f>
        <v/>
      </c>
      <c r="K33" s="15">
        <f>IFERROR(VLOOKUP(A33, AZInsight_Data!$A:$AS, 16, FALSE), 0)</f>
        <v/>
      </c>
      <c r="L33" s="15">
        <f>IFERROR(K33-T33-J33, 0)</f>
        <v/>
      </c>
      <c r="M33" s="16">
        <f>IFERROR(IF(T33=0, 0, L33/T33), 0)</f>
        <v/>
      </c>
      <c r="N33" s="14">
        <f>IFERROR(C33*($V$2/30), 0)</f>
        <v/>
      </c>
      <c r="O33">
        <f>IFERROR(VLOOKUP(A33, AZInsight_Data!$A:$AS, 40, FALSE), 1)</f>
        <v/>
      </c>
      <c r="P33" s="13">
        <f>IF(O33&gt;0, O33, 1)</f>
        <v/>
      </c>
      <c r="Q33" s="13">
        <f>IFERROR(U33/P33, 0)</f>
        <v/>
      </c>
      <c r="R33">
        <f>IFERROR(VLOOKUP(A33, AZInsight_Data!$A:$AS, 36, FALSE), "")</f>
        <v/>
      </c>
      <c r="S33">
        <f>IFERROR(VLOOKUP(A33, AZInsight_Data!$A:$AS, 3, FALSE), "")</f>
        <v/>
      </c>
      <c r="T33" s="17">
        <f>IFERROR(VLOOKUP(A33, AZInsight_Data!$A:$AS, 13, FALSE), 0)</f>
        <v/>
      </c>
      <c r="U33" s="13">
        <f>AH33</f>
        <v/>
      </c>
      <c r="V33" s="15">
        <f>T33*U33</f>
        <v/>
      </c>
      <c r="W33" s="16" t="n"/>
      <c r="X33" s="12">
        <f>IFERROR(VLOOKUP(A33, AZInsight_Data!$A:$AS, 40, FALSE), 1)</f>
        <v/>
      </c>
      <c r="Y33" s="13">
        <f>IFERROR(VLOOKUP(A33, IP Qty!$D:$R, 5, FALSE), 0)</f>
        <v/>
      </c>
      <c r="Z33" s="14">
        <f>IFERROR(VLOOKUP(A33, IP Qty!$D:$R, 6, FALSE), 0)</f>
        <v/>
      </c>
      <c r="AA33">
        <f>IFERROR(VLOOKUP(A33, IP Qty!$D:$R, 7, FALSE), 0)</f>
        <v/>
      </c>
      <c r="AB33">
        <f>IFERROR(VLOOKUP(A33, IP Qty!$D:$R, 9, FALSE), 0)</f>
        <v/>
      </c>
      <c r="AC33">
        <f>IFERROR(VLOOKUP(A33, IP Qty!$D:$R, 8, FALSE), 0)</f>
        <v/>
      </c>
      <c r="AD33" s="14">
        <f>IFERROR(VLOOKUP(A33, KEEPA!$A:$AW, 34, FALSE), 0)</f>
        <v/>
      </c>
      <c r="AE33" s="15">
        <f>IF(P33&gt;1, ((((M33&gt;=$AD$2)*(L33&gt;=$AH$2)) + ((M33&lt;$AD$2)*(M33&gt;=$AE$2)*(L33&gt;=$AG$2)) + ((M33&lt;$AE$2)*(M33&gt;=$AC$2)*(L33&gt;=0)))*2 * IF($AI$2=0, 1, AI33&lt;=$AI$2) * IF($AK$2=0, 1, AK33&lt;=$AK$2) * AND(N33&gt;=$D$1, H33&lt;=$I$2, G33&gt;=$H$2)), ((((M33&gt;=$AD$2)*(L33&gt;=$AH$2)) + ((M33&lt;$AD$2)*(M33&gt;=$AE$2)*(L33&gt;=$AG$2)) + ((M33&lt;$AE$2)*(M33&gt;=$AC$2)*(L33&gt;=0))) * IF($AI$2=0, 1, AI33&lt;=$AI$2) * IF($AK$2=0, 1, AK33&lt;=$AK$2) * AND(N33&gt;=$D$1, H33&lt;=$I$2, G33&gt;=$H$2)))</f>
        <v/>
      </c>
      <c r="AF33">
        <f>IF(AE33&gt;0, 1, 0)</f>
        <v/>
      </c>
      <c r="AG33">
        <f>IFERROR(IF(ISNUMBER(W33), IF(AN33, N33*W33*$AN$2, N33*W33), NA()), NA())</f>
        <v/>
      </c>
      <c r="AH33" s="13">
        <f>IFERROR(MIN(AG33, $U$2), 0)</f>
        <v/>
      </c>
      <c r="AI33" s="14">
        <f>IFERROR(VLOOKUP(A33, KEEPA!$A:$AW, 26, FALSE), 0)</f>
        <v/>
      </c>
      <c r="AJ33" s="16">
        <f>IFERROR(IF(AI33=0, 0, (AI33-H33)/H33), 0)</f>
        <v/>
      </c>
      <c r="AK33" s="14">
        <f>IFERROR(VLOOKUP(A33, KEEPA!$A:$AW, 28, FALSE), 0)</f>
        <v/>
      </c>
      <c r="AL33" s="16">
        <f>IFERROR(IF(AK33=0, 0, (AK33-H33)/H33), 0)</f>
        <v/>
      </c>
      <c r="AM33" s="13">
        <f>IFERROR(VLOOKUP(A33, AZInsight_Data!$A:$AS, 34, FALSE), 0)</f>
        <v/>
      </c>
      <c r="AN33">
        <f>IFERROR(AND(VLOOKUP(A33, KEEPA!$A:$AW, 2, FALSE)&lt;=$AO$2, N33 &gt;= $AM$2), FALSE)</f>
        <v/>
      </c>
      <c r="AO33" s="16">
        <f>IFERROR(VLOOKUP(A33, KEEPA!$A:$AW, 24, FALSE), 0)</f>
        <v/>
      </c>
      <c r="AP33" s="16">
        <f>IFERROR(VLOOKUP(A33, KEEPA!$A:$AW, 48, FALSE), 0)</f>
        <v/>
      </c>
      <c r="AQ33">
        <f>IFERROR(VLOOKUP(A33, AZInsight_Data!$A:$AS, 5, FALSE), "SL")</f>
        <v/>
      </c>
      <c r="AR33">
        <f>IF(OR(A33="", A33=0), "", HYPERLINK("https://keepa.com/#!product/1-"&amp;A33, "Keepa"))</f>
        <v/>
      </c>
      <c r="AS33">
        <f>IF(OR(A33="", A33=0), "", HYPERLINK("https://www.amazon.com/dp/"&amp;A33, "Amazon"))</f>
        <v/>
      </c>
      <c r="AT33">
        <f>IF(OR(A33="", A33=0), "", HYPERLINK("https://sellercentral.amazon.com/product-search/search?q="&amp;A33, "Check Gated"))</f>
        <v/>
      </c>
      <c r="AU33" s="12" t="n"/>
      <c r="AV33" s="12" t="n"/>
      <c r="AW33" s="12" t="n"/>
    </row>
    <row r="34">
      <c r="A34" s="12" t="n"/>
      <c r="B34" s="12">
        <f>IFERROR(VLOOKUP(A34, AZInsight_Data!$A:$AS, 3, FALSE), "")</f>
        <v/>
      </c>
      <c r="C34" s="13">
        <f>IFERROR(VLOOKUP(A34, AZInsight_Data!$A:$AS, 9, FALSE), 0)</f>
        <v/>
      </c>
      <c r="D34">
        <f>IFERROR(VLOOKUP(A34, AZInsight_Data!$A:$AS, 17, FALSE), 0)</f>
        <v/>
      </c>
      <c r="E34">
        <f>IFERROR(VLOOKUP(A34, AZInsight_Data!$A:$AS, 18, FALSE), 0)</f>
        <v/>
      </c>
      <c r="F34" s="14">
        <f>IFERROR(VLOOKUP(A34, AZInsight_Data!$A:$AS, 7, FALSE), 0)</f>
        <v/>
      </c>
      <c r="G34" s="15">
        <f>IFERROR(VLOOKUP(A34, AZInsight_Data!$A:$AS, 14, FALSE), 0)</f>
        <v/>
      </c>
      <c r="H34" s="14">
        <f>IFERROR(VLOOKUP(A34, AZInsight_Data!$A:$AS, 8, FALSE), 0)</f>
        <v/>
      </c>
      <c r="I34" s="16">
        <f>IFERROR(VLOOKUP(A34, KEEPA!$A:$AW, 47, FALSE), 0)</f>
        <v/>
      </c>
      <c r="J34">
        <f>IFERROR(VLOOKUP(A34, AZInsight_Data!$A:$AS, 25, FALSE), 0)</f>
        <v/>
      </c>
      <c r="K34" s="15">
        <f>IFERROR(VLOOKUP(A34, AZInsight_Data!$A:$AS, 16, FALSE), 0)</f>
        <v/>
      </c>
      <c r="L34" s="15">
        <f>IFERROR(K34-T34-J34, 0)</f>
        <v/>
      </c>
      <c r="M34" s="16">
        <f>IFERROR(IF(T34=0, 0, L34/T34), 0)</f>
        <v/>
      </c>
      <c r="N34" s="14">
        <f>IFERROR(C34*($V$2/30), 0)</f>
        <v/>
      </c>
      <c r="O34">
        <f>IFERROR(VLOOKUP(A34, AZInsight_Data!$A:$AS, 40, FALSE), 1)</f>
        <v/>
      </c>
      <c r="P34" s="13">
        <f>IF(O34&gt;0, O34, 1)</f>
        <v/>
      </c>
      <c r="Q34" s="13">
        <f>IFERROR(U34/P34, 0)</f>
        <v/>
      </c>
      <c r="R34">
        <f>IFERROR(VLOOKUP(A34, AZInsight_Data!$A:$AS, 36, FALSE), "")</f>
        <v/>
      </c>
      <c r="S34">
        <f>IFERROR(VLOOKUP(A34, AZInsight_Data!$A:$AS, 3, FALSE), "")</f>
        <v/>
      </c>
      <c r="T34" s="17">
        <f>IFERROR(VLOOKUP(A34, AZInsight_Data!$A:$AS, 13, FALSE), 0)</f>
        <v/>
      </c>
      <c r="U34" s="13">
        <f>AH34</f>
        <v/>
      </c>
      <c r="V34" s="15">
        <f>T34*U34</f>
        <v/>
      </c>
      <c r="W34" s="16" t="n"/>
      <c r="X34" s="12">
        <f>IFERROR(VLOOKUP(A34, AZInsight_Data!$A:$AS, 40, FALSE), 1)</f>
        <v/>
      </c>
      <c r="Y34" s="13">
        <f>IFERROR(VLOOKUP(A34, IP Qty!$D:$R, 5, FALSE), 0)</f>
        <v/>
      </c>
      <c r="Z34" s="14">
        <f>IFERROR(VLOOKUP(A34, IP Qty!$D:$R, 6, FALSE), 0)</f>
        <v/>
      </c>
      <c r="AA34">
        <f>IFERROR(VLOOKUP(A34, IP Qty!$D:$R, 7, FALSE), 0)</f>
        <v/>
      </c>
      <c r="AB34">
        <f>IFERROR(VLOOKUP(A34, IP Qty!$D:$R, 9, FALSE), 0)</f>
        <v/>
      </c>
      <c r="AC34">
        <f>IFERROR(VLOOKUP(A34, IP Qty!$D:$R, 8, FALSE), 0)</f>
        <v/>
      </c>
      <c r="AD34" s="14">
        <f>IFERROR(VLOOKUP(A34, KEEPA!$A:$AW, 34, FALSE), 0)</f>
        <v/>
      </c>
      <c r="AE34" s="15">
        <f>IF(P34&gt;1, ((((M34&gt;=$AD$2)*(L34&gt;=$AH$2)) + ((M34&lt;$AD$2)*(M34&gt;=$AE$2)*(L34&gt;=$AG$2)) + ((M34&lt;$AE$2)*(M34&gt;=$AC$2)*(L34&gt;=0)))*2 * IF($AI$2=0, 1, AI34&lt;=$AI$2) * IF($AK$2=0, 1, AK34&lt;=$AK$2) * AND(N34&gt;=$D$1, H34&lt;=$I$2, G34&gt;=$H$2)), ((((M34&gt;=$AD$2)*(L34&gt;=$AH$2)) + ((M34&lt;$AD$2)*(M34&gt;=$AE$2)*(L34&gt;=$AG$2)) + ((M34&lt;$AE$2)*(M34&gt;=$AC$2)*(L34&gt;=0))) * IF($AI$2=0, 1, AI34&lt;=$AI$2) * IF($AK$2=0, 1, AK34&lt;=$AK$2) * AND(N34&gt;=$D$1, H34&lt;=$I$2, G34&gt;=$H$2)))</f>
        <v/>
      </c>
      <c r="AF34">
        <f>IF(AE34&gt;0, 1, 0)</f>
        <v/>
      </c>
      <c r="AG34">
        <f>IFERROR(IF(ISNUMBER(W34), IF(AN34, N34*W34*$AN$2, N34*W34), NA()), NA())</f>
        <v/>
      </c>
      <c r="AH34" s="13">
        <f>IFERROR(MIN(AG34, $U$2), 0)</f>
        <v/>
      </c>
      <c r="AI34" s="14">
        <f>IFERROR(VLOOKUP(A34, KEEPA!$A:$AW, 26, FALSE), 0)</f>
        <v/>
      </c>
      <c r="AJ34" s="16">
        <f>IFERROR(IF(AI34=0, 0, (AI34-H34)/H34), 0)</f>
        <v/>
      </c>
      <c r="AK34" s="14">
        <f>IFERROR(VLOOKUP(A34, KEEPA!$A:$AW, 28, FALSE), 0)</f>
        <v/>
      </c>
      <c r="AL34" s="16">
        <f>IFERROR(IF(AK34=0, 0, (AK34-H34)/H34), 0)</f>
        <v/>
      </c>
      <c r="AM34" s="13">
        <f>IFERROR(VLOOKUP(A34, AZInsight_Data!$A:$AS, 34, FALSE), 0)</f>
        <v/>
      </c>
      <c r="AN34">
        <f>IFERROR(AND(VLOOKUP(A34, KEEPA!$A:$AW, 2, FALSE)&lt;=$AO$2, N34 &gt;= $AM$2), FALSE)</f>
        <v/>
      </c>
      <c r="AO34" s="16">
        <f>IFERROR(VLOOKUP(A34, KEEPA!$A:$AW, 24, FALSE), 0)</f>
        <v/>
      </c>
      <c r="AP34" s="16">
        <f>IFERROR(VLOOKUP(A34, KEEPA!$A:$AW, 48, FALSE), 0)</f>
        <v/>
      </c>
      <c r="AQ34">
        <f>IFERROR(VLOOKUP(A34, AZInsight_Data!$A:$AS, 5, FALSE), "SL")</f>
        <v/>
      </c>
      <c r="AR34">
        <f>IF(OR(A34="", A34=0), "", HYPERLINK("https://keepa.com/#!product/1-"&amp;A34, "Keepa"))</f>
        <v/>
      </c>
      <c r="AS34">
        <f>IF(OR(A34="", A34=0), "", HYPERLINK("https://www.amazon.com/dp/"&amp;A34, "Amazon"))</f>
        <v/>
      </c>
      <c r="AT34">
        <f>IF(OR(A34="", A34=0), "", HYPERLINK("https://sellercentral.amazon.com/product-search/search?q="&amp;A34, "Check Gated"))</f>
        <v/>
      </c>
      <c r="AU34" s="12" t="n"/>
      <c r="AV34" s="12" t="n"/>
      <c r="AW34" s="12" t="n"/>
    </row>
    <row r="35">
      <c r="A35" s="12" t="n"/>
      <c r="B35" s="12">
        <f>IFERROR(VLOOKUP(A35, AZInsight_Data!$A:$AS, 3, FALSE), "")</f>
        <v/>
      </c>
      <c r="C35" s="13">
        <f>IFERROR(VLOOKUP(A35, AZInsight_Data!$A:$AS, 9, FALSE), 0)</f>
        <v/>
      </c>
      <c r="D35">
        <f>IFERROR(VLOOKUP(A35, AZInsight_Data!$A:$AS, 17, FALSE), 0)</f>
        <v/>
      </c>
      <c r="E35">
        <f>IFERROR(VLOOKUP(A35, AZInsight_Data!$A:$AS, 18, FALSE), 0)</f>
        <v/>
      </c>
      <c r="F35" s="14">
        <f>IFERROR(VLOOKUP(A35, AZInsight_Data!$A:$AS, 7, FALSE), 0)</f>
        <v/>
      </c>
      <c r="G35" s="15">
        <f>IFERROR(VLOOKUP(A35, AZInsight_Data!$A:$AS, 14, FALSE), 0)</f>
        <v/>
      </c>
      <c r="H35" s="14">
        <f>IFERROR(VLOOKUP(A35, AZInsight_Data!$A:$AS, 8, FALSE), 0)</f>
        <v/>
      </c>
      <c r="I35" s="16">
        <f>IFERROR(VLOOKUP(A35, KEEPA!$A:$AW, 47, FALSE), 0)</f>
        <v/>
      </c>
      <c r="J35">
        <f>IFERROR(VLOOKUP(A35, AZInsight_Data!$A:$AS, 25, FALSE), 0)</f>
        <v/>
      </c>
      <c r="K35" s="15">
        <f>IFERROR(VLOOKUP(A35, AZInsight_Data!$A:$AS, 16, FALSE), 0)</f>
        <v/>
      </c>
      <c r="L35" s="15">
        <f>IFERROR(K35-T35-J35, 0)</f>
        <v/>
      </c>
      <c r="M35" s="16">
        <f>IFERROR(IF(T35=0, 0, L35/T35), 0)</f>
        <v/>
      </c>
      <c r="N35" s="14">
        <f>IFERROR(C35*($V$2/30), 0)</f>
        <v/>
      </c>
      <c r="O35">
        <f>IFERROR(VLOOKUP(A35, AZInsight_Data!$A:$AS, 40, FALSE), 1)</f>
        <v/>
      </c>
      <c r="P35" s="13">
        <f>IF(O35&gt;0, O35, 1)</f>
        <v/>
      </c>
      <c r="Q35" s="13">
        <f>IFERROR(U35/P35, 0)</f>
        <v/>
      </c>
      <c r="R35">
        <f>IFERROR(VLOOKUP(A35, AZInsight_Data!$A:$AS, 36, FALSE), "")</f>
        <v/>
      </c>
      <c r="S35">
        <f>IFERROR(VLOOKUP(A35, AZInsight_Data!$A:$AS, 3, FALSE), "")</f>
        <v/>
      </c>
      <c r="T35" s="17">
        <f>IFERROR(VLOOKUP(A35, AZInsight_Data!$A:$AS, 13, FALSE), 0)</f>
        <v/>
      </c>
      <c r="U35" s="13">
        <f>AH35</f>
        <v/>
      </c>
      <c r="V35" s="15">
        <f>T35*U35</f>
        <v/>
      </c>
      <c r="W35" s="16" t="n"/>
      <c r="X35" s="12">
        <f>IFERROR(VLOOKUP(A35, AZInsight_Data!$A:$AS, 40, FALSE), 1)</f>
        <v/>
      </c>
      <c r="Y35" s="13">
        <f>IFERROR(VLOOKUP(A35, IP Qty!$D:$R, 5, FALSE), 0)</f>
        <v/>
      </c>
      <c r="Z35" s="14">
        <f>IFERROR(VLOOKUP(A35, IP Qty!$D:$R, 6, FALSE), 0)</f>
        <v/>
      </c>
      <c r="AA35">
        <f>IFERROR(VLOOKUP(A35, IP Qty!$D:$R, 7, FALSE), 0)</f>
        <v/>
      </c>
      <c r="AB35">
        <f>IFERROR(VLOOKUP(A35, IP Qty!$D:$R, 9, FALSE), 0)</f>
        <v/>
      </c>
      <c r="AC35">
        <f>IFERROR(VLOOKUP(A35, IP Qty!$D:$R, 8, FALSE), 0)</f>
        <v/>
      </c>
      <c r="AD35" s="14">
        <f>IFERROR(VLOOKUP(A35, KEEPA!$A:$AW, 34, FALSE), 0)</f>
        <v/>
      </c>
      <c r="AE35" s="15">
        <f>IF(P35&gt;1, ((((M35&gt;=$AD$2)*(L35&gt;=$AH$2)) + ((M35&lt;$AD$2)*(M35&gt;=$AE$2)*(L35&gt;=$AG$2)) + ((M35&lt;$AE$2)*(M35&gt;=$AC$2)*(L35&gt;=0)))*2 * IF($AI$2=0, 1, AI35&lt;=$AI$2) * IF($AK$2=0, 1, AK35&lt;=$AK$2) * AND(N35&gt;=$D$1, H35&lt;=$I$2, G35&gt;=$H$2)), ((((M35&gt;=$AD$2)*(L35&gt;=$AH$2)) + ((M35&lt;$AD$2)*(M35&gt;=$AE$2)*(L35&gt;=$AG$2)) + ((M35&lt;$AE$2)*(M35&gt;=$AC$2)*(L35&gt;=0))) * IF($AI$2=0, 1, AI35&lt;=$AI$2) * IF($AK$2=0, 1, AK35&lt;=$AK$2) * AND(N35&gt;=$D$1, H35&lt;=$I$2, G35&gt;=$H$2)))</f>
        <v/>
      </c>
      <c r="AF35">
        <f>IF(AE35&gt;0, 1, 0)</f>
        <v/>
      </c>
      <c r="AG35">
        <f>IFERROR(IF(ISNUMBER(W35), IF(AN35, N35*W35*$AN$2, N35*W35), NA()), NA())</f>
        <v/>
      </c>
      <c r="AH35" s="13">
        <f>IFERROR(MIN(AG35, $U$2), 0)</f>
        <v/>
      </c>
      <c r="AI35" s="14">
        <f>IFERROR(VLOOKUP(A35, KEEPA!$A:$AW, 26, FALSE), 0)</f>
        <v/>
      </c>
      <c r="AJ35" s="16">
        <f>IFERROR(IF(AI35=0, 0, (AI35-H35)/H35), 0)</f>
        <v/>
      </c>
      <c r="AK35" s="14">
        <f>IFERROR(VLOOKUP(A35, KEEPA!$A:$AW, 28, FALSE), 0)</f>
        <v/>
      </c>
      <c r="AL35" s="16">
        <f>IFERROR(IF(AK35=0, 0, (AK35-H35)/H35), 0)</f>
        <v/>
      </c>
      <c r="AM35" s="13">
        <f>IFERROR(VLOOKUP(A35, AZInsight_Data!$A:$AS, 34, FALSE), 0)</f>
        <v/>
      </c>
      <c r="AN35">
        <f>IFERROR(AND(VLOOKUP(A35, KEEPA!$A:$AW, 2, FALSE)&lt;=$AO$2, N35 &gt;= $AM$2), FALSE)</f>
        <v/>
      </c>
      <c r="AO35" s="16">
        <f>IFERROR(VLOOKUP(A35, KEEPA!$A:$AW, 24, FALSE), 0)</f>
        <v/>
      </c>
      <c r="AP35" s="16">
        <f>IFERROR(VLOOKUP(A35, KEEPA!$A:$AW, 48, FALSE), 0)</f>
        <v/>
      </c>
      <c r="AQ35">
        <f>IFERROR(VLOOKUP(A35, AZInsight_Data!$A:$AS, 5, FALSE), "SL")</f>
        <v/>
      </c>
      <c r="AR35">
        <f>IF(OR(A35="", A35=0), "", HYPERLINK("https://keepa.com/#!product/1-"&amp;A35, "Keepa"))</f>
        <v/>
      </c>
      <c r="AS35">
        <f>IF(OR(A35="", A35=0), "", HYPERLINK("https://www.amazon.com/dp/"&amp;A35, "Amazon"))</f>
        <v/>
      </c>
      <c r="AT35">
        <f>IF(OR(A35="", A35=0), "", HYPERLINK("https://sellercentral.amazon.com/product-search/search?q="&amp;A35, "Check Gated"))</f>
        <v/>
      </c>
      <c r="AU35" s="12" t="n"/>
      <c r="AV35" s="12" t="n"/>
      <c r="AW35" s="12" t="n"/>
    </row>
    <row r="36">
      <c r="A36" s="12" t="n"/>
      <c r="B36" s="12">
        <f>IFERROR(VLOOKUP(A36, AZInsight_Data!$A:$AS, 3, FALSE), "")</f>
        <v/>
      </c>
      <c r="C36" s="13">
        <f>IFERROR(VLOOKUP(A36, AZInsight_Data!$A:$AS, 9, FALSE), 0)</f>
        <v/>
      </c>
      <c r="D36">
        <f>IFERROR(VLOOKUP(A36, AZInsight_Data!$A:$AS, 17, FALSE), 0)</f>
        <v/>
      </c>
      <c r="E36">
        <f>IFERROR(VLOOKUP(A36, AZInsight_Data!$A:$AS, 18, FALSE), 0)</f>
        <v/>
      </c>
      <c r="F36" s="14">
        <f>IFERROR(VLOOKUP(A36, AZInsight_Data!$A:$AS, 7, FALSE), 0)</f>
        <v/>
      </c>
      <c r="G36" s="15">
        <f>IFERROR(VLOOKUP(A36, AZInsight_Data!$A:$AS, 14, FALSE), 0)</f>
        <v/>
      </c>
      <c r="H36" s="14">
        <f>IFERROR(VLOOKUP(A36, AZInsight_Data!$A:$AS, 8, FALSE), 0)</f>
        <v/>
      </c>
      <c r="I36" s="16">
        <f>IFERROR(VLOOKUP(A36, KEEPA!$A:$AW, 47, FALSE), 0)</f>
        <v/>
      </c>
      <c r="J36">
        <f>IFERROR(VLOOKUP(A36, AZInsight_Data!$A:$AS, 25, FALSE), 0)</f>
        <v/>
      </c>
      <c r="K36" s="15">
        <f>IFERROR(VLOOKUP(A36, AZInsight_Data!$A:$AS, 16, FALSE), 0)</f>
        <v/>
      </c>
      <c r="L36" s="15">
        <f>IFERROR(K36-T36-J36, 0)</f>
        <v/>
      </c>
      <c r="M36" s="16">
        <f>IFERROR(IF(T36=0, 0, L36/T36), 0)</f>
        <v/>
      </c>
      <c r="N36" s="14">
        <f>IFERROR(C36*($V$2/30), 0)</f>
        <v/>
      </c>
      <c r="O36">
        <f>IFERROR(VLOOKUP(A36, AZInsight_Data!$A:$AS, 40, FALSE), 1)</f>
        <v/>
      </c>
      <c r="P36" s="13">
        <f>IF(O36&gt;0, O36, 1)</f>
        <v/>
      </c>
      <c r="Q36" s="13">
        <f>IFERROR(U36/P36, 0)</f>
        <v/>
      </c>
      <c r="R36">
        <f>IFERROR(VLOOKUP(A36, AZInsight_Data!$A:$AS, 36, FALSE), "")</f>
        <v/>
      </c>
      <c r="S36">
        <f>IFERROR(VLOOKUP(A36, AZInsight_Data!$A:$AS, 3, FALSE), "")</f>
        <v/>
      </c>
      <c r="T36" s="17">
        <f>IFERROR(VLOOKUP(A36, AZInsight_Data!$A:$AS, 13, FALSE), 0)</f>
        <v/>
      </c>
      <c r="U36" s="13">
        <f>AH36</f>
        <v/>
      </c>
      <c r="V36" s="15">
        <f>T36*U36</f>
        <v/>
      </c>
      <c r="W36" s="16" t="n"/>
      <c r="X36" s="12">
        <f>IFERROR(VLOOKUP(A36, AZInsight_Data!$A:$AS, 40, FALSE), 1)</f>
        <v/>
      </c>
      <c r="Y36" s="13">
        <f>IFERROR(VLOOKUP(A36, IP Qty!$D:$R, 5, FALSE), 0)</f>
        <v/>
      </c>
      <c r="Z36" s="14">
        <f>IFERROR(VLOOKUP(A36, IP Qty!$D:$R, 6, FALSE), 0)</f>
        <v/>
      </c>
      <c r="AA36">
        <f>IFERROR(VLOOKUP(A36, IP Qty!$D:$R, 7, FALSE), 0)</f>
        <v/>
      </c>
      <c r="AB36">
        <f>IFERROR(VLOOKUP(A36, IP Qty!$D:$R, 9, FALSE), 0)</f>
        <v/>
      </c>
      <c r="AC36">
        <f>IFERROR(VLOOKUP(A36, IP Qty!$D:$R, 8, FALSE), 0)</f>
        <v/>
      </c>
      <c r="AD36" s="14">
        <f>IFERROR(VLOOKUP(A36, KEEPA!$A:$AW, 34, FALSE), 0)</f>
        <v/>
      </c>
      <c r="AE36" s="15">
        <f>IF(P36&gt;1, ((((M36&gt;=$AD$2)*(L36&gt;=$AH$2)) + ((M36&lt;$AD$2)*(M36&gt;=$AE$2)*(L36&gt;=$AG$2)) + ((M36&lt;$AE$2)*(M36&gt;=$AC$2)*(L36&gt;=0)))*2 * IF($AI$2=0, 1, AI36&lt;=$AI$2) * IF($AK$2=0, 1, AK36&lt;=$AK$2) * AND(N36&gt;=$D$1, H36&lt;=$I$2, G36&gt;=$H$2)), ((((M36&gt;=$AD$2)*(L36&gt;=$AH$2)) + ((M36&lt;$AD$2)*(M36&gt;=$AE$2)*(L36&gt;=$AG$2)) + ((M36&lt;$AE$2)*(M36&gt;=$AC$2)*(L36&gt;=0))) * IF($AI$2=0, 1, AI36&lt;=$AI$2) * IF($AK$2=0, 1, AK36&lt;=$AK$2) * AND(N36&gt;=$D$1, H36&lt;=$I$2, G36&gt;=$H$2)))</f>
        <v/>
      </c>
      <c r="AF36">
        <f>IF(AE36&gt;0, 1, 0)</f>
        <v/>
      </c>
      <c r="AG36">
        <f>IFERROR(IF(ISNUMBER(W36), IF(AN36, N36*W36*$AN$2, N36*W36), NA()), NA())</f>
        <v/>
      </c>
      <c r="AH36" s="13">
        <f>IFERROR(MIN(AG36, $U$2), 0)</f>
        <v/>
      </c>
      <c r="AI36" s="14">
        <f>IFERROR(VLOOKUP(A36, KEEPA!$A:$AW, 26, FALSE), 0)</f>
        <v/>
      </c>
      <c r="AJ36" s="16">
        <f>IFERROR(IF(AI36=0, 0, (AI36-H36)/H36), 0)</f>
        <v/>
      </c>
      <c r="AK36" s="14">
        <f>IFERROR(VLOOKUP(A36, KEEPA!$A:$AW, 28, FALSE), 0)</f>
        <v/>
      </c>
      <c r="AL36" s="16">
        <f>IFERROR(IF(AK36=0, 0, (AK36-H36)/H36), 0)</f>
        <v/>
      </c>
      <c r="AM36" s="13">
        <f>IFERROR(VLOOKUP(A36, AZInsight_Data!$A:$AS, 34, FALSE), 0)</f>
        <v/>
      </c>
      <c r="AN36">
        <f>IFERROR(AND(VLOOKUP(A36, KEEPA!$A:$AW, 2, FALSE)&lt;=$AO$2, N36 &gt;= $AM$2), FALSE)</f>
        <v/>
      </c>
      <c r="AO36" s="16">
        <f>IFERROR(VLOOKUP(A36, KEEPA!$A:$AW, 24, FALSE), 0)</f>
        <v/>
      </c>
      <c r="AP36" s="16">
        <f>IFERROR(VLOOKUP(A36, KEEPA!$A:$AW, 48, FALSE), 0)</f>
        <v/>
      </c>
      <c r="AQ36">
        <f>IFERROR(VLOOKUP(A36, AZInsight_Data!$A:$AS, 5, FALSE), "SL")</f>
        <v/>
      </c>
      <c r="AR36">
        <f>IF(OR(A36="", A36=0), "", HYPERLINK("https://keepa.com/#!product/1-"&amp;A36, "Keepa"))</f>
        <v/>
      </c>
      <c r="AS36">
        <f>IF(OR(A36="", A36=0), "", HYPERLINK("https://www.amazon.com/dp/"&amp;A36, "Amazon"))</f>
        <v/>
      </c>
      <c r="AT36">
        <f>IF(OR(A36="", A36=0), "", HYPERLINK("https://sellercentral.amazon.com/product-search/search?q="&amp;A36, "Check Gated"))</f>
        <v/>
      </c>
      <c r="AU36" s="12" t="n"/>
      <c r="AV36" s="12" t="n"/>
      <c r="AW36" s="12" t="n"/>
    </row>
    <row r="37">
      <c r="A37" s="12" t="n"/>
      <c r="B37" s="12">
        <f>IFERROR(VLOOKUP(A37, AZInsight_Data!$A:$AS, 3, FALSE), "")</f>
        <v/>
      </c>
      <c r="C37" s="13">
        <f>IFERROR(VLOOKUP(A37, AZInsight_Data!$A:$AS, 9, FALSE), 0)</f>
        <v/>
      </c>
      <c r="D37">
        <f>IFERROR(VLOOKUP(A37, AZInsight_Data!$A:$AS, 17, FALSE), 0)</f>
        <v/>
      </c>
      <c r="E37">
        <f>IFERROR(VLOOKUP(A37, AZInsight_Data!$A:$AS, 18, FALSE), 0)</f>
        <v/>
      </c>
      <c r="F37" s="14">
        <f>IFERROR(VLOOKUP(A37, AZInsight_Data!$A:$AS, 7, FALSE), 0)</f>
        <v/>
      </c>
      <c r="G37" s="15">
        <f>IFERROR(VLOOKUP(A37, AZInsight_Data!$A:$AS, 14, FALSE), 0)</f>
        <v/>
      </c>
      <c r="H37" s="14">
        <f>IFERROR(VLOOKUP(A37, AZInsight_Data!$A:$AS, 8, FALSE), 0)</f>
        <v/>
      </c>
      <c r="I37" s="16">
        <f>IFERROR(VLOOKUP(A37, KEEPA!$A:$AW, 47, FALSE), 0)</f>
        <v/>
      </c>
      <c r="J37">
        <f>IFERROR(VLOOKUP(A37, AZInsight_Data!$A:$AS, 25, FALSE), 0)</f>
        <v/>
      </c>
      <c r="K37" s="15">
        <f>IFERROR(VLOOKUP(A37, AZInsight_Data!$A:$AS, 16, FALSE), 0)</f>
        <v/>
      </c>
      <c r="L37" s="15">
        <f>IFERROR(K37-T37-J37, 0)</f>
        <v/>
      </c>
      <c r="M37" s="16">
        <f>IFERROR(IF(T37=0, 0, L37/T37), 0)</f>
        <v/>
      </c>
      <c r="N37" s="14">
        <f>IFERROR(C37*($V$2/30), 0)</f>
        <v/>
      </c>
      <c r="O37">
        <f>IFERROR(VLOOKUP(A37, AZInsight_Data!$A:$AS, 40, FALSE), 1)</f>
        <v/>
      </c>
      <c r="P37" s="13">
        <f>IF(O37&gt;0, O37, 1)</f>
        <v/>
      </c>
      <c r="Q37" s="13">
        <f>IFERROR(U37/P37, 0)</f>
        <v/>
      </c>
      <c r="R37">
        <f>IFERROR(VLOOKUP(A37, AZInsight_Data!$A:$AS, 36, FALSE), "")</f>
        <v/>
      </c>
      <c r="S37">
        <f>IFERROR(VLOOKUP(A37, AZInsight_Data!$A:$AS, 3, FALSE), "")</f>
        <v/>
      </c>
      <c r="T37" s="17">
        <f>IFERROR(VLOOKUP(A37, AZInsight_Data!$A:$AS, 13, FALSE), 0)</f>
        <v/>
      </c>
      <c r="U37" s="13">
        <f>AH37</f>
        <v/>
      </c>
      <c r="V37" s="15">
        <f>T37*U37</f>
        <v/>
      </c>
      <c r="W37" s="16" t="n"/>
      <c r="X37" s="12">
        <f>IFERROR(VLOOKUP(A37, AZInsight_Data!$A:$AS, 40, FALSE), 1)</f>
        <v/>
      </c>
      <c r="Y37" s="13">
        <f>IFERROR(VLOOKUP(A37, IP Qty!$D:$R, 5, FALSE), 0)</f>
        <v/>
      </c>
      <c r="Z37" s="14">
        <f>IFERROR(VLOOKUP(A37, IP Qty!$D:$R, 6, FALSE), 0)</f>
        <v/>
      </c>
      <c r="AA37">
        <f>IFERROR(VLOOKUP(A37, IP Qty!$D:$R, 7, FALSE), 0)</f>
        <v/>
      </c>
      <c r="AB37">
        <f>IFERROR(VLOOKUP(A37, IP Qty!$D:$R, 9, FALSE), 0)</f>
        <v/>
      </c>
      <c r="AC37">
        <f>IFERROR(VLOOKUP(A37, IP Qty!$D:$R, 8, FALSE), 0)</f>
        <v/>
      </c>
      <c r="AD37" s="14">
        <f>IFERROR(VLOOKUP(A37, KEEPA!$A:$AW, 34, FALSE), 0)</f>
        <v/>
      </c>
      <c r="AE37" s="15">
        <f>IF(P37&gt;1, ((((M37&gt;=$AD$2)*(L37&gt;=$AH$2)) + ((M37&lt;$AD$2)*(M37&gt;=$AE$2)*(L37&gt;=$AG$2)) + ((M37&lt;$AE$2)*(M37&gt;=$AC$2)*(L37&gt;=0)))*2 * IF($AI$2=0, 1, AI37&lt;=$AI$2) * IF($AK$2=0, 1, AK37&lt;=$AK$2) * AND(N37&gt;=$D$1, H37&lt;=$I$2, G37&gt;=$H$2)), ((((M37&gt;=$AD$2)*(L37&gt;=$AH$2)) + ((M37&lt;$AD$2)*(M37&gt;=$AE$2)*(L37&gt;=$AG$2)) + ((M37&lt;$AE$2)*(M37&gt;=$AC$2)*(L37&gt;=0))) * IF($AI$2=0, 1, AI37&lt;=$AI$2) * IF($AK$2=0, 1, AK37&lt;=$AK$2) * AND(N37&gt;=$D$1, H37&lt;=$I$2, G37&gt;=$H$2)))</f>
        <v/>
      </c>
      <c r="AF37">
        <f>IF(AE37&gt;0, 1, 0)</f>
        <v/>
      </c>
      <c r="AG37">
        <f>IFERROR(IF(ISNUMBER(W37), IF(AN37, N37*W37*$AN$2, N37*W37), NA()), NA())</f>
        <v/>
      </c>
      <c r="AH37" s="13">
        <f>IFERROR(MIN(AG37, $U$2), 0)</f>
        <v/>
      </c>
      <c r="AI37" s="14">
        <f>IFERROR(VLOOKUP(A37, KEEPA!$A:$AW, 26, FALSE), 0)</f>
        <v/>
      </c>
      <c r="AJ37" s="16">
        <f>IFERROR(IF(AI37=0, 0, (AI37-H37)/H37), 0)</f>
        <v/>
      </c>
      <c r="AK37" s="14">
        <f>IFERROR(VLOOKUP(A37, KEEPA!$A:$AW, 28, FALSE), 0)</f>
        <v/>
      </c>
      <c r="AL37" s="16">
        <f>IFERROR(IF(AK37=0, 0, (AK37-H37)/H37), 0)</f>
        <v/>
      </c>
      <c r="AM37" s="13">
        <f>IFERROR(VLOOKUP(A37, AZInsight_Data!$A:$AS, 34, FALSE), 0)</f>
        <v/>
      </c>
      <c r="AN37">
        <f>IFERROR(AND(VLOOKUP(A37, KEEPA!$A:$AW, 2, FALSE)&lt;=$AO$2, N37 &gt;= $AM$2), FALSE)</f>
        <v/>
      </c>
      <c r="AO37" s="16">
        <f>IFERROR(VLOOKUP(A37, KEEPA!$A:$AW, 24, FALSE), 0)</f>
        <v/>
      </c>
      <c r="AP37" s="16">
        <f>IFERROR(VLOOKUP(A37, KEEPA!$A:$AW, 48, FALSE), 0)</f>
        <v/>
      </c>
      <c r="AQ37">
        <f>IFERROR(VLOOKUP(A37, AZInsight_Data!$A:$AS, 5, FALSE), "SL")</f>
        <v/>
      </c>
      <c r="AR37">
        <f>IF(OR(A37="", A37=0), "", HYPERLINK("https://keepa.com/#!product/1-"&amp;A37, "Keepa"))</f>
        <v/>
      </c>
      <c r="AS37">
        <f>IF(OR(A37="", A37=0), "", HYPERLINK("https://www.amazon.com/dp/"&amp;A37, "Amazon"))</f>
        <v/>
      </c>
      <c r="AT37">
        <f>IF(OR(A37="", A37=0), "", HYPERLINK("https://sellercentral.amazon.com/product-search/search?q="&amp;A37, "Check Gated"))</f>
        <v/>
      </c>
      <c r="AU37" s="12" t="n"/>
      <c r="AV37" s="12" t="n"/>
      <c r="AW37" s="12" t="n"/>
    </row>
    <row r="38">
      <c r="A38" s="12" t="n"/>
      <c r="B38" s="12">
        <f>IFERROR(VLOOKUP(A38, AZInsight_Data!$A:$AS, 3, FALSE), "")</f>
        <v/>
      </c>
      <c r="C38" s="13">
        <f>IFERROR(VLOOKUP(A38, AZInsight_Data!$A:$AS, 9, FALSE), 0)</f>
        <v/>
      </c>
      <c r="D38">
        <f>IFERROR(VLOOKUP(A38, AZInsight_Data!$A:$AS, 17, FALSE), 0)</f>
        <v/>
      </c>
      <c r="E38">
        <f>IFERROR(VLOOKUP(A38, AZInsight_Data!$A:$AS, 18, FALSE), 0)</f>
        <v/>
      </c>
      <c r="F38" s="14">
        <f>IFERROR(VLOOKUP(A38, AZInsight_Data!$A:$AS, 7, FALSE), 0)</f>
        <v/>
      </c>
      <c r="G38" s="15">
        <f>IFERROR(VLOOKUP(A38, AZInsight_Data!$A:$AS, 14, FALSE), 0)</f>
        <v/>
      </c>
      <c r="H38" s="14">
        <f>IFERROR(VLOOKUP(A38, AZInsight_Data!$A:$AS, 8, FALSE), 0)</f>
        <v/>
      </c>
      <c r="I38" s="16">
        <f>IFERROR(VLOOKUP(A38, KEEPA!$A:$AW, 47, FALSE), 0)</f>
        <v/>
      </c>
      <c r="J38">
        <f>IFERROR(VLOOKUP(A38, AZInsight_Data!$A:$AS, 25, FALSE), 0)</f>
        <v/>
      </c>
      <c r="K38" s="15">
        <f>IFERROR(VLOOKUP(A38, AZInsight_Data!$A:$AS, 16, FALSE), 0)</f>
        <v/>
      </c>
      <c r="L38" s="15">
        <f>IFERROR(K38-T38-J38, 0)</f>
        <v/>
      </c>
      <c r="M38" s="16">
        <f>IFERROR(IF(T38=0, 0, L38/T38), 0)</f>
        <v/>
      </c>
      <c r="N38" s="14">
        <f>IFERROR(C38*($V$2/30), 0)</f>
        <v/>
      </c>
      <c r="O38">
        <f>IFERROR(VLOOKUP(A38, AZInsight_Data!$A:$AS, 40, FALSE), 1)</f>
        <v/>
      </c>
      <c r="P38" s="13">
        <f>IF(O38&gt;0, O38, 1)</f>
        <v/>
      </c>
      <c r="Q38" s="13">
        <f>IFERROR(U38/P38, 0)</f>
        <v/>
      </c>
      <c r="R38">
        <f>IFERROR(VLOOKUP(A38, AZInsight_Data!$A:$AS, 36, FALSE), "")</f>
        <v/>
      </c>
      <c r="S38">
        <f>IFERROR(VLOOKUP(A38, AZInsight_Data!$A:$AS, 3, FALSE), "")</f>
        <v/>
      </c>
      <c r="T38" s="17">
        <f>IFERROR(VLOOKUP(A38, AZInsight_Data!$A:$AS, 13, FALSE), 0)</f>
        <v/>
      </c>
      <c r="U38" s="13">
        <f>AH38</f>
        <v/>
      </c>
      <c r="V38" s="15">
        <f>T38*U38</f>
        <v/>
      </c>
      <c r="W38" s="16" t="n"/>
      <c r="X38" s="12">
        <f>IFERROR(VLOOKUP(A38, AZInsight_Data!$A:$AS, 40, FALSE), 1)</f>
        <v/>
      </c>
      <c r="Y38" s="13">
        <f>IFERROR(VLOOKUP(A38, IP Qty!$D:$R, 5, FALSE), 0)</f>
        <v/>
      </c>
      <c r="Z38" s="14">
        <f>IFERROR(VLOOKUP(A38, IP Qty!$D:$R, 6, FALSE), 0)</f>
        <v/>
      </c>
      <c r="AA38">
        <f>IFERROR(VLOOKUP(A38, IP Qty!$D:$R, 7, FALSE), 0)</f>
        <v/>
      </c>
      <c r="AB38">
        <f>IFERROR(VLOOKUP(A38, IP Qty!$D:$R, 9, FALSE), 0)</f>
        <v/>
      </c>
      <c r="AC38">
        <f>IFERROR(VLOOKUP(A38, IP Qty!$D:$R, 8, FALSE), 0)</f>
        <v/>
      </c>
      <c r="AD38" s="14">
        <f>IFERROR(VLOOKUP(A38, KEEPA!$A:$AW, 34, FALSE), 0)</f>
        <v/>
      </c>
      <c r="AE38" s="15">
        <f>IF(P38&gt;1, ((((M38&gt;=$AD$2)*(L38&gt;=$AH$2)) + ((M38&lt;$AD$2)*(M38&gt;=$AE$2)*(L38&gt;=$AG$2)) + ((M38&lt;$AE$2)*(M38&gt;=$AC$2)*(L38&gt;=0)))*2 * IF($AI$2=0, 1, AI38&lt;=$AI$2) * IF($AK$2=0, 1, AK38&lt;=$AK$2) * AND(N38&gt;=$D$1, H38&lt;=$I$2, G38&gt;=$H$2)), ((((M38&gt;=$AD$2)*(L38&gt;=$AH$2)) + ((M38&lt;$AD$2)*(M38&gt;=$AE$2)*(L38&gt;=$AG$2)) + ((M38&lt;$AE$2)*(M38&gt;=$AC$2)*(L38&gt;=0))) * IF($AI$2=0, 1, AI38&lt;=$AI$2) * IF($AK$2=0, 1, AK38&lt;=$AK$2) * AND(N38&gt;=$D$1, H38&lt;=$I$2, G38&gt;=$H$2)))</f>
        <v/>
      </c>
      <c r="AF38">
        <f>IF(AE38&gt;0, 1, 0)</f>
        <v/>
      </c>
      <c r="AG38">
        <f>IFERROR(IF(ISNUMBER(W38), IF(AN38, N38*W38*$AN$2, N38*W38), NA()), NA())</f>
        <v/>
      </c>
      <c r="AH38" s="13">
        <f>IFERROR(MIN(AG38, $U$2), 0)</f>
        <v/>
      </c>
      <c r="AI38" s="14">
        <f>IFERROR(VLOOKUP(A38, KEEPA!$A:$AW, 26, FALSE), 0)</f>
        <v/>
      </c>
      <c r="AJ38" s="16">
        <f>IFERROR(IF(AI38=0, 0, (AI38-H38)/H38), 0)</f>
        <v/>
      </c>
      <c r="AK38" s="14">
        <f>IFERROR(VLOOKUP(A38, KEEPA!$A:$AW, 28, FALSE), 0)</f>
        <v/>
      </c>
      <c r="AL38" s="16">
        <f>IFERROR(IF(AK38=0, 0, (AK38-H38)/H38), 0)</f>
        <v/>
      </c>
      <c r="AM38" s="13">
        <f>IFERROR(VLOOKUP(A38, AZInsight_Data!$A:$AS, 34, FALSE), 0)</f>
        <v/>
      </c>
      <c r="AN38">
        <f>IFERROR(AND(VLOOKUP(A38, KEEPA!$A:$AW, 2, FALSE)&lt;=$AO$2, N38 &gt;= $AM$2), FALSE)</f>
        <v/>
      </c>
      <c r="AO38" s="16">
        <f>IFERROR(VLOOKUP(A38, KEEPA!$A:$AW, 24, FALSE), 0)</f>
        <v/>
      </c>
      <c r="AP38" s="16">
        <f>IFERROR(VLOOKUP(A38, KEEPA!$A:$AW, 48, FALSE), 0)</f>
        <v/>
      </c>
      <c r="AQ38">
        <f>IFERROR(VLOOKUP(A38, AZInsight_Data!$A:$AS, 5, FALSE), "SL")</f>
        <v/>
      </c>
      <c r="AR38">
        <f>IF(OR(A38="", A38=0), "", HYPERLINK("https://keepa.com/#!product/1-"&amp;A38, "Keepa"))</f>
        <v/>
      </c>
      <c r="AS38">
        <f>IF(OR(A38="", A38=0), "", HYPERLINK("https://www.amazon.com/dp/"&amp;A38, "Amazon"))</f>
        <v/>
      </c>
      <c r="AT38">
        <f>IF(OR(A38="", A38=0), "", HYPERLINK("https://sellercentral.amazon.com/product-search/search?q="&amp;A38, "Check Gated"))</f>
        <v/>
      </c>
      <c r="AU38" s="12" t="n"/>
      <c r="AV38" s="12" t="n"/>
      <c r="AW38" s="12" t="n"/>
    </row>
    <row r="39">
      <c r="A39" s="12" t="n"/>
      <c r="B39" s="12">
        <f>IFERROR(VLOOKUP(A39, AZInsight_Data!$A:$AS, 3, FALSE), "")</f>
        <v/>
      </c>
      <c r="C39" s="13">
        <f>IFERROR(VLOOKUP(A39, AZInsight_Data!$A:$AS, 9, FALSE), 0)</f>
        <v/>
      </c>
      <c r="D39">
        <f>IFERROR(VLOOKUP(A39, AZInsight_Data!$A:$AS, 17, FALSE), 0)</f>
        <v/>
      </c>
      <c r="E39">
        <f>IFERROR(VLOOKUP(A39, AZInsight_Data!$A:$AS, 18, FALSE), 0)</f>
        <v/>
      </c>
      <c r="F39" s="14">
        <f>IFERROR(VLOOKUP(A39, AZInsight_Data!$A:$AS, 7, FALSE), 0)</f>
        <v/>
      </c>
      <c r="G39" s="15">
        <f>IFERROR(VLOOKUP(A39, AZInsight_Data!$A:$AS, 14, FALSE), 0)</f>
        <v/>
      </c>
      <c r="H39" s="14">
        <f>IFERROR(VLOOKUP(A39, AZInsight_Data!$A:$AS, 8, FALSE), 0)</f>
        <v/>
      </c>
      <c r="I39" s="16">
        <f>IFERROR(VLOOKUP(A39, KEEPA!$A:$AW, 47, FALSE), 0)</f>
        <v/>
      </c>
      <c r="J39">
        <f>IFERROR(VLOOKUP(A39, AZInsight_Data!$A:$AS, 25, FALSE), 0)</f>
        <v/>
      </c>
      <c r="K39" s="15">
        <f>IFERROR(VLOOKUP(A39, AZInsight_Data!$A:$AS, 16, FALSE), 0)</f>
        <v/>
      </c>
      <c r="L39" s="15">
        <f>IFERROR(K39-T39-J39, 0)</f>
        <v/>
      </c>
      <c r="M39" s="16">
        <f>IFERROR(IF(T39=0, 0, L39/T39), 0)</f>
        <v/>
      </c>
      <c r="N39" s="14">
        <f>IFERROR(C39*($V$2/30), 0)</f>
        <v/>
      </c>
      <c r="O39">
        <f>IFERROR(VLOOKUP(A39, AZInsight_Data!$A:$AS, 40, FALSE), 1)</f>
        <v/>
      </c>
      <c r="P39" s="13">
        <f>IF(O39&gt;0, O39, 1)</f>
        <v/>
      </c>
      <c r="Q39" s="13">
        <f>IFERROR(U39/P39, 0)</f>
        <v/>
      </c>
      <c r="R39">
        <f>IFERROR(VLOOKUP(A39, AZInsight_Data!$A:$AS, 36, FALSE), "")</f>
        <v/>
      </c>
      <c r="S39">
        <f>IFERROR(VLOOKUP(A39, AZInsight_Data!$A:$AS, 3, FALSE), "")</f>
        <v/>
      </c>
      <c r="T39" s="17">
        <f>IFERROR(VLOOKUP(A39, AZInsight_Data!$A:$AS, 13, FALSE), 0)</f>
        <v/>
      </c>
      <c r="U39" s="13">
        <f>AH39</f>
        <v/>
      </c>
      <c r="V39" s="15">
        <f>T39*U39</f>
        <v/>
      </c>
      <c r="W39" s="16" t="n"/>
      <c r="X39" s="12">
        <f>IFERROR(VLOOKUP(A39, AZInsight_Data!$A:$AS, 40, FALSE), 1)</f>
        <v/>
      </c>
      <c r="Y39" s="13">
        <f>IFERROR(VLOOKUP(A39, IP Qty!$D:$R, 5, FALSE), 0)</f>
        <v/>
      </c>
      <c r="Z39" s="14">
        <f>IFERROR(VLOOKUP(A39, IP Qty!$D:$R, 6, FALSE), 0)</f>
        <v/>
      </c>
      <c r="AA39">
        <f>IFERROR(VLOOKUP(A39, IP Qty!$D:$R, 7, FALSE), 0)</f>
        <v/>
      </c>
      <c r="AB39">
        <f>IFERROR(VLOOKUP(A39, IP Qty!$D:$R, 9, FALSE), 0)</f>
        <v/>
      </c>
      <c r="AC39">
        <f>IFERROR(VLOOKUP(A39, IP Qty!$D:$R, 8, FALSE), 0)</f>
        <v/>
      </c>
      <c r="AD39" s="14">
        <f>IFERROR(VLOOKUP(A39, KEEPA!$A:$AW, 34, FALSE), 0)</f>
        <v/>
      </c>
      <c r="AE39" s="15">
        <f>IF(P39&gt;1, ((((M39&gt;=$AD$2)*(L39&gt;=$AH$2)) + ((M39&lt;$AD$2)*(M39&gt;=$AE$2)*(L39&gt;=$AG$2)) + ((M39&lt;$AE$2)*(M39&gt;=$AC$2)*(L39&gt;=0)))*2 * IF($AI$2=0, 1, AI39&lt;=$AI$2) * IF($AK$2=0, 1, AK39&lt;=$AK$2) * AND(N39&gt;=$D$1, H39&lt;=$I$2, G39&gt;=$H$2)), ((((M39&gt;=$AD$2)*(L39&gt;=$AH$2)) + ((M39&lt;$AD$2)*(M39&gt;=$AE$2)*(L39&gt;=$AG$2)) + ((M39&lt;$AE$2)*(M39&gt;=$AC$2)*(L39&gt;=0))) * IF($AI$2=0, 1, AI39&lt;=$AI$2) * IF($AK$2=0, 1, AK39&lt;=$AK$2) * AND(N39&gt;=$D$1, H39&lt;=$I$2, G39&gt;=$H$2)))</f>
        <v/>
      </c>
      <c r="AF39">
        <f>IF(AE39&gt;0, 1, 0)</f>
        <v/>
      </c>
      <c r="AG39">
        <f>IFERROR(IF(ISNUMBER(W39), IF(AN39, N39*W39*$AN$2, N39*W39), NA()), NA())</f>
        <v/>
      </c>
      <c r="AH39" s="13">
        <f>IFERROR(MIN(AG39, $U$2), 0)</f>
        <v/>
      </c>
      <c r="AI39" s="14">
        <f>IFERROR(VLOOKUP(A39, KEEPA!$A:$AW, 26, FALSE), 0)</f>
        <v/>
      </c>
      <c r="AJ39" s="16">
        <f>IFERROR(IF(AI39=0, 0, (AI39-H39)/H39), 0)</f>
        <v/>
      </c>
      <c r="AK39" s="14">
        <f>IFERROR(VLOOKUP(A39, KEEPA!$A:$AW, 28, FALSE), 0)</f>
        <v/>
      </c>
      <c r="AL39" s="16">
        <f>IFERROR(IF(AK39=0, 0, (AK39-H39)/H39), 0)</f>
        <v/>
      </c>
      <c r="AM39" s="13">
        <f>IFERROR(VLOOKUP(A39, AZInsight_Data!$A:$AS, 34, FALSE), 0)</f>
        <v/>
      </c>
      <c r="AN39">
        <f>IFERROR(AND(VLOOKUP(A39, KEEPA!$A:$AW, 2, FALSE)&lt;=$AO$2, N39 &gt;= $AM$2), FALSE)</f>
        <v/>
      </c>
      <c r="AO39" s="16">
        <f>IFERROR(VLOOKUP(A39, KEEPA!$A:$AW, 24, FALSE), 0)</f>
        <v/>
      </c>
      <c r="AP39" s="16">
        <f>IFERROR(VLOOKUP(A39, KEEPA!$A:$AW, 48, FALSE), 0)</f>
        <v/>
      </c>
      <c r="AQ39">
        <f>IFERROR(VLOOKUP(A39, AZInsight_Data!$A:$AS, 5, FALSE), "SL")</f>
        <v/>
      </c>
      <c r="AR39">
        <f>IF(OR(A39="", A39=0), "", HYPERLINK("https://keepa.com/#!product/1-"&amp;A39, "Keepa"))</f>
        <v/>
      </c>
      <c r="AS39">
        <f>IF(OR(A39="", A39=0), "", HYPERLINK("https://www.amazon.com/dp/"&amp;A39, "Amazon"))</f>
        <v/>
      </c>
      <c r="AT39">
        <f>IF(OR(A39="", A39=0), "", HYPERLINK("https://sellercentral.amazon.com/product-search/search?q="&amp;A39, "Check Gated"))</f>
        <v/>
      </c>
      <c r="AU39" s="12" t="n"/>
      <c r="AV39" s="12" t="n"/>
      <c r="AW39" s="12" t="n"/>
    </row>
    <row r="40">
      <c r="A40" s="12" t="n"/>
      <c r="B40" s="12">
        <f>IFERROR(VLOOKUP(A40, AZInsight_Data!$A:$AS, 3, FALSE), "")</f>
        <v/>
      </c>
      <c r="C40" s="13">
        <f>IFERROR(VLOOKUP(A40, AZInsight_Data!$A:$AS, 9, FALSE), 0)</f>
        <v/>
      </c>
      <c r="D40">
        <f>IFERROR(VLOOKUP(A40, AZInsight_Data!$A:$AS, 17, FALSE), 0)</f>
        <v/>
      </c>
      <c r="E40">
        <f>IFERROR(VLOOKUP(A40, AZInsight_Data!$A:$AS, 18, FALSE), 0)</f>
        <v/>
      </c>
      <c r="F40" s="14">
        <f>IFERROR(VLOOKUP(A40, AZInsight_Data!$A:$AS, 7, FALSE), 0)</f>
        <v/>
      </c>
      <c r="G40" s="15">
        <f>IFERROR(VLOOKUP(A40, AZInsight_Data!$A:$AS, 14, FALSE), 0)</f>
        <v/>
      </c>
      <c r="H40" s="14">
        <f>IFERROR(VLOOKUP(A40, AZInsight_Data!$A:$AS, 8, FALSE), 0)</f>
        <v/>
      </c>
      <c r="I40" s="16">
        <f>IFERROR(VLOOKUP(A40, KEEPA!$A:$AW, 47, FALSE), 0)</f>
        <v/>
      </c>
      <c r="J40">
        <f>IFERROR(VLOOKUP(A40, AZInsight_Data!$A:$AS, 25, FALSE), 0)</f>
        <v/>
      </c>
      <c r="K40" s="15">
        <f>IFERROR(VLOOKUP(A40, AZInsight_Data!$A:$AS, 16, FALSE), 0)</f>
        <v/>
      </c>
      <c r="L40" s="15">
        <f>IFERROR(K40-T40-J40, 0)</f>
        <v/>
      </c>
      <c r="M40" s="16">
        <f>IFERROR(IF(T40=0, 0, L40/T40), 0)</f>
        <v/>
      </c>
      <c r="N40" s="14">
        <f>IFERROR(C40*($V$2/30), 0)</f>
        <v/>
      </c>
      <c r="O40">
        <f>IFERROR(VLOOKUP(A40, AZInsight_Data!$A:$AS, 40, FALSE), 1)</f>
        <v/>
      </c>
      <c r="P40" s="13">
        <f>IF(O40&gt;0, O40, 1)</f>
        <v/>
      </c>
      <c r="Q40" s="13">
        <f>IFERROR(U40/P40, 0)</f>
        <v/>
      </c>
      <c r="R40">
        <f>IFERROR(VLOOKUP(A40, AZInsight_Data!$A:$AS, 36, FALSE), "")</f>
        <v/>
      </c>
      <c r="S40">
        <f>IFERROR(VLOOKUP(A40, AZInsight_Data!$A:$AS, 3, FALSE), "")</f>
        <v/>
      </c>
      <c r="T40" s="17">
        <f>IFERROR(VLOOKUP(A40, AZInsight_Data!$A:$AS, 13, FALSE), 0)</f>
        <v/>
      </c>
      <c r="U40" s="13">
        <f>AH40</f>
        <v/>
      </c>
      <c r="V40" s="15">
        <f>T40*U40</f>
        <v/>
      </c>
      <c r="W40" s="16" t="n"/>
      <c r="X40" s="12">
        <f>IFERROR(VLOOKUP(A40, AZInsight_Data!$A:$AS, 40, FALSE), 1)</f>
        <v/>
      </c>
      <c r="Y40" s="13">
        <f>IFERROR(VLOOKUP(A40, IP Qty!$D:$R, 5, FALSE), 0)</f>
        <v/>
      </c>
      <c r="Z40" s="14">
        <f>IFERROR(VLOOKUP(A40, IP Qty!$D:$R, 6, FALSE), 0)</f>
        <v/>
      </c>
      <c r="AA40">
        <f>IFERROR(VLOOKUP(A40, IP Qty!$D:$R, 7, FALSE), 0)</f>
        <v/>
      </c>
      <c r="AB40">
        <f>IFERROR(VLOOKUP(A40, IP Qty!$D:$R, 9, FALSE), 0)</f>
        <v/>
      </c>
      <c r="AC40">
        <f>IFERROR(VLOOKUP(A40, IP Qty!$D:$R, 8, FALSE), 0)</f>
        <v/>
      </c>
      <c r="AD40" s="14">
        <f>IFERROR(VLOOKUP(A40, KEEPA!$A:$AW, 34, FALSE), 0)</f>
        <v/>
      </c>
      <c r="AE40" s="15">
        <f>IF(P40&gt;1, ((((M40&gt;=$AD$2)*(L40&gt;=$AH$2)) + ((M40&lt;$AD$2)*(M40&gt;=$AE$2)*(L40&gt;=$AG$2)) + ((M40&lt;$AE$2)*(M40&gt;=$AC$2)*(L40&gt;=0)))*2 * IF($AI$2=0, 1, AI40&lt;=$AI$2) * IF($AK$2=0, 1, AK40&lt;=$AK$2) * AND(N40&gt;=$D$1, H40&lt;=$I$2, G40&gt;=$H$2)), ((((M40&gt;=$AD$2)*(L40&gt;=$AH$2)) + ((M40&lt;$AD$2)*(M40&gt;=$AE$2)*(L40&gt;=$AG$2)) + ((M40&lt;$AE$2)*(M40&gt;=$AC$2)*(L40&gt;=0))) * IF($AI$2=0, 1, AI40&lt;=$AI$2) * IF($AK$2=0, 1, AK40&lt;=$AK$2) * AND(N40&gt;=$D$1, H40&lt;=$I$2, G40&gt;=$H$2)))</f>
        <v/>
      </c>
      <c r="AF40">
        <f>IF(AE40&gt;0, 1, 0)</f>
        <v/>
      </c>
      <c r="AG40">
        <f>IFERROR(IF(ISNUMBER(W40), IF(AN40, N40*W40*$AN$2, N40*W40), NA()), NA())</f>
        <v/>
      </c>
      <c r="AH40" s="13">
        <f>IFERROR(MIN(AG40, $U$2), 0)</f>
        <v/>
      </c>
      <c r="AI40" s="14">
        <f>IFERROR(VLOOKUP(A40, KEEPA!$A:$AW, 26, FALSE), 0)</f>
        <v/>
      </c>
      <c r="AJ40" s="16">
        <f>IFERROR(IF(AI40=0, 0, (AI40-H40)/H40), 0)</f>
        <v/>
      </c>
      <c r="AK40" s="14">
        <f>IFERROR(VLOOKUP(A40, KEEPA!$A:$AW, 28, FALSE), 0)</f>
        <v/>
      </c>
      <c r="AL40" s="16">
        <f>IFERROR(IF(AK40=0, 0, (AK40-H40)/H40), 0)</f>
        <v/>
      </c>
      <c r="AM40" s="13">
        <f>IFERROR(VLOOKUP(A40, AZInsight_Data!$A:$AS, 34, FALSE), 0)</f>
        <v/>
      </c>
      <c r="AN40">
        <f>IFERROR(AND(VLOOKUP(A40, KEEPA!$A:$AW, 2, FALSE)&lt;=$AO$2, N40 &gt;= $AM$2), FALSE)</f>
        <v/>
      </c>
      <c r="AO40" s="16">
        <f>IFERROR(VLOOKUP(A40, KEEPA!$A:$AW, 24, FALSE), 0)</f>
        <v/>
      </c>
      <c r="AP40" s="16">
        <f>IFERROR(VLOOKUP(A40, KEEPA!$A:$AW, 48, FALSE), 0)</f>
        <v/>
      </c>
      <c r="AQ40">
        <f>IFERROR(VLOOKUP(A40, AZInsight_Data!$A:$AS, 5, FALSE), "SL")</f>
        <v/>
      </c>
      <c r="AR40">
        <f>IF(OR(A40="", A40=0), "", HYPERLINK("https://keepa.com/#!product/1-"&amp;A40, "Keepa"))</f>
        <v/>
      </c>
      <c r="AS40">
        <f>IF(OR(A40="", A40=0), "", HYPERLINK("https://www.amazon.com/dp/"&amp;A40, "Amazon"))</f>
        <v/>
      </c>
      <c r="AT40">
        <f>IF(OR(A40="", A40=0), "", HYPERLINK("https://sellercentral.amazon.com/product-search/search?q="&amp;A40, "Check Gated"))</f>
        <v/>
      </c>
      <c r="AU40" s="12" t="n"/>
      <c r="AV40" s="12" t="n"/>
      <c r="AW40" s="12" t="n"/>
    </row>
    <row r="41">
      <c r="A41" s="12" t="n"/>
      <c r="B41" s="12">
        <f>IFERROR(VLOOKUP(A41, AZInsight_Data!$A:$AS, 3, FALSE), "")</f>
        <v/>
      </c>
      <c r="C41" s="13">
        <f>IFERROR(VLOOKUP(A41, AZInsight_Data!$A:$AS, 9, FALSE), 0)</f>
        <v/>
      </c>
      <c r="D41">
        <f>IFERROR(VLOOKUP(A41, AZInsight_Data!$A:$AS, 17, FALSE), 0)</f>
        <v/>
      </c>
      <c r="E41">
        <f>IFERROR(VLOOKUP(A41, AZInsight_Data!$A:$AS, 18, FALSE), 0)</f>
        <v/>
      </c>
      <c r="F41" s="14">
        <f>IFERROR(VLOOKUP(A41, AZInsight_Data!$A:$AS, 7, FALSE), 0)</f>
        <v/>
      </c>
      <c r="G41" s="15">
        <f>IFERROR(VLOOKUP(A41, AZInsight_Data!$A:$AS, 14, FALSE), 0)</f>
        <v/>
      </c>
      <c r="H41" s="14">
        <f>IFERROR(VLOOKUP(A41, AZInsight_Data!$A:$AS, 8, FALSE), 0)</f>
        <v/>
      </c>
      <c r="I41" s="16">
        <f>IFERROR(VLOOKUP(A41, KEEPA!$A:$AW, 47, FALSE), 0)</f>
        <v/>
      </c>
      <c r="J41">
        <f>IFERROR(VLOOKUP(A41, AZInsight_Data!$A:$AS, 25, FALSE), 0)</f>
        <v/>
      </c>
      <c r="K41" s="15">
        <f>IFERROR(VLOOKUP(A41, AZInsight_Data!$A:$AS, 16, FALSE), 0)</f>
        <v/>
      </c>
      <c r="L41" s="15">
        <f>IFERROR(K41-T41-J41, 0)</f>
        <v/>
      </c>
      <c r="M41" s="16">
        <f>IFERROR(IF(T41=0, 0, L41/T41), 0)</f>
        <v/>
      </c>
      <c r="N41" s="14">
        <f>IFERROR(C41*($V$2/30), 0)</f>
        <v/>
      </c>
      <c r="O41">
        <f>IFERROR(VLOOKUP(A41, AZInsight_Data!$A:$AS, 40, FALSE), 1)</f>
        <v/>
      </c>
      <c r="P41" s="13">
        <f>IF(O41&gt;0, O41, 1)</f>
        <v/>
      </c>
      <c r="Q41" s="13">
        <f>IFERROR(U41/P41, 0)</f>
        <v/>
      </c>
      <c r="R41">
        <f>IFERROR(VLOOKUP(A41, AZInsight_Data!$A:$AS, 36, FALSE), "")</f>
        <v/>
      </c>
      <c r="S41">
        <f>IFERROR(VLOOKUP(A41, AZInsight_Data!$A:$AS, 3, FALSE), "")</f>
        <v/>
      </c>
      <c r="T41" s="17">
        <f>IFERROR(VLOOKUP(A41, AZInsight_Data!$A:$AS, 13, FALSE), 0)</f>
        <v/>
      </c>
      <c r="U41" s="13">
        <f>AH41</f>
        <v/>
      </c>
      <c r="V41" s="15">
        <f>T41*U41</f>
        <v/>
      </c>
      <c r="W41" s="16" t="n"/>
      <c r="X41" s="12">
        <f>IFERROR(VLOOKUP(A41, AZInsight_Data!$A:$AS, 40, FALSE), 1)</f>
        <v/>
      </c>
      <c r="Y41" s="13">
        <f>IFERROR(VLOOKUP(A41, IP Qty!$D:$R, 5, FALSE), 0)</f>
        <v/>
      </c>
      <c r="Z41" s="14">
        <f>IFERROR(VLOOKUP(A41, IP Qty!$D:$R, 6, FALSE), 0)</f>
        <v/>
      </c>
      <c r="AA41">
        <f>IFERROR(VLOOKUP(A41, IP Qty!$D:$R, 7, FALSE), 0)</f>
        <v/>
      </c>
      <c r="AB41">
        <f>IFERROR(VLOOKUP(A41, IP Qty!$D:$R, 9, FALSE), 0)</f>
        <v/>
      </c>
      <c r="AC41">
        <f>IFERROR(VLOOKUP(A41, IP Qty!$D:$R, 8, FALSE), 0)</f>
        <v/>
      </c>
      <c r="AD41" s="14">
        <f>IFERROR(VLOOKUP(A41, KEEPA!$A:$AW, 34, FALSE), 0)</f>
        <v/>
      </c>
      <c r="AE41" s="15">
        <f>IF(P41&gt;1, ((((M41&gt;=$AD$2)*(L41&gt;=$AH$2)) + ((M41&lt;$AD$2)*(M41&gt;=$AE$2)*(L41&gt;=$AG$2)) + ((M41&lt;$AE$2)*(M41&gt;=$AC$2)*(L41&gt;=0)))*2 * IF($AI$2=0, 1, AI41&lt;=$AI$2) * IF($AK$2=0, 1, AK41&lt;=$AK$2) * AND(N41&gt;=$D$1, H41&lt;=$I$2, G41&gt;=$H$2)), ((((M41&gt;=$AD$2)*(L41&gt;=$AH$2)) + ((M41&lt;$AD$2)*(M41&gt;=$AE$2)*(L41&gt;=$AG$2)) + ((M41&lt;$AE$2)*(M41&gt;=$AC$2)*(L41&gt;=0))) * IF($AI$2=0, 1, AI41&lt;=$AI$2) * IF($AK$2=0, 1, AK41&lt;=$AK$2) * AND(N41&gt;=$D$1, H41&lt;=$I$2, G41&gt;=$H$2)))</f>
        <v/>
      </c>
      <c r="AF41">
        <f>IF(AE41&gt;0, 1, 0)</f>
        <v/>
      </c>
      <c r="AG41">
        <f>IFERROR(IF(ISNUMBER(W41), IF(AN41, N41*W41*$AN$2, N41*W41), NA()), NA())</f>
        <v/>
      </c>
      <c r="AH41" s="13">
        <f>IFERROR(MIN(AG41, $U$2), 0)</f>
        <v/>
      </c>
      <c r="AI41" s="14">
        <f>IFERROR(VLOOKUP(A41, KEEPA!$A:$AW, 26, FALSE), 0)</f>
        <v/>
      </c>
      <c r="AJ41" s="16">
        <f>IFERROR(IF(AI41=0, 0, (AI41-H41)/H41), 0)</f>
        <v/>
      </c>
      <c r="AK41" s="14">
        <f>IFERROR(VLOOKUP(A41, KEEPA!$A:$AW, 28, FALSE), 0)</f>
        <v/>
      </c>
      <c r="AL41" s="16">
        <f>IFERROR(IF(AK41=0, 0, (AK41-H41)/H41), 0)</f>
        <v/>
      </c>
      <c r="AM41" s="13">
        <f>IFERROR(VLOOKUP(A41, AZInsight_Data!$A:$AS, 34, FALSE), 0)</f>
        <v/>
      </c>
      <c r="AN41">
        <f>IFERROR(AND(VLOOKUP(A41, KEEPA!$A:$AW, 2, FALSE)&lt;=$AO$2, N41 &gt;= $AM$2), FALSE)</f>
        <v/>
      </c>
      <c r="AO41" s="16">
        <f>IFERROR(VLOOKUP(A41, KEEPA!$A:$AW, 24, FALSE), 0)</f>
        <v/>
      </c>
      <c r="AP41" s="16">
        <f>IFERROR(VLOOKUP(A41, KEEPA!$A:$AW, 48, FALSE), 0)</f>
        <v/>
      </c>
      <c r="AQ41">
        <f>IFERROR(VLOOKUP(A41, AZInsight_Data!$A:$AS, 5, FALSE), "SL")</f>
        <v/>
      </c>
      <c r="AR41">
        <f>IF(OR(A41="", A41=0), "", HYPERLINK("https://keepa.com/#!product/1-"&amp;A41, "Keepa"))</f>
        <v/>
      </c>
      <c r="AS41">
        <f>IF(OR(A41="", A41=0), "", HYPERLINK("https://www.amazon.com/dp/"&amp;A41, "Amazon"))</f>
        <v/>
      </c>
      <c r="AT41">
        <f>IF(OR(A41="", A41=0), "", HYPERLINK("https://sellercentral.amazon.com/product-search/search?q="&amp;A41, "Check Gated"))</f>
        <v/>
      </c>
      <c r="AU41" s="12" t="n"/>
      <c r="AV41" s="12" t="n"/>
      <c r="AW41" s="12" t="n"/>
    </row>
    <row r="42">
      <c r="A42" s="12" t="n"/>
      <c r="B42" s="12">
        <f>IFERROR(VLOOKUP(A42, AZInsight_Data!$A:$AS, 3, FALSE), "")</f>
        <v/>
      </c>
      <c r="C42" s="13">
        <f>IFERROR(VLOOKUP(A42, AZInsight_Data!$A:$AS, 9, FALSE), 0)</f>
        <v/>
      </c>
      <c r="D42">
        <f>IFERROR(VLOOKUP(A42, AZInsight_Data!$A:$AS, 17, FALSE), 0)</f>
        <v/>
      </c>
      <c r="E42">
        <f>IFERROR(VLOOKUP(A42, AZInsight_Data!$A:$AS, 18, FALSE), 0)</f>
        <v/>
      </c>
      <c r="F42" s="14">
        <f>IFERROR(VLOOKUP(A42, AZInsight_Data!$A:$AS, 7, FALSE), 0)</f>
        <v/>
      </c>
      <c r="G42" s="15">
        <f>IFERROR(VLOOKUP(A42, AZInsight_Data!$A:$AS, 14, FALSE), 0)</f>
        <v/>
      </c>
      <c r="H42" s="14">
        <f>IFERROR(VLOOKUP(A42, AZInsight_Data!$A:$AS, 8, FALSE), 0)</f>
        <v/>
      </c>
      <c r="I42" s="16">
        <f>IFERROR(VLOOKUP(A42, KEEPA!$A:$AW, 47, FALSE), 0)</f>
        <v/>
      </c>
      <c r="J42">
        <f>IFERROR(VLOOKUP(A42, AZInsight_Data!$A:$AS, 25, FALSE), 0)</f>
        <v/>
      </c>
      <c r="K42" s="15">
        <f>IFERROR(VLOOKUP(A42, AZInsight_Data!$A:$AS, 16, FALSE), 0)</f>
        <v/>
      </c>
      <c r="L42" s="15">
        <f>IFERROR(K42-T42-J42, 0)</f>
        <v/>
      </c>
      <c r="M42" s="16">
        <f>IFERROR(IF(T42=0, 0, L42/T42), 0)</f>
        <v/>
      </c>
      <c r="N42" s="14">
        <f>IFERROR(C42*($V$2/30), 0)</f>
        <v/>
      </c>
      <c r="O42">
        <f>IFERROR(VLOOKUP(A42, AZInsight_Data!$A:$AS, 40, FALSE), 1)</f>
        <v/>
      </c>
      <c r="P42" s="13">
        <f>IF(O42&gt;0, O42, 1)</f>
        <v/>
      </c>
      <c r="Q42" s="13">
        <f>IFERROR(U42/P42, 0)</f>
        <v/>
      </c>
      <c r="R42">
        <f>IFERROR(VLOOKUP(A42, AZInsight_Data!$A:$AS, 36, FALSE), "")</f>
        <v/>
      </c>
      <c r="S42">
        <f>IFERROR(VLOOKUP(A42, AZInsight_Data!$A:$AS, 3, FALSE), "")</f>
        <v/>
      </c>
      <c r="T42" s="17">
        <f>IFERROR(VLOOKUP(A42, AZInsight_Data!$A:$AS, 13, FALSE), 0)</f>
        <v/>
      </c>
      <c r="U42" s="13">
        <f>AH42</f>
        <v/>
      </c>
      <c r="V42" s="15">
        <f>T42*U42</f>
        <v/>
      </c>
      <c r="W42" s="16" t="n"/>
      <c r="X42" s="12">
        <f>IFERROR(VLOOKUP(A42, AZInsight_Data!$A:$AS, 40, FALSE), 1)</f>
        <v/>
      </c>
      <c r="Y42" s="13">
        <f>IFERROR(VLOOKUP(A42, IP Qty!$D:$R, 5, FALSE), 0)</f>
        <v/>
      </c>
      <c r="Z42" s="14">
        <f>IFERROR(VLOOKUP(A42, IP Qty!$D:$R, 6, FALSE), 0)</f>
        <v/>
      </c>
      <c r="AA42">
        <f>IFERROR(VLOOKUP(A42, IP Qty!$D:$R, 7, FALSE), 0)</f>
        <v/>
      </c>
      <c r="AB42">
        <f>IFERROR(VLOOKUP(A42, IP Qty!$D:$R, 9, FALSE), 0)</f>
        <v/>
      </c>
      <c r="AC42">
        <f>IFERROR(VLOOKUP(A42, IP Qty!$D:$R, 8, FALSE), 0)</f>
        <v/>
      </c>
      <c r="AD42" s="14">
        <f>IFERROR(VLOOKUP(A42, KEEPA!$A:$AW, 34, FALSE), 0)</f>
        <v/>
      </c>
      <c r="AE42" s="15">
        <f>IF(P42&gt;1, ((((M42&gt;=$AD$2)*(L42&gt;=$AH$2)) + ((M42&lt;$AD$2)*(M42&gt;=$AE$2)*(L42&gt;=$AG$2)) + ((M42&lt;$AE$2)*(M42&gt;=$AC$2)*(L42&gt;=0)))*2 * IF($AI$2=0, 1, AI42&lt;=$AI$2) * IF($AK$2=0, 1, AK42&lt;=$AK$2) * AND(N42&gt;=$D$1, H42&lt;=$I$2, G42&gt;=$H$2)), ((((M42&gt;=$AD$2)*(L42&gt;=$AH$2)) + ((M42&lt;$AD$2)*(M42&gt;=$AE$2)*(L42&gt;=$AG$2)) + ((M42&lt;$AE$2)*(M42&gt;=$AC$2)*(L42&gt;=0))) * IF($AI$2=0, 1, AI42&lt;=$AI$2) * IF($AK$2=0, 1, AK42&lt;=$AK$2) * AND(N42&gt;=$D$1, H42&lt;=$I$2, G42&gt;=$H$2)))</f>
        <v/>
      </c>
      <c r="AF42">
        <f>IF(AE42&gt;0, 1, 0)</f>
        <v/>
      </c>
      <c r="AG42">
        <f>IFERROR(IF(ISNUMBER(W42), IF(AN42, N42*W42*$AN$2, N42*W42), NA()), NA())</f>
        <v/>
      </c>
      <c r="AH42" s="13">
        <f>IFERROR(MIN(AG42, $U$2), 0)</f>
        <v/>
      </c>
      <c r="AI42" s="14">
        <f>IFERROR(VLOOKUP(A42, KEEPA!$A:$AW, 26, FALSE), 0)</f>
        <v/>
      </c>
      <c r="AJ42" s="16">
        <f>IFERROR(IF(AI42=0, 0, (AI42-H42)/H42), 0)</f>
        <v/>
      </c>
      <c r="AK42" s="14">
        <f>IFERROR(VLOOKUP(A42, KEEPA!$A:$AW, 28, FALSE), 0)</f>
        <v/>
      </c>
      <c r="AL42" s="16">
        <f>IFERROR(IF(AK42=0, 0, (AK42-H42)/H42), 0)</f>
        <v/>
      </c>
      <c r="AM42" s="13">
        <f>IFERROR(VLOOKUP(A42, AZInsight_Data!$A:$AS, 34, FALSE), 0)</f>
        <v/>
      </c>
      <c r="AN42">
        <f>IFERROR(AND(VLOOKUP(A42, KEEPA!$A:$AW, 2, FALSE)&lt;=$AO$2, N42 &gt;= $AM$2), FALSE)</f>
        <v/>
      </c>
      <c r="AO42" s="16">
        <f>IFERROR(VLOOKUP(A42, KEEPA!$A:$AW, 24, FALSE), 0)</f>
        <v/>
      </c>
      <c r="AP42" s="16">
        <f>IFERROR(VLOOKUP(A42, KEEPA!$A:$AW, 48, FALSE), 0)</f>
        <v/>
      </c>
      <c r="AQ42">
        <f>IFERROR(VLOOKUP(A42, AZInsight_Data!$A:$AS, 5, FALSE), "SL")</f>
        <v/>
      </c>
      <c r="AR42">
        <f>IF(OR(A42="", A42=0), "", HYPERLINK("https://keepa.com/#!product/1-"&amp;A42, "Keepa"))</f>
        <v/>
      </c>
      <c r="AS42">
        <f>IF(OR(A42="", A42=0), "", HYPERLINK("https://www.amazon.com/dp/"&amp;A42, "Amazon"))</f>
        <v/>
      </c>
      <c r="AT42">
        <f>IF(OR(A42="", A42=0), "", HYPERLINK("https://sellercentral.amazon.com/product-search/search?q="&amp;A42, "Check Gated"))</f>
        <v/>
      </c>
      <c r="AU42" s="12" t="n"/>
      <c r="AV42" s="12" t="n"/>
      <c r="AW42" s="12" t="n"/>
    </row>
    <row r="43">
      <c r="A43" s="12" t="n"/>
      <c r="B43" s="12">
        <f>IFERROR(VLOOKUP(A43, AZInsight_Data!$A:$AS, 3, FALSE), "")</f>
        <v/>
      </c>
      <c r="C43" s="13">
        <f>IFERROR(VLOOKUP(A43, AZInsight_Data!$A:$AS, 9, FALSE), 0)</f>
        <v/>
      </c>
      <c r="D43">
        <f>IFERROR(VLOOKUP(A43, AZInsight_Data!$A:$AS, 17, FALSE), 0)</f>
        <v/>
      </c>
      <c r="E43">
        <f>IFERROR(VLOOKUP(A43, AZInsight_Data!$A:$AS, 18, FALSE), 0)</f>
        <v/>
      </c>
      <c r="F43" s="14">
        <f>IFERROR(VLOOKUP(A43, AZInsight_Data!$A:$AS, 7, FALSE), 0)</f>
        <v/>
      </c>
      <c r="G43" s="15">
        <f>IFERROR(VLOOKUP(A43, AZInsight_Data!$A:$AS, 14, FALSE), 0)</f>
        <v/>
      </c>
      <c r="H43" s="14">
        <f>IFERROR(VLOOKUP(A43, AZInsight_Data!$A:$AS, 8, FALSE), 0)</f>
        <v/>
      </c>
      <c r="I43" s="16">
        <f>IFERROR(VLOOKUP(A43, KEEPA!$A:$AW, 47, FALSE), 0)</f>
        <v/>
      </c>
      <c r="J43">
        <f>IFERROR(VLOOKUP(A43, AZInsight_Data!$A:$AS, 25, FALSE), 0)</f>
        <v/>
      </c>
      <c r="K43" s="15">
        <f>IFERROR(VLOOKUP(A43, AZInsight_Data!$A:$AS, 16, FALSE), 0)</f>
        <v/>
      </c>
      <c r="L43" s="15">
        <f>IFERROR(K43-T43-J43, 0)</f>
        <v/>
      </c>
      <c r="M43" s="16">
        <f>IFERROR(IF(T43=0, 0, L43/T43), 0)</f>
        <v/>
      </c>
      <c r="N43" s="14">
        <f>IFERROR(C43*($V$2/30), 0)</f>
        <v/>
      </c>
      <c r="O43">
        <f>IFERROR(VLOOKUP(A43, AZInsight_Data!$A:$AS, 40, FALSE), 1)</f>
        <v/>
      </c>
      <c r="P43" s="13">
        <f>IF(O43&gt;0, O43, 1)</f>
        <v/>
      </c>
      <c r="Q43" s="13">
        <f>IFERROR(U43/P43, 0)</f>
        <v/>
      </c>
      <c r="R43">
        <f>IFERROR(VLOOKUP(A43, AZInsight_Data!$A:$AS, 36, FALSE), "")</f>
        <v/>
      </c>
      <c r="S43">
        <f>IFERROR(VLOOKUP(A43, AZInsight_Data!$A:$AS, 3, FALSE), "")</f>
        <v/>
      </c>
      <c r="T43" s="17">
        <f>IFERROR(VLOOKUP(A43, AZInsight_Data!$A:$AS, 13, FALSE), 0)</f>
        <v/>
      </c>
      <c r="U43" s="13">
        <f>AH43</f>
        <v/>
      </c>
      <c r="V43" s="15">
        <f>T43*U43</f>
        <v/>
      </c>
      <c r="W43" s="16" t="n"/>
      <c r="X43" s="12">
        <f>IFERROR(VLOOKUP(A43, AZInsight_Data!$A:$AS, 40, FALSE), 1)</f>
        <v/>
      </c>
      <c r="Y43" s="13">
        <f>IFERROR(VLOOKUP(A43, IP Qty!$D:$R, 5, FALSE), 0)</f>
        <v/>
      </c>
      <c r="Z43" s="14">
        <f>IFERROR(VLOOKUP(A43, IP Qty!$D:$R, 6, FALSE), 0)</f>
        <v/>
      </c>
      <c r="AA43">
        <f>IFERROR(VLOOKUP(A43, IP Qty!$D:$R, 7, FALSE), 0)</f>
        <v/>
      </c>
      <c r="AB43">
        <f>IFERROR(VLOOKUP(A43, IP Qty!$D:$R, 9, FALSE), 0)</f>
        <v/>
      </c>
      <c r="AC43">
        <f>IFERROR(VLOOKUP(A43, IP Qty!$D:$R, 8, FALSE), 0)</f>
        <v/>
      </c>
      <c r="AD43" s="14">
        <f>IFERROR(VLOOKUP(A43, KEEPA!$A:$AW, 34, FALSE), 0)</f>
        <v/>
      </c>
      <c r="AE43" s="15">
        <f>IF(P43&gt;1, ((((M43&gt;=$AD$2)*(L43&gt;=$AH$2)) + ((M43&lt;$AD$2)*(M43&gt;=$AE$2)*(L43&gt;=$AG$2)) + ((M43&lt;$AE$2)*(M43&gt;=$AC$2)*(L43&gt;=0)))*2 * IF($AI$2=0, 1, AI43&lt;=$AI$2) * IF($AK$2=0, 1, AK43&lt;=$AK$2) * AND(N43&gt;=$D$1, H43&lt;=$I$2, G43&gt;=$H$2)), ((((M43&gt;=$AD$2)*(L43&gt;=$AH$2)) + ((M43&lt;$AD$2)*(M43&gt;=$AE$2)*(L43&gt;=$AG$2)) + ((M43&lt;$AE$2)*(M43&gt;=$AC$2)*(L43&gt;=0))) * IF($AI$2=0, 1, AI43&lt;=$AI$2) * IF($AK$2=0, 1, AK43&lt;=$AK$2) * AND(N43&gt;=$D$1, H43&lt;=$I$2, G43&gt;=$H$2)))</f>
        <v/>
      </c>
      <c r="AF43">
        <f>IF(AE43&gt;0, 1, 0)</f>
        <v/>
      </c>
      <c r="AG43">
        <f>IFERROR(IF(ISNUMBER(W43), IF(AN43, N43*W43*$AN$2, N43*W43), NA()), NA())</f>
        <v/>
      </c>
      <c r="AH43" s="13">
        <f>IFERROR(MIN(AG43, $U$2), 0)</f>
        <v/>
      </c>
      <c r="AI43" s="14">
        <f>IFERROR(VLOOKUP(A43, KEEPA!$A:$AW, 26, FALSE), 0)</f>
        <v/>
      </c>
      <c r="AJ43" s="16">
        <f>IFERROR(IF(AI43=0, 0, (AI43-H43)/H43), 0)</f>
        <v/>
      </c>
      <c r="AK43" s="14">
        <f>IFERROR(VLOOKUP(A43, KEEPA!$A:$AW, 28, FALSE), 0)</f>
        <v/>
      </c>
      <c r="AL43" s="16">
        <f>IFERROR(IF(AK43=0, 0, (AK43-H43)/H43), 0)</f>
        <v/>
      </c>
      <c r="AM43" s="13">
        <f>IFERROR(VLOOKUP(A43, AZInsight_Data!$A:$AS, 34, FALSE), 0)</f>
        <v/>
      </c>
      <c r="AN43">
        <f>IFERROR(AND(VLOOKUP(A43, KEEPA!$A:$AW, 2, FALSE)&lt;=$AO$2, N43 &gt;= $AM$2), FALSE)</f>
        <v/>
      </c>
      <c r="AO43" s="16">
        <f>IFERROR(VLOOKUP(A43, KEEPA!$A:$AW, 24, FALSE), 0)</f>
        <v/>
      </c>
      <c r="AP43" s="16">
        <f>IFERROR(VLOOKUP(A43, KEEPA!$A:$AW, 48, FALSE), 0)</f>
        <v/>
      </c>
      <c r="AQ43">
        <f>IFERROR(VLOOKUP(A43, AZInsight_Data!$A:$AS, 5, FALSE), "SL")</f>
        <v/>
      </c>
      <c r="AR43">
        <f>IF(OR(A43="", A43=0), "", HYPERLINK("https://keepa.com/#!product/1-"&amp;A43, "Keepa"))</f>
        <v/>
      </c>
      <c r="AS43">
        <f>IF(OR(A43="", A43=0), "", HYPERLINK("https://www.amazon.com/dp/"&amp;A43, "Amazon"))</f>
        <v/>
      </c>
      <c r="AT43">
        <f>IF(OR(A43="", A43=0), "", HYPERLINK("https://sellercentral.amazon.com/product-search/search?q="&amp;A43, "Check Gated"))</f>
        <v/>
      </c>
      <c r="AU43" s="12" t="n"/>
      <c r="AV43" s="12" t="n"/>
      <c r="AW43" s="12" t="n"/>
    </row>
    <row r="44">
      <c r="A44" s="12" t="n"/>
      <c r="B44" s="12">
        <f>IFERROR(VLOOKUP(A44, AZInsight_Data!$A:$AS, 3, FALSE), "")</f>
        <v/>
      </c>
      <c r="C44" s="13">
        <f>IFERROR(VLOOKUP(A44, AZInsight_Data!$A:$AS, 9, FALSE), 0)</f>
        <v/>
      </c>
      <c r="D44">
        <f>IFERROR(VLOOKUP(A44, AZInsight_Data!$A:$AS, 17, FALSE), 0)</f>
        <v/>
      </c>
      <c r="E44">
        <f>IFERROR(VLOOKUP(A44, AZInsight_Data!$A:$AS, 18, FALSE), 0)</f>
        <v/>
      </c>
      <c r="F44" s="14">
        <f>IFERROR(VLOOKUP(A44, AZInsight_Data!$A:$AS, 7, FALSE), 0)</f>
        <v/>
      </c>
      <c r="G44" s="15">
        <f>IFERROR(VLOOKUP(A44, AZInsight_Data!$A:$AS, 14, FALSE), 0)</f>
        <v/>
      </c>
      <c r="H44" s="14">
        <f>IFERROR(VLOOKUP(A44, AZInsight_Data!$A:$AS, 8, FALSE), 0)</f>
        <v/>
      </c>
      <c r="I44" s="16">
        <f>IFERROR(VLOOKUP(A44, KEEPA!$A:$AW, 47, FALSE), 0)</f>
        <v/>
      </c>
      <c r="J44">
        <f>IFERROR(VLOOKUP(A44, AZInsight_Data!$A:$AS, 25, FALSE), 0)</f>
        <v/>
      </c>
      <c r="K44" s="15">
        <f>IFERROR(VLOOKUP(A44, AZInsight_Data!$A:$AS, 16, FALSE), 0)</f>
        <v/>
      </c>
      <c r="L44" s="15">
        <f>IFERROR(K44-T44-J44, 0)</f>
        <v/>
      </c>
      <c r="M44" s="16">
        <f>IFERROR(IF(T44=0, 0, L44/T44), 0)</f>
        <v/>
      </c>
      <c r="N44" s="14">
        <f>IFERROR(C44*($V$2/30), 0)</f>
        <v/>
      </c>
      <c r="O44">
        <f>IFERROR(VLOOKUP(A44, AZInsight_Data!$A:$AS, 40, FALSE), 1)</f>
        <v/>
      </c>
      <c r="P44" s="13">
        <f>IF(O44&gt;0, O44, 1)</f>
        <v/>
      </c>
      <c r="Q44" s="13">
        <f>IFERROR(U44/P44, 0)</f>
        <v/>
      </c>
      <c r="R44">
        <f>IFERROR(VLOOKUP(A44, AZInsight_Data!$A:$AS, 36, FALSE), "")</f>
        <v/>
      </c>
      <c r="S44">
        <f>IFERROR(VLOOKUP(A44, AZInsight_Data!$A:$AS, 3, FALSE), "")</f>
        <v/>
      </c>
      <c r="T44" s="17">
        <f>IFERROR(VLOOKUP(A44, AZInsight_Data!$A:$AS, 13, FALSE), 0)</f>
        <v/>
      </c>
      <c r="U44" s="13">
        <f>AH44</f>
        <v/>
      </c>
      <c r="V44" s="15">
        <f>T44*U44</f>
        <v/>
      </c>
      <c r="W44" s="16" t="n"/>
      <c r="X44" s="12">
        <f>IFERROR(VLOOKUP(A44, AZInsight_Data!$A:$AS, 40, FALSE), 1)</f>
        <v/>
      </c>
      <c r="Y44" s="13">
        <f>IFERROR(VLOOKUP(A44, IP Qty!$D:$R, 5, FALSE), 0)</f>
        <v/>
      </c>
      <c r="Z44" s="14">
        <f>IFERROR(VLOOKUP(A44, IP Qty!$D:$R, 6, FALSE), 0)</f>
        <v/>
      </c>
      <c r="AA44">
        <f>IFERROR(VLOOKUP(A44, IP Qty!$D:$R, 7, FALSE), 0)</f>
        <v/>
      </c>
      <c r="AB44">
        <f>IFERROR(VLOOKUP(A44, IP Qty!$D:$R, 9, FALSE), 0)</f>
        <v/>
      </c>
      <c r="AC44">
        <f>IFERROR(VLOOKUP(A44, IP Qty!$D:$R, 8, FALSE), 0)</f>
        <v/>
      </c>
      <c r="AD44" s="14">
        <f>IFERROR(VLOOKUP(A44, KEEPA!$A:$AW, 34, FALSE), 0)</f>
        <v/>
      </c>
      <c r="AE44" s="15">
        <f>IF(P44&gt;1, ((((M44&gt;=$AD$2)*(L44&gt;=$AH$2)) + ((M44&lt;$AD$2)*(M44&gt;=$AE$2)*(L44&gt;=$AG$2)) + ((M44&lt;$AE$2)*(M44&gt;=$AC$2)*(L44&gt;=0)))*2 * IF($AI$2=0, 1, AI44&lt;=$AI$2) * IF($AK$2=0, 1, AK44&lt;=$AK$2) * AND(N44&gt;=$D$1, H44&lt;=$I$2, G44&gt;=$H$2)), ((((M44&gt;=$AD$2)*(L44&gt;=$AH$2)) + ((M44&lt;$AD$2)*(M44&gt;=$AE$2)*(L44&gt;=$AG$2)) + ((M44&lt;$AE$2)*(M44&gt;=$AC$2)*(L44&gt;=0))) * IF($AI$2=0, 1, AI44&lt;=$AI$2) * IF($AK$2=0, 1, AK44&lt;=$AK$2) * AND(N44&gt;=$D$1, H44&lt;=$I$2, G44&gt;=$H$2)))</f>
        <v/>
      </c>
      <c r="AF44">
        <f>IF(AE44&gt;0, 1, 0)</f>
        <v/>
      </c>
      <c r="AG44">
        <f>IFERROR(IF(ISNUMBER(W44), IF(AN44, N44*W44*$AN$2, N44*W44), NA()), NA())</f>
        <v/>
      </c>
      <c r="AH44" s="13">
        <f>IFERROR(MIN(AG44, $U$2), 0)</f>
        <v/>
      </c>
      <c r="AI44" s="14">
        <f>IFERROR(VLOOKUP(A44, KEEPA!$A:$AW, 26, FALSE), 0)</f>
        <v/>
      </c>
      <c r="AJ44" s="16">
        <f>IFERROR(IF(AI44=0, 0, (AI44-H44)/H44), 0)</f>
        <v/>
      </c>
      <c r="AK44" s="14">
        <f>IFERROR(VLOOKUP(A44, KEEPA!$A:$AW, 28, FALSE), 0)</f>
        <v/>
      </c>
      <c r="AL44" s="16">
        <f>IFERROR(IF(AK44=0, 0, (AK44-H44)/H44), 0)</f>
        <v/>
      </c>
      <c r="AM44" s="13">
        <f>IFERROR(VLOOKUP(A44, AZInsight_Data!$A:$AS, 34, FALSE), 0)</f>
        <v/>
      </c>
      <c r="AN44">
        <f>IFERROR(AND(VLOOKUP(A44, KEEPA!$A:$AW, 2, FALSE)&lt;=$AO$2, N44 &gt;= $AM$2), FALSE)</f>
        <v/>
      </c>
      <c r="AO44" s="16">
        <f>IFERROR(VLOOKUP(A44, KEEPA!$A:$AW, 24, FALSE), 0)</f>
        <v/>
      </c>
      <c r="AP44" s="16">
        <f>IFERROR(VLOOKUP(A44, KEEPA!$A:$AW, 48, FALSE), 0)</f>
        <v/>
      </c>
      <c r="AQ44">
        <f>IFERROR(VLOOKUP(A44, AZInsight_Data!$A:$AS, 5, FALSE), "SL")</f>
        <v/>
      </c>
      <c r="AR44">
        <f>IF(OR(A44="", A44=0), "", HYPERLINK("https://keepa.com/#!product/1-"&amp;A44, "Keepa"))</f>
        <v/>
      </c>
      <c r="AS44">
        <f>IF(OR(A44="", A44=0), "", HYPERLINK("https://www.amazon.com/dp/"&amp;A44, "Amazon"))</f>
        <v/>
      </c>
      <c r="AT44">
        <f>IF(OR(A44="", A44=0), "", HYPERLINK("https://sellercentral.amazon.com/product-search/search?q="&amp;A44, "Check Gated"))</f>
        <v/>
      </c>
      <c r="AU44" s="12" t="n"/>
      <c r="AV44" s="12" t="n"/>
      <c r="AW44" s="12" t="n"/>
    </row>
    <row r="45">
      <c r="A45" s="12" t="n"/>
      <c r="B45" s="12">
        <f>IFERROR(VLOOKUP(A45, AZInsight_Data!$A:$AS, 3, FALSE), "")</f>
        <v/>
      </c>
      <c r="C45" s="13">
        <f>IFERROR(VLOOKUP(A45, AZInsight_Data!$A:$AS, 9, FALSE), 0)</f>
        <v/>
      </c>
      <c r="D45">
        <f>IFERROR(VLOOKUP(A45, AZInsight_Data!$A:$AS, 17, FALSE), 0)</f>
        <v/>
      </c>
      <c r="E45">
        <f>IFERROR(VLOOKUP(A45, AZInsight_Data!$A:$AS, 18, FALSE), 0)</f>
        <v/>
      </c>
      <c r="F45" s="14">
        <f>IFERROR(VLOOKUP(A45, AZInsight_Data!$A:$AS, 7, FALSE), 0)</f>
        <v/>
      </c>
      <c r="G45" s="15">
        <f>IFERROR(VLOOKUP(A45, AZInsight_Data!$A:$AS, 14, FALSE), 0)</f>
        <v/>
      </c>
      <c r="H45" s="14">
        <f>IFERROR(VLOOKUP(A45, AZInsight_Data!$A:$AS, 8, FALSE), 0)</f>
        <v/>
      </c>
      <c r="I45" s="16">
        <f>IFERROR(VLOOKUP(A45, KEEPA!$A:$AW, 47, FALSE), 0)</f>
        <v/>
      </c>
      <c r="J45">
        <f>IFERROR(VLOOKUP(A45, AZInsight_Data!$A:$AS, 25, FALSE), 0)</f>
        <v/>
      </c>
      <c r="K45" s="15">
        <f>IFERROR(VLOOKUP(A45, AZInsight_Data!$A:$AS, 16, FALSE), 0)</f>
        <v/>
      </c>
      <c r="L45" s="15">
        <f>IFERROR(K45-T45-J45, 0)</f>
        <v/>
      </c>
      <c r="M45" s="16">
        <f>IFERROR(IF(T45=0, 0, L45/T45), 0)</f>
        <v/>
      </c>
      <c r="N45" s="14">
        <f>IFERROR(C45*($V$2/30), 0)</f>
        <v/>
      </c>
      <c r="O45">
        <f>IFERROR(VLOOKUP(A45, AZInsight_Data!$A:$AS, 40, FALSE), 1)</f>
        <v/>
      </c>
      <c r="P45" s="13">
        <f>IF(O45&gt;0, O45, 1)</f>
        <v/>
      </c>
      <c r="Q45" s="13">
        <f>IFERROR(U45/P45, 0)</f>
        <v/>
      </c>
      <c r="R45">
        <f>IFERROR(VLOOKUP(A45, AZInsight_Data!$A:$AS, 36, FALSE), "")</f>
        <v/>
      </c>
      <c r="S45">
        <f>IFERROR(VLOOKUP(A45, AZInsight_Data!$A:$AS, 3, FALSE), "")</f>
        <v/>
      </c>
      <c r="T45" s="17">
        <f>IFERROR(VLOOKUP(A45, AZInsight_Data!$A:$AS, 13, FALSE), 0)</f>
        <v/>
      </c>
      <c r="U45" s="13">
        <f>AH45</f>
        <v/>
      </c>
      <c r="V45" s="15">
        <f>T45*U45</f>
        <v/>
      </c>
      <c r="W45" s="16" t="n"/>
      <c r="X45" s="12">
        <f>IFERROR(VLOOKUP(A45, AZInsight_Data!$A:$AS, 40, FALSE), 1)</f>
        <v/>
      </c>
      <c r="Y45" s="13">
        <f>IFERROR(VLOOKUP(A45, IP Qty!$D:$R, 5, FALSE), 0)</f>
        <v/>
      </c>
      <c r="Z45" s="14">
        <f>IFERROR(VLOOKUP(A45, IP Qty!$D:$R, 6, FALSE), 0)</f>
        <v/>
      </c>
      <c r="AA45">
        <f>IFERROR(VLOOKUP(A45, IP Qty!$D:$R, 7, FALSE), 0)</f>
        <v/>
      </c>
      <c r="AB45">
        <f>IFERROR(VLOOKUP(A45, IP Qty!$D:$R, 9, FALSE), 0)</f>
        <v/>
      </c>
      <c r="AC45">
        <f>IFERROR(VLOOKUP(A45, IP Qty!$D:$R, 8, FALSE), 0)</f>
        <v/>
      </c>
      <c r="AD45" s="14">
        <f>IFERROR(VLOOKUP(A45, KEEPA!$A:$AW, 34, FALSE), 0)</f>
        <v/>
      </c>
      <c r="AE45" s="15">
        <f>IF(P45&gt;1, ((((M45&gt;=$AD$2)*(L45&gt;=$AH$2)) + ((M45&lt;$AD$2)*(M45&gt;=$AE$2)*(L45&gt;=$AG$2)) + ((M45&lt;$AE$2)*(M45&gt;=$AC$2)*(L45&gt;=0)))*2 * IF($AI$2=0, 1, AI45&lt;=$AI$2) * IF($AK$2=0, 1, AK45&lt;=$AK$2) * AND(N45&gt;=$D$1, H45&lt;=$I$2, G45&gt;=$H$2)), ((((M45&gt;=$AD$2)*(L45&gt;=$AH$2)) + ((M45&lt;$AD$2)*(M45&gt;=$AE$2)*(L45&gt;=$AG$2)) + ((M45&lt;$AE$2)*(M45&gt;=$AC$2)*(L45&gt;=0))) * IF($AI$2=0, 1, AI45&lt;=$AI$2) * IF($AK$2=0, 1, AK45&lt;=$AK$2) * AND(N45&gt;=$D$1, H45&lt;=$I$2, G45&gt;=$H$2)))</f>
        <v/>
      </c>
      <c r="AF45">
        <f>IF(AE45&gt;0, 1, 0)</f>
        <v/>
      </c>
      <c r="AG45">
        <f>IFERROR(IF(ISNUMBER(W45), IF(AN45, N45*W45*$AN$2, N45*W45), NA()), NA())</f>
        <v/>
      </c>
      <c r="AH45" s="13">
        <f>IFERROR(MIN(AG45, $U$2), 0)</f>
        <v/>
      </c>
      <c r="AI45" s="14">
        <f>IFERROR(VLOOKUP(A45, KEEPA!$A:$AW, 26, FALSE), 0)</f>
        <v/>
      </c>
      <c r="AJ45" s="16">
        <f>IFERROR(IF(AI45=0, 0, (AI45-H45)/H45), 0)</f>
        <v/>
      </c>
      <c r="AK45" s="14">
        <f>IFERROR(VLOOKUP(A45, KEEPA!$A:$AW, 28, FALSE), 0)</f>
        <v/>
      </c>
      <c r="AL45" s="16">
        <f>IFERROR(IF(AK45=0, 0, (AK45-H45)/H45), 0)</f>
        <v/>
      </c>
      <c r="AM45" s="13">
        <f>IFERROR(VLOOKUP(A45, AZInsight_Data!$A:$AS, 34, FALSE), 0)</f>
        <v/>
      </c>
      <c r="AN45">
        <f>IFERROR(AND(VLOOKUP(A45, KEEPA!$A:$AW, 2, FALSE)&lt;=$AO$2, N45 &gt;= $AM$2), FALSE)</f>
        <v/>
      </c>
      <c r="AO45" s="16">
        <f>IFERROR(VLOOKUP(A45, KEEPA!$A:$AW, 24, FALSE), 0)</f>
        <v/>
      </c>
      <c r="AP45" s="16">
        <f>IFERROR(VLOOKUP(A45, KEEPA!$A:$AW, 48, FALSE), 0)</f>
        <v/>
      </c>
      <c r="AQ45">
        <f>IFERROR(VLOOKUP(A45, AZInsight_Data!$A:$AS, 5, FALSE), "SL")</f>
        <v/>
      </c>
      <c r="AR45">
        <f>IF(OR(A45="", A45=0), "", HYPERLINK("https://keepa.com/#!product/1-"&amp;A45, "Keepa"))</f>
        <v/>
      </c>
      <c r="AS45">
        <f>IF(OR(A45="", A45=0), "", HYPERLINK("https://www.amazon.com/dp/"&amp;A45, "Amazon"))</f>
        <v/>
      </c>
      <c r="AT45">
        <f>IF(OR(A45="", A45=0), "", HYPERLINK("https://sellercentral.amazon.com/product-search/search?q="&amp;A45, "Check Gated"))</f>
        <v/>
      </c>
      <c r="AU45" s="12" t="n"/>
      <c r="AV45" s="12" t="n"/>
      <c r="AW45" s="12" t="n"/>
    </row>
    <row r="46">
      <c r="A46" s="12" t="n"/>
      <c r="B46" s="12">
        <f>IFERROR(VLOOKUP(A46, AZInsight_Data!$A:$AS, 3, FALSE), "")</f>
        <v/>
      </c>
      <c r="C46" s="13">
        <f>IFERROR(VLOOKUP(A46, AZInsight_Data!$A:$AS, 9, FALSE), 0)</f>
        <v/>
      </c>
      <c r="D46">
        <f>IFERROR(VLOOKUP(A46, AZInsight_Data!$A:$AS, 17, FALSE), 0)</f>
        <v/>
      </c>
      <c r="E46">
        <f>IFERROR(VLOOKUP(A46, AZInsight_Data!$A:$AS, 18, FALSE), 0)</f>
        <v/>
      </c>
      <c r="F46" s="14">
        <f>IFERROR(VLOOKUP(A46, AZInsight_Data!$A:$AS, 7, FALSE), 0)</f>
        <v/>
      </c>
      <c r="G46" s="15">
        <f>IFERROR(VLOOKUP(A46, AZInsight_Data!$A:$AS, 14, FALSE), 0)</f>
        <v/>
      </c>
      <c r="H46" s="14">
        <f>IFERROR(VLOOKUP(A46, AZInsight_Data!$A:$AS, 8, FALSE), 0)</f>
        <v/>
      </c>
      <c r="I46" s="16">
        <f>IFERROR(VLOOKUP(A46, KEEPA!$A:$AW, 47, FALSE), 0)</f>
        <v/>
      </c>
      <c r="J46">
        <f>IFERROR(VLOOKUP(A46, AZInsight_Data!$A:$AS, 25, FALSE), 0)</f>
        <v/>
      </c>
      <c r="K46" s="15">
        <f>IFERROR(VLOOKUP(A46, AZInsight_Data!$A:$AS, 16, FALSE), 0)</f>
        <v/>
      </c>
      <c r="L46" s="15">
        <f>IFERROR(K46-T46-J46, 0)</f>
        <v/>
      </c>
      <c r="M46" s="16">
        <f>IFERROR(IF(T46=0, 0, L46/T46), 0)</f>
        <v/>
      </c>
      <c r="N46" s="14">
        <f>IFERROR(C46*($V$2/30), 0)</f>
        <v/>
      </c>
      <c r="O46">
        <f>IFERROR(VLOOKUP(A46, AZInsight_Data!$A:$AS, 40, FALSE), 1)</f>
        <v/>
      </c>
      <c r="P46" s="13">
        <f>IF(O46&gt;0, O46, 1)</f>
        <v/>
      </c>
      <c r="Q46" s="13">
        <f>IFERROR(U46/P46, 0)</f>
        <v/>
      </c>
      <c r="R46">
        <f>IFERROR(VLOOKUP(A46, AZInsight_Data!$A:$AS, 36, FALSE), "")</f>
        <v/>
      </c>
      <c r="S46">
        <f>IFERROR(VLOOKUP(A46, AZInsight_Data!$A:$AS, 3, FALSE), "")</f>
        <v/>
      </c>
      <c r="T46" s="17">
        <f>IFERROR(VLOOKUP(A46, AZInsight_Data!$A:$AS, 13, FALSE), 0)</f>
        <v/>
      </c>
      <c r="U46" s="13">
        <f>AH46</f>
        <v/>
      </c>
      <c r="V46" s="15">
        <f>T46*U46</f>
        <v/>
      </c>
      <c r="W46" s="16" t="n"/>
      <c r="X46" s="12">
        <f>IFERROR(VLOOKUP(A46, AZInsight_Data!$A:$AS, 40, FALSE), 1)</f>
        <v/>
      </c>
      <c r="Y46" s="13">
        <f>IFERROR(VLOOKUP(A46, IP Qty!$D:$R, 5, FALSE), 0)</f>
        <v/>
      </c>
      <c r="Z46" s="14">
        <f>IFERROR(VLOOKUP(A46, IP Qty!$D:$R, 6, FALSE), 0)</f>
        <v/>
      </c>
      <c r="AA46">
        <f>IFERROR(VLOOKUP(A46, IP Qty!$D:$R, 7, FALSE), 0)</f>
        <v/>
      </c>
      <c r="AB46">
        <f>IFERROR(VLOOKUP(A46, IP Qty!$D:$R, 9, FALSE), 0)</f>
        <v/>
      </c>
      <c r="AC46">
        <f>IFERROR(VLOOKUP(A46, IP Qty!$D:$R, 8, FALSE), 0)</f>
        <v/>
      </c>
      <c r="AD46" s="14">
        <f>IFERROR(VLOOKUP(A46, KEEPA!$A:$AW, 34, FALSE), 0)</f>
        <v/>
      </c>
      <c r="AE46" s="15">
        <f>IF(P46&gt;1, ((((M46&gt;=$AD$2)*(L46&gt;=$AH$2)) + ((M46&lt;$AD$2)*(M46&gt;=$AE$2)*(L46&gt;=$AG$2)) + ((M46&lt;$AE$2)*(M46&gt;=$AC$2)*(L46&gt;=0)))*2 * IF($AI$2=0, 1, AI46&lt;=$AI$2) * IF($AK$2=0, 1, AK46&lt;=$AK$2) * AND(N46&gt;=$D$1, H46&lt;=$I$2, G46&gt;=$H$2)), ((((M46&gt;=$AD$2)*(L46&gt;=$AH$2)) + ((M46&lt;$AD$2)*(M46&gt;=$AE$2)*(L46&gt;=$AG$2)) + ((M46&lt;$AE$2)*(M46&gt;=$AC$2)*(L46&gt;=0))) * IF($AI$2=0, 1, AI46&lt;=$AI$2) * IF($AK$2=0, 1, AK46&lt;=$AK$2) * AND(N46&gt;=$D$1, H46&lt;=$I$2, G46&gt;=$H$2)))</f>
        <v/>
      </c>
      <c r="AF46">
        <f>IF(AE46&gt;0, 1, 0)</f>
        <v/>
      </c>
      <c r="AG46">
        <f>IFERROR(IF(ISNUMBER(W46), IF(AN46, N46*W46*$AN$2, N46*W46), NA()), NA())</f>
        <v/>
      </c>
      <c r="AH46" s="13">
        <f>IFERROR(MIN(AG46, $U$2), 0)</f>
        <v/>
      </c>
      <c r="AI46" s="14">
        <f>IFERROR(VLOOKUP(A46, KEEPA!$A:$AW, 26, FALSE), 0)</f>
        <v/>
      </c>
      <c r="AJ46" s="16">
        <f>IFERROR(IF(AI46=0, 0, (AI46-H46)/H46), 0)</f>
        <v/>
      </c>
      <c r="AK46" s="14">
        <f>IFERROR(VLOOKUP(A46, KEEPA!$A:$AW, 28, FALSE), 0)</f>
        <v/>
      </c>
      <c r="AL46" s="16">
        <f>IFERROR(IF(AK46=0, 0, (AK46-H46)/H46), 0)</f>
        <v/>
      </c>
      <c r="AM46" s="13">
        <f>IFERROR(VLOOKUP(A46, AZInsight_Data!$A:$AS, 34, FALSE), 0)</f>
        <v/>
      </c>
      <c r="AN46">
        <f>IFERROR(AND(VLOOKUP(A46, KEEPA!$A:$AW, 2, FALSE)&lt;=$AO$2, N46 &gt;= $AM$2), FALSE)</f>
        <v/>
      </c>
      <c r="AO46" s="16">
        <f>IFERROR(VLOOKUP(A46, KEEPA!$A:$AW, 24, FALSE), 0)</f>
        <v/>
      </c>
      <c r="AP46" s="16">
        <f>IFERROR(VLOOKUP(A46, KEEPA!$A:$AW, 48, FALSE), 0)</f>
        <v/>
      </c>
      <c r="AQ46">
        <f>IFERROR(VLOOKUP(A46, AZInsight_Data!$A:$AS, 5, FALSE), "SL")</f>
        <v/>
      </c>
      <c r="AR46">
        <f>IF(OR(A46="", A46=0), "", HYPERLINK("https://keepa.com/#!product/1-"&amp;A46, "Keepa"))</f>
        <v/>
      </c>
      <c r="AS46">
        <f>IF(OR(A46="", A46=0), "", HYPERLINK("https://www.amazon.com/dp/"&amp;A46, "Amazon"))</f>
        <v/>
      </c>
      <c r="AT46">
        <f>IF(OR(A46="", A46=0), "", HYPERLINK("https://sellercentral.amazon.com/product-search/search?q="&amp;A46, "Check Gated"))</f>
        <v/>
      </c>
      <c r="AU46" s="12" t="n"/>
      <c r="AV46" s="12" t="n"/>
      <c r="AW46" s="12" t="n"/>
    </row>
    <row r="47">
      <c r="A47" s="12" t="n"/>
      <c r="B47" s="12">
        <f>IFERROR(VLOOKUP(A47, AZInsight_Data!$A:$AS, 3, FALSE), "")</f>
        <v/>
      </c>
      <c r="C47" s="13">
        <f>IFERROR(VLOOKUP(A47, AZInsight_Data!$A:$AS, 9, FALSE), 0)</f>
        <v/>
      </c>
      <c r="D47">
        <f>IFERROR(VLOOKUP(A47, AZInsight_Data!$A:$AS, 17, FALSE), 0)</f>
        <v/>
      </c>
      <c r="E47">
        <f>IFERROR(VLOOKUP(A47, AZInsight_Data!$A:$AS, 18, FALSE), 0)</f>
        <v/>
      </c>
      <c r="F47" s="14">
        <f>IFERROR(VLOOKUP(A47, AZInsight_Data!$A:$AS, 7, FALSE), 0)</f>
        <v/>
      </c>
      <c r="G47" s="15">
        <f>IFERROR(VLOOKUP(A47, AZInsight_Data!$A:$AS, 14, FALSE), 0)</f>
        <v/>
      </c>
      <c r="H47" s="14">
        <f>IFERROR(VLOOKUP(A47, AZInsight_Data!$A:$AS, 8, FALSE), 0)</f>
        <v/>
      </c>
      <c r="I47" s="16">
        <f>IFERROR(VLOOKUP(A47, KEEPA!$A:$AW, 47, FALSE), 0)</f>
        <v/>
      </c>
      <c r="J47">
        <f>IFERROR(VLOOKUP(A47, AZInsight_Data!$A:$AS, 25, FALSE), 0)</f>
        <v/>
      </c>
      <c r="K47" s="15">
        <f>IFERROR(VLOOKUP(A47, AZInsight_Data!$A:$AS, 16, FALSE), 0)</f>
        <v/>
      </c>
      <c r="L47" s="15">
        <f>IFERROR(K47-T47-J47, 0)</f>
        <v/>
      </c>
      <c r="M47" s="16">
        <f>IFERROR(IF(T47=0, 0, L47/T47), 0)</f>
        <v/>
      </c>
      <c r="N47" s="14">
        <f>IFERROR(C47*($V$2/30), 0)</f>
        <v/>
      </c>
      <c r="O47">
        <f>IFERROR(VLOOKUP(A47, AZInsight_Data!$A:$AS, 40, FALSE), 1)</f>
        <v/>
      </c>
      <c r="P47" s="13">
        <f>IF(O47&gt;0, O47, 1)</f>
        <v/>
      </c>
      <c r="Q47" s="13">
        <f>IFERROR(U47/P47, 0)</f>
        <v/>
      </c>
      <c r="R47">
        <f>IFERROR(VLOOKUP(A47, AZInsight_Data!$A:$AS, 36, FALSE), "")</f>
        <v/>
      </c>
      <c r="S47">
        <f>IFERROR(VLOOKUP(A47, AZInsight_Data!$A:$AS, 3, FALSE), "")</f>
        <v/>
      </c>
      <c r="T47" s="17">
        <f>IFERROR(VLOOKUP(A47, AZInsight_Data!$A:$AS, 13, FALSE), 0)</f>
        <v/>
      </c>
      <c r="U47" s="13">
        <f>AH47</f>
        <v/>
      </c>
      <c r="V47" s="15">
        <f>T47*U47</f>
        <v/>
      </c>
      <c r="W47" s="16" t="n"/>
      <c r="X47" s="12">
        <f>IFERROR(VLOOKUP(A47, AZInsight_Data!$A:$AS, 40, FALSE), 1)</f>
        <v/>
      </c>
      <c r="Y47" s="13">
        <f>IFERROR(VLOOKUP(A47, IP Qty!$D:$R, 5, FALSE), 0)</f>
        <v/>
      </c>
      <c r="Z47" s="14">
        <f>IFERROR(VLOOKUP(A47, IP Qty!$D:$R, 6, FALSE), 0)</f>
        <v/>
      </c>
      <c r="AA47">
        <f>IFERROR(VLOOKUP(A47, IP Qty!$D:$R, 7, FALSE), 0)</f>
        <v/>
      </c>
      <c r="AB47">
        <f>IFERROR(VLOOKUP(A47, IP Qty!$D:$R, 9, FALSE), 0)</f>
        <v/>
      </c>
      <c r="AC47">
        <f>IFERROR(VLOOKUP(A47, IP Qty!$D:$R, 8, FALSE), 0)</f>
        <v/>
      </c>
      <c r="AD47" s="14">
        <f>IFERROR(VLOOKUP(A47, KEEPA!$A:$AW, 34, FALSE), 0)</f>
        <v/>
      </c>
      <c r="AE47" s="15">
        <f>IF(P47&gt;1, ((((M47&gt;=$AD$2)*(L47&gt;=$AH$2)) + ((M47&lt;$AD$2)*(M47&gt;=$AE$2)*(L47&gt;=$AG$2)) + ((M47&lt;$AE$2)*(M47&gt;=$AC$2)*(L47&gt;=0)))*2 * IF($AI$2=0, 1, AI47&lt;=$AI$2) * IF($AK$2=0, 1, AK47&lt;=$AK$2) * AND(N47&gt;=$D$1, H47&lt;=$I$2, G47&gt;=$H$2)), ((((M47&gt;=$AD$2)*(L47&gt;=$AH$2)) + ((M47&lt;$AD$2)*(M47&gt;=$AE$2)*(L47&gt;=$AG$2)) + ((M47&lt;$AE$2)*(M47&gt;=$AC$2)*(L47&gt;=0))) * IF($AI$2=0, 1, AI47&lt;=$AI$2) * IF($AK$2=0, 1, AK47&lt;=$AK$2) * AND(N47&gt;=$D$1, H47&lt;=$I$2, G47&gt;=$H$2)))</f>
        <v/>
      </c>
      <c r="AF47">
        <f>IF(AE47&gt;0, 1, 0)</f>
        <v/>
      </c>
      <c r="AG47">
        <f>IFERROR(IF(ISNUMBER(W47), IF(AN47, N47*W47*$AN$2, N47*W47), NA()), NA())</f>
        <v/>
      </c>
      <c r="AH47" s="13">
        <f>IFERROR(MIN(AG47, $U$2), 0)</f>
        <v/>
      </c>
      <c r="AI47" s="14">
        <f>IFERROR(VLOOKUP(A47, KEEPA!$A:$AW, 26, FALSE), 0)</f>
        <v/>
      </c>
      <c r="AJ47" s="16">
        <f>IFERROR(IF(AI47=0, 0, (AI47-H47)/H47), 0)</f>
        <v/>
      </c>
      <c r="AK47" s="14">
        <f>IFERROR(VLOOKUP(A47, KEEPA!$A:$AW, 28, FALSE), 0)</f>
        <v/>
      </c>
      <c r="AL47" s="16">
        <f>IFERROR(IF(AK47=0, 0, (AK47-H47)/H47), 0)</f>
        <v/>
      </c>
      <c r="AM47" s="13">
        <f>IFERROR(VLOOKUP(A47, AZInsight_Data!$A:$AS, 34, FALSE), 0)</f>
        <v/>
      </c>
      <c r="AN47">
        <f>IFERROR(AND(VLOOKUP(A47, KEEPA!$A:$AW, 2, FALSE)&lt;=$AO$2, N47 &gt;= $AM$2), FALSE)</f>
        <v/>
      </c>
      <c r="AO47" s="16">
        <f>IFERROR(VLOOKUP(A47, KEEPA!$A:$AW, 24, FALSE), 0)</f>
        <v/>
      </c>
      <c r="AP47" s="16">
        <f>IFERROR(VLOOKUP(A47, KEEPA!$A:$AW, 48, FALSE), 0)</f>
        <v/>
      </c>
      <c r="AQ47">
        <f>IFERROR(VLOOKUP(A47, AZInsight_Data!$A:$AS, 5, FALSE), "SL")</f>
        <v/>
      </c>
      <c r="AR47">
        <f>IF(OR(A47="", A47=0), "", HYPERLINK("https://keepa.com/#!product/1-"&amp;A47, "Keepa"))</f>
        <v/>
      </c>
      <c r="AS47">
        <f>IF(OR(A47="", A47=0), "", HYPERLINK("https://www.amazon.com/dp/"&amp;A47, "Amazon"))</f>
        <v/>
      </c>
      <c r="AT47">
        <f>IF(OR(A47="", A47=0), "", HYPERLINK("https://sellercentral.amazon.com/product-search/search?q="&amp;A47, "Check Gated"))</f>
        <v/>
      </c>
      <c r="AU47" s="12" t="n"/>
      <c r="AV47" s="12" t="n"/>
      <c r="AW47" s="12" t="n"/>
    </row>
    <row r="48">
      <c r="A48" s="12" t="n"/>
      <c r="B48" s="12">
        <f>IFERROR(VLOOKUP(A48, AZInsight_Data!$A:$AS, 3, FALSE), "")</f>
        <v/>
      </c>
      <c r="C48" s="13">
        <f>IFERROR(VLOOKUP(A48, AZInsight_Data!$A:$AS, 9, FALSE), 0)</f>
        <v/>
      </c>
      <c r="D48">
        <f>IFERROR(VLOOKUP(A48, AZInsight_Data!$A:$AS, 17, FALSE), 0)</f>
        <v/>
      </c>
      <c r="E48">
        <f>IFERROR(VLOOKUP(A48, AZInsight_Data!$A:$AS, 18, FALSE), 0)</f>
        <v/>
      </c>
      <c r="F48" s="14">
        <f>IFERROR(VLOOKUP(A48, AZInsight_Data!$A:$AS, 7, FALSE), 0)</f>
        <v/>
      </c>
      <c r="G48" s="15">
        <f>IFERROR(VLOOKUP(A48, AZInsight_Data!$A:$AS, 14, FALSE), 0)</f>
        <v/>
      </c>
      <c r="H48" s="14">
        <f>IFERROR(VLOOKUP(A48, AZInsight_Data!$A:$AS, 8, FALSE), 0)</f>
        <v/>
      </c>
      <c r="I48" s="16">
        <f>IFERROR(VLOOKUP(A48, KEEPA!$A:$AW, 47, FALSE), 0)</f>
        <v/>
      </c>
      <c r="J48">
        <f>IFERROR(VLOOKUP(A48, AZInsight_Data!$A:$AS, 25, FALSE), 0)</f>
        <v/>
      </c>
      <c r="K48" s="15">
        <f>IFERROR(VLOOKUP(A48, AZInsight_Data!$A:$AS, 16, FALSE), 0)</f>
        <v/>
      </c>
      <c r="L48" s="15">
        <f>IFERROR(K48-T48-J48, 0)</f>
        <v/>
      </c>
      <c r="M48" s="16">
        <f>IFERROR(IF(T48=0, 0, L48/T48), 0)</f>
        <v/>
      </c>
      <c r="N48" s="14">
        <f>IFERROR(C48*($V$2/30), 0)</f>
        <v/>
      </c>
      <c r="O48">
        <f>IFERROR(VLOOKUP(A48, AZInsight_Data!$A:$AS, 40, FALSE), 1)</f>
        <v/>
      </c>
      <c r="P48" s="13">
        <f>IF(O48&gt;0, O48, 1)</f>
        <v/>
      </c>
      <c r="Q48" s="13">
        <f>IFERROR(U48/P48, 0)</f>
        <v/>
      </c>
      <c r="R48">
        <f>IFERROR(VLOOKUP(A48, AZInsight_Data!$A:$AS, 36, FALSE), "")</f>
        <v/>
      </c>
      <c r="S48">
        <f>IFERROR(VLOOKUP(A48, AZInsight_Data!$A:$AS, 3, FALSE), "")</f>
        <v/>
      </c>
      <c r="T48" s="17">
        <f>IFERROR(VLOOKUP(A48, AZInsight_Data!$A:$AS, 13, FALSE), 0)</f>
        <v/>
      </c>
      <c r="U48" s="13">
        <f>AH48</f>
        <v/>
      </c>
      <c r="V48" s="15">
        <f>T48*U48</f>
        <v/>
      </c>
      <c r="W48" s="16" t="n"/>
      <c r="X48" s="12">
        <f>IFERROR(VLOOKUP(A48, AZInsight_Data!$A:$AS, 40, FALSE), 1)</f>
        <v/>
      </c>
      <c r="Y48" s="13">
        <f>IFERROR(VLOOKUP(A48, IP Qty!$D:$R, 5, FALSE), 0)</f>
        <v/>
      </c>
      <c r="Z48" s="14">
        <f>IFERROR(VLOOKUP(A48, IP Qty!$D:$R, 6, FALSE), 0)</f>
        <v/>
      </c>
      <c r="AA48">
        <f>IFERROR(VLOOKUP(A48, IP Qty!$D:$R, 7, FALSE), 0)</f>
        <v/>
      </c>
      <c r="AB48">
        <f>IFERROR(VLOOKUP(A48, IP Qty!$D:$R, 9, FALSE), 0)</f>
        <v/>
      </c>
      <c r="AC48">
        <f>IFERROR(VLOOKUP(A48, IP Qty!$D:$R, 8, FALSE), 0)</f>
        <v/>
      </c>
      <c r="AD48" s="14">
        <f>IFERROR(VLOOKUP(A48, KEEPA!$A:$AW, 34, FALSE), 0)</f>
        <v/>
      </c>
      <c r="AE48" s="15">
        <f>IF(P48&gt;1, ((((M48&gt;=$AD$2)*(L48&gt;=$AH$2)) + ((M48&lt;$AD$2)*(M48&gt;=$AE$2)*(L48&gt;=$AG$2)) + ((M48&lt;$AE$2)*(M48&gt;=$AC$2)*(L48&gt;=0)))*2 * IF($AI$2=0, 1, AI48&lt;=$AI$2) * IF($AK$2=0, 1, AK48&lt;=$AK$2) * AND(N48&gt;=$D$1, H48&lt;=$I$2, G48&gt;=$H$2)), ((((M48&gt;=$AD$2)*(L48&gt;=$AH$2)) + ((M48&lt;$AD$2)*(M48&gt;=$AE$2)*(L48&gt;=$AG$2)) + ((M48&lt;$AE$2)*(M48&gt;=$AC$2)*(L48&gt;=0))) * IF($AI$2=0, 1, AI48&lt;=$AI$2) * IF($AK$2=0, 1, AK48&lt;=$AK$2) * AND(N48&gt;=$D$1, H48&lt;=$I$2, G48&gt;=$H$2)))</f>
        <v/>
      </c>
      <c r="AF48">
        <f>IF(AE48&gt;0, 1, 0)</f>
        <v/>
      </c>
      <c r="AG48">
        <f>IFERROR(IF(ISNUMBER(W48), IF(AN48, N48*W48*$AN$2, N48*W48), NA()), NA())</f>
        <v/>
      </c>
      <c r="AH48" s="13">
        <f>IFERROR(MIN(AG48, $U$2), 0)</f>
        <v/>
      </c>
      <c r="AI48" s="14">
        <f>IFERROR(VLOOKUP(A48, KEEPA!$A:$AW, 26, FALSE), 0)</f>
        <v/>
      </c>
      <c r="AJ48" s="16">
        <f>IFERROR(IF(AI48=0, 0, (AI48-H48)/H48), 0)</f>
        <v/>
      </c>
      <c r="AK48" s="14">
        <f>IFERROR(VLOOKUP(A48, KEEPA!$A:$AW, 28, FALSE), 0)</f>
        <v/>
      </c>
      <c r="AL48" s="16">
        <f>IFERROR(IF(AK48=0, 0, (AK48-H48)/H48), 0)</f>
        <v/>
      </c>
      <c r="AM48" s="13">
        <f>IFERROR(VLOOKUP(A48, AZInsight_Data!$A:$AS, 34, FALSE), 0)</f>
        <v/>
      </c>
      <c r="AN48">
        <f>IFERROR(AND(VLOOKUP(A48, KEEPA!$A:$AW, 2, FALSE)&lt;=$AO$2, N48 &gt;= $AM$2), FALSE)</f>
        <v/>
      </c>
      <c r="AO48" s="16">
        <f>IFERROR(VLOOKUP(A48, KEEPA!$A:$AW, 24, FALSE), 0)</f>
        <v/>
      </c>
      <c r="AP48" s="16">
        <f>IFERROR(VLOOKUP(A48, KEEPA!$A:$AW, 48, FALSE), 0)</f>
        <v/>
      </c>
      <c r="AQ48">
        <f>IFERROR(VLOOKUP(A48, AZInsight_Data!$A:$AS, 5, FALSE), "SL")</f>
        <v/>
      </c>
      <c r="AR48">
        <f>IF(OR(A48="", A48=0), "", HYPERLINK("https://keepa.com/#!product/1-"&amp;A48, "Keepa"))</f>
        <v/>
      </c>
      <c r="AS48">
        <f>IF(OR(A48="", A48=0), "", HYPERLINK("https://www.amazon.com/dp/"&amp;A48, "Amazon"))</f>
        <v/>
      </c>
      <c r="AT48">
        <f>IF(OR(A48="", A48=0), "", HYPERLINK("https://sellercentral.amazon.com/product-search/search?q="&amp;A48, "Check Gated"))</f>
        <v/>
      </c>
      <c r="AU48" s="12" t="n"/>
      <c r="AV48" s="12" t="n"/>
      <c r="AW48" s="12" t="n"/>
    </row>
    <row r="49">
      <c r="A49" s="12" t="n"/>
      <c r="B49" s="12">
        <f>IFERROR(VLOOKUP(A49, AZInsight_Data!$A:$AS, 3, FALSE), "")</f>
        <v/>
      </c>
      <c r="C49" s="13">
        <f>IFERROR(VLOOKUP(A49, AZInsight_Data!$A:$AS, 9, FALSE), 0)</f>
        <v/>
      </c>
      <c r="D49">
        <f>IFERROR(VLOOKUP(A49, AZInsight_Data!$A:$AS, 17, FALSE), 0)</f>
        <v/>
      </c>
      <c r="E49">
        <f>IFERROR(VLOOKUP(A49, AZInsight_Data!$A:$AS, 18, FALSE), 0)</f>
        <v/>
      </c>
      <c r="F49" s="14">
        <f>IFERROR(VLOOKUP(A49, AZInsight_Data!$A:$AS, 7, FALSE), 0)</f>
        <v/>
      </c>
      <c r="G49" s="15">
        <f>IFERROR(VLOOKUP(A49, AZInsight_Data!$A:$AS, 14, FALSE), 0)</f>
        <v/>
      </c>
      <c r="H49" s="14">
        <f>IFERROR(VLOOKUP(A49, AZInsight_Data!$A:$AS, 8, FALSE), 0)</f>
        <v/>
      </c>
      <c r="I49" s="16">
        <f>IFERROR(VLOOKUP(A49, KEEPA!$A:$AW, 47, FALSE), 0)</f>
        <v/>
      </c>
      <c r="J49">
        <f>IFERROR(VLOOKUP(A49, AZInsight_Data!$A:$AS, 25, FALSE), 0)</f>
        <v/>
      </c>
      <c r="K49" s="15">
        <f>IFERROR(VLOOKUP(A49, AZInsight_Data!$A:$AS, 16, FALSE), 0)</f>
        <v/>
      </c>
      <c r="L49" s="15">
        <f>IFERROR(K49-T49-J49, 0)</f>
        <v/>
      </c>
      <c r="M49" s="16">
        <f>IFERROR(IF(T49=0, 0, L49/T49), 0)</f>
        <v/>
      </c>
      <c r="N49" s="14">
        <f>IFERROR(C49*($V$2/30), 0)</f>
        <v/>
      </c>
      <c r="O49">
        <f>IFERROR(VLOOKUP(A49, AZInsight_Data!$A:$AS, 40, FALSE), 1)</f>
        <v/>
      </c>
      <c r="P49" s="13">
        <f>IF(O49&gt;0, O49, 1)</f>
        <v/>
      </c>
      <c r="Q49" s="13">
        <f>IFERROR(U49/P49, 0)</f>
        <v/>
      </c>
      <c r="R49">
        <f>IFERROR(VLOOKUP(A49, AZInsight_Data!$A:$AS, 36, FALSE), "")</f>
        <v/>
      </c>
      <c r="S49">
        <f>IFERROR(VLOOKUP(A49, AZInsight_Data!$A:$AS, 3, FALSE), "")</f>
        <v/>
      </c>
      <c r="T49" s="17">
        <f>IFERROR(VLOOKUP(A49, AZInsight_Data!$A:$AS, 13, FALSE), 0)</f>
        <v/>
      </c>
      <c r="U49" s="13">
        <f>AH49</f>
        <v/>
      </c>
      <c r="V49" s="15">
        <f>T49*U49</f>
        <v/>
      </c>
      <c r="W49" s="16" t="n"/>
      <c r="X49" s="12">
        <f>IFERROR(VLOOKUP(A49, AZInsight_Data!$A:$AS, 40, FALSE), 1)</f>
        <v/>
      </c>
      <c r="Y49" s="13">
        <f>IFERROR(VLOOKUP(A49, IP Qty!$D:$R, 5, FALSE), 0)</f>
        <v/>
      </c>
      <c r="Z49" s="14">
        <f>IFERROR(VLOOKUP(A49, IP Qty!$D:$R, 6, FALSE), 0)</f>
        <v/>
      </c>
      <c r="AA49">
        <f>IFERROR(VLOOKUP(A49, IP Qty!$D:$R, 7, FALSE), 0)</f>
        <v/>
      </c>
      <c r="AB49">
        <f>IFERROR(VLOOKUP(A49, IP Qty!$D:$R, 9, FALSE), 0)</f>
        <v/>
      </c>
      <c r="AC49">
        <f>IFERROR(VLOOKUP(A49, IP Qty!$D:$R, 8, FALSE), 0)</f>
        <v/>
      </c>
      <c r="AD49" s="14">
        <f>IFERROR(VLOOKUP(A49, KEEPA!$A:$AW, 34, FALSE), 0)</f>
        <v/>
      </c>
      <c r="AE49" s="15">
        <f>IF(P49&gt;1, ((((M49&gt;=$AD$2)*(L49&gt;=$AH$2)) + ((M49&lt;$AD$2)*(M49&gt;=$AE$2)*(L49&gt;=$AG$2)) + ((M49&lt;$AE$2)*(M49&gt;=$AC$2)*(L49&gt;=0)))*2 * IF($AI$2=0, 1, AI49&lt;=$AI$2) * IF($AK$2=0, 1, AK49&lt;=$AK$2) * AND(N49&gt;=$D$1, H49&lt;=$I$2, G49&gt;=$H$2)), ((((M49&gt;=$AD$2)*(L49&gt;=$AH$2)) + ((M49&lt;$AD$2)*(M49&gt;=$AE$2)*(L49&gt;=$AG$2)) + ((M49&lt;$AE$2)*(M49&gt;=$AC$2)*(L49&gt;=0))) * IF($AI$2=0, 1, AI49&lt;=$AI$2) * IF($AK$2=0, 1, AK49&lt;=$AK$2) * AND(N49&gt;=$D$1, H49&lt;=$I$2, G49&gt;=$H$2)))</f>
        <v/>
      </c>
      <c r="AF49">
        <f>IF(AE49&gt;0, 1, 0)</f>
        <v/>
      </c>
      <c r="AG49">
        <f>IFERROR(IF(ISNUMBER(W49), IF(AN49, N49*W49*$AN$2, N49*W49), NA()), NA())</f>
        <v/>
      </c>
      <c r="AH49" s="13">
        <f>IFERROR(MIN(AG49, $U$2), 0)</f>
        <v/>
      </c>
      <c r="AI49" s="14">
        <f>IFERROR(VLOOKUP(A49, KEEPA!$A:$AW, 26, FALSE), 0)</f>
        <v/>
      </c>
      <c r="AJ49" s="16">
        <f>IFERROR(IF(AI49=0, 0, (AI49-H49)/H49), 0)</f>
        <v/>
      </c>
      <c r="AK49" s="14">
        <f>IFERROR(VLOOKUP(A49, KEEPA!$A:$AW, 28, FALSE), 0)</f>
        <v/>
      </c>
      <c r="AL49" s="16">
        <f>IFERROR(IF(AK49=0, 0, (AK49-H49)/H49), 0)</f>
        <v/>
      </c>
      <c r="AM49" s="13">
        <f>IFERROR(VLOOKUP(A49, AZInsight_Data!$A:$AS, 34, FALSE), 0)</f>
        <v/>
      </c>
      <c r="AN49">
        <f>IFERROR(AND(VLOOKUP(A49, KEEPA!$A:$AW, 2, FALSE)&lt;=$AO$2, N49 &gt;= $AM$2), FALSE)</f>
        <v/>
      </c>
      <c r="AO49" s="16">
        <f>IFERROR(VLOOKUP(A49, KEEPA!$A:$AW, 24, FALSE), 0)</f>
        <v/>
      </c>
      <c r="AP49" s="16">
        <f>IFERROR(VLOOKUP(A49, KEEPA!$A:$AW, 48, FALSE), 0)</f>
        <v/>
      </c>
      <c r="AQ49">
        <f>IFERROR(VLOOKUP(A49, AZInsight_Data!$A:$AS, 5, FALSE), "SL")</f>
        <v/>
      </c>
      <c r="AR49">
        <f>IF(OR(A49="", A49=0), "", HYPERLINK("https://keepa.com/#!product/1-"&amp;A49, "Keepa"))</f>
        <v/>
      </c>
      <c r="AS49">
        <f>IF(OR(A49="", A49=0), "", HYPERLINK("https://www.amazon.com/dp/"&amp;A49, "Amazon"))</f>
        <v/>
      </c>
      <c r="AT49">
        <f>IF(OR(A49="", A49=0), "", HYPERLINK("https://sellercentral.amazon.com/product-search/search?q="&amp;A49, "Check Gated"))</f>
        <v/>
      </c>
      <c r="AU49" s="12" t="n"/>
      <c r="AV49" s="12" t="n"/>
      <c r="AW49" s="12" t="n"/>
    </row>
    <row r="50">
      <c r="A50" s="12" t="n"/>
      <c r="B50" s="12">
        <f>IFERROR(VLOOKUP(A50, AZInsight_Data!$A:$AS, 3, FALSE), "")</f>
        <v/>
      </c>
      <c r="C50" s="13">
        <f>IFERROR(VLOOKUP(A50, AZInsight_Data!$A:$AS, 9, FALSE), 0)</f>
        <v/>
      </c>
      <c r="D50">
        <f>IFERROR(VLOOKUP(A50, AZInsight_Data!$A:$AS, 17, FALSE), 0)</f>
        <v/>
      </c>
      <c r="E50">
        <f>IFERROR(VLOOKUP(A50, AZInsight_Data!$A:$AS, 18, FALSE), 0)</f>
        <v/>
      </c>
      <c r="F50" s="14">
        <f>IFERROR(VLOOKUP(A50, AZInsight_Data!$A:$AS, 7, FALSE), 0)</f>
        <v/>
      </c>
      <c r="G50" s="15">
        <f>IFERROR(VLOOKUP(A50, AZInsight_Data!$A:$AS, 14, FALSE), 0)</f>
        <v/>
      </c>
      <c r="H50" s="14">
        <f>IFERROR(VLOOKUP(A50, AZInsight_Data!$A:$AS, 8, FALSE), 0)</f>
        <v/>
      </c>
      <c r="I50" s="16">
        <f>IFERROR(VLOOKUP(A50, KEEPA!$A:$AW, 47, FALSE), 0)</f>
        <v/>
      </c>
      <c r="J50">
        <f>IFERROR(VLOOKUP(A50, AZInsight_Data!$A:$AS, 25, FALSE), 0)</f>
        <v/>
      </c>
      <c r="K50" s="15">
        <f>IFERROR(VLOOKUP(A50, AZInsight_Data!$A:$AS, 16, FALSE), 0)</f>
        <v/>
      </c>
      <c r="L50" s="15">
        <f>IFERROR(K50-T50-J50, 0)</f>
        <v/>
      </c>
      <c r="M50" s="16">
        <f>IFERROR(IF(T50=0, 0, L50/T50), 0)</f>
        <v/>
      </c>
      <c r="N50" s="14">
        <f>IFERROR(C50*($V$2/30), 0)</f>
        <v/>
      </c>
      <c r="O50">
        <f>IFERROR(VLOOKUP(A50, AZInsight_Data!$A:$AS, 40, FALSE), 1)</f>
        <v/>
      </c>
      <c r="P50" s="13">
        <f>IF(O50&gt;0, O50, 1)</f>
        <v/>
      </c>
      <c r="Q50" s="13">
        <f>IFERROR(U50/P50, 0)</f>
        <v/>
      </c>
      <c r="R50">
        <f>IFERROR(VLOOKUP(A50, AZInsight_Data!$A:$AS, 36, FALSE), "")</f>
        <v/>
      </c>
      <c r="S50">
        <f>IFERROR(VLOOKUP(A50, AZInsight_Data!$A:$AS, 3, FALSE), "")</f>
        <v/>
      </c>
      <c r="T50" s="17">
        <f>IFERROR(VLOOKUP(A50, AZInsight_Data!$A:$AS, 13, FALSE), 0)</f>
        <v/>
      </c>
      <c r="U50" s="13">
        <f>AH50</f>
        <v/>
      </c>
      <c r="V50" s="15">
        <f>T50*U50</f>
        <v/>
      </c>
      <c r="W50" s="16" t="n"/>
      <c r="X50" s="12">
        <f>IFERROR(VLOOKUP(A50, AZInsight_Data!$A:$AS, 40, FALSE), 1)</f>
        <v/>
      </c>
      <c r="Y50" s="13">
        <f>IFERROR(VLOOKUP(A50, IP Qty!$D:$R, 5, FALSE), 0)</f>
        <v/>
      </c>
      <c r="Z50" s="14">
        <f>IFERROR(VLOOKUP(A50, IP Qty!$D:$R, 6, FALSE), 0)</f>
        <v/>
      </c>
      <c r="AA50">
        <f>IFERROR(VLOOKUP(A50, IP Qty!$D:$R, 7, FALSE), 0)</f>
        <v/>
      </c>
      <c r="AB50">
        <f>IFERROR(VLOOKUP(A50, IP Qty!$D:$R, 9, FALSE), 0)</f>
        <v/>
      </c>
      <c r="AC50">
        <f>IFERROR(VLOOKUP(A50, IP Qty!$D:$R, 8, FALSE), 0)</f>
        <v/>
      </c>
      <c r="AD50" s="14">
        <f>IFERROR(VLOOKUP(A50, KEEPA!$A:$AW, 34, FALSE), 0)</f>
        <v/>
      </c>
      <c r="AE50" s="15">
        <f>IF(P50&gt;1, ((((M50&gt;=$AD$2)*(L50&gt;=$AH$2)) + ((M50&lt;$AD$2)*(M50&gt;=$AE$2)*(L50&gt;=$AG$2)) + ((M50&lt;$AE$2)*(M50&gt;=$AC$2)*(L50&gt;=0)))*2 * IF($AI$2=0, 1, AI50&lt;=$AI$2) * IF($AK$2=0, 1, AK50&lt;=$AK$2) * AND(N50&gt;=$D$1, H50&lt;=$I$2, G50&gt;=$H$2)), ((((M50&gt;=$AD$2)*(L50&gt;=$AH$2)) + ((M50&lt;$AD$2)*(M50&gt;=$AE$2)*(L50&gt;=$AG$2)) + ((M50&lt;$AE$2)*(M50&gt;=$AC$2)*(L50&gt;=0))) * IF($AI$2=0, 1, AI50&lt;=$AI$2) * IF($AK$2=0, 1, AK50&lt;=$AK$2) * AND(N50&gt;=$D$1, H50&lt;=$I$2, G50&gt;=$H$2)))</f>
        <v/>
      </c>
      <c r="AF50">
        <f>IF(AE50&gt;0, 1, 0)</f>
        <v/>
      </c>
      <c r="AG50">
        <f>IFERROR(IF(ISNUMBER(W50), IF(AN50, N50*W50*$AN$2, N50*W50), NA()), NA())</f>
        <v/>
      </c>
      <c r="AH50" s="13">
        <f>IFERROR(MIN(AG50, $U$2), 0)</f>
        <v/>
      </c>
      <c r="AI50" s="14">
        <f>IFERROR(VLOOKUP(A50, KEEPA!$A:$AW, 26, FALSE), 0)</f>
        <v/>
      </c>
      <c r="AJ50" s="16">
        <f>IFERROR(IF(AI50=0, 0, (AI50-H50)/H50), 0)</f>
        <v/>
      </c>
      <c r="AK50" s="14">
        <f>IFERROR(VLOOKUP(A50, KEEPA!$A:$AW, 28, FALSE), 0)</f>
        <v/>
      </c>
      <c r="AL50" s="16">
        <f>IFERROR(IF(AK50=0, 0, (AK50-H50)/H50), 0)</f>
        <v/>
      </c>
      <c r="AM50" s="13">
        <f>IFERROR(VLOOKUP(A50, AZInsight_Data!$A:$AS, 34, FALSE), 0)</f>
        <v/>
      </c>
      <c r="AN50">
        <f>IFERROR(AND(VLOOKUP(A50, KEEPA!$A:$AW, 2, FALSE)&lt;=$AO$2, N50 &gt;= $AM$2), FALSE)</f>
        <v/>
      </c>
      <c r="AO50" s="16">
        <f>IFERROR(VLOOKUP(A50, KEEPA!$A:$AW, 24, FALSE), 0)</f>
        <v/>
      </c>
      <c r="AP50" s="16">
        <f>IFERROR(VLOOKUP(A50, KEEPA!$A:$AW, 48, FALSE), 0)</f>
        <v/>
      </c>
      <c r="AQ50">
        <f>IFERROR(VLOOKUP(A50, AZInsight_Data!$A:$AS, 5, FALSE), "SL")</f>
        <v/>
      </c>
      <c r="AR50">
        <f>IF(OR(A50="", A50=0), "", HYPERLINK("https://keepa.com/#!product/1-"&amp;A50, "Keepa"))</f>
        <v/>
      </c>
      <c r="AS50">
        <f>IF(OR(A50="", A50=0), "", HYPERLINK("https://www.amazon.com/dp/"&amp;A50, "Amazon"))</f>
        <v/>
      </c>
      <c r="AT50">
        <f>IF(OR(A50="", A50=0), "", HYPERLINK("https://sellercentral.amazon.com/product-search/search?q="&amp;A50, "Check Gated"))</f>
        <v/>
      </c>
      <c r="AU50" s="12" t="n"/>
      <c r="AV50" s="12" t="n"/>
      <c r="AW50" s="12" t="n"/>
    </row>
    <row r="51">
      <c r="A51" s="12" t="n"/>
      <c r="B51" s="12">
        <f>IFERROR(VLOOKUP(A51, AZInsight_Data!$A:$AS, 3, FALSE), "")</f>
        <v/>
      </c>
      <c r="C51" s="13">
        <f>IFERROR(VLOOKUP(A51, AZInsight_Data!$A:$AS, 9, FALSE), 0)</f>
        <v/>
      </c>
      <c r="D51">
        <f>IFERROR(VLOOKUP(A51, AZInsight_Data!$A:$AS, 17, FALSE), 0)</f>
        <v/>
      </c>
      <c r="E51">
        <f>IFERROR(VLOOKUP(A51, AZInsight_Data!$A:$AS, 18, FALSE), 0)</f>
        <v/>
      </c>
      <c r="F51" s="14">
        <f>IFERROR(VLOOKUP(A51, AZInsight_Data!$A:$AS, 7, FALSE), 0)</f>
        <v/>
      </c>
      <c r="G51" s="15">
        <f>IFERROR(VLOOKUP(A51, AZInsight_Data!$A:$AS, 14, FALSE), 0)</f>
        <v/>
      </c>
      <c r="H51" s="14">
        <f>IFERROR(VLOOKUP(A51, AZInsight_Data!$A:$AS, 8, FALSE), 0)</f>
        <v/>
      </c>
      <c r="I51" s="16">
        <f>IFERROR(VLOOKUP(A51, KEEPA!$A:$AW, 47, FALSE), 0)</f>
        <v/>
      </c>
      <c r="J51">
        <f>IFERROR(VLOOKUP(A51, AZInsight_Data!$A:$AS, 25, FALSE), 0)</f>
        <v/>
      </c>
      <c r="K51" s="15">
        <f>IFERROR(VLOOKUP(A51, AZInsight_Data!$A:$AS, 16, FALSE), 0)</f>
        <v/>
      </c>
      <c r="L51" s="15">
        <f>IFERROR(K51-T51-J51, 0)</f>
        <v/>
      </c>
      <c r="M51" s="16">
        <f>IFERROR(IF(T51=0, 0, L51/T51), 0)</f>
        <v/>
      </c>
      <c r="N51" s="14">
        <f>IFERROR(C51*($V$2/30), 0)</f>
        <v/>
      </c>
      <c r="O51">
        <f>IFERROR(VLOOKUP(A51, AZInsight_Data!$A:$AS, 40, FALSE), 1)</f>
        <v/>
      </c>
      <c r="P51" s="13">
        <f>IF(O51&gt;0, O51, 1)</f>
        <v/>
      </c>
      <c r="Q51" s="13">
        <f>IFERROR(U51/P51, 0)</f>
        <v/>
      </c>
      <c r="R51">
        <f>IFERROR(VLOOKUP(A51, AZInsight_Data!$A:$AS, 36, FALSE), "")</f>
        <v/>
      </c>
      <c r="S51">
        <f>IFERROR(VLOOKUP(A51, AZInsight_Data!$A:$AS, 3, FALSE), "")</f>
        <v/>
      </c>
      <c r="T51" s="17">
        <f>IFERROR(VLOOKUP(A51, AZInsight_Data!$A:$AS, 13, FALSE), 0)</f>
        <v/>
      </c>
      <c r="U51" s="13">
        <f>AH51</f>
        <v/>
      </c>
      <c r="V51" s="15">
        <f>T51*U51</f>
        <v/>
      </c>
      <c r="W51" s="16" t="n"/>
      <c r="X51" s="12">
        <f>IFERROR(VLOOKUP(A51, AZInsight_Data!$A:$AS, 40, FALSE), 1)</f>
        <v/>
      </c>
      <c r="Y51" s="13">
        <f>IFERROR(VLOOKUP(A51, IP Qty!$D:$R, 5, FALSE), 0)</f>
        <v/>
      </c>
      <c r="Z51" s="14">
        <f>IFERROR(VLOOKUP(A51, IP Qty!$D:$R, 6, FALSE), 0)</f>
        <v/>
      </c>
      <c r="AA51">
        <f>IFERROR(VLOOKUP(A51, IP Qty!$D:$R, 7, FALSE), 0)</f>
        <v/>
      </c>
      <c r="AB51">
        <f>IFERROR(VLOOKUP(A51, IP Qty!$D:$R, 9, FALSE), 0)</f>
        <v/>
      </c>
      <c r="AC51">
        <f>IFERROR(VLOOKUP(A51, IP Qty!$D:$R, 8, FALSE), 0)</f>
        <v/>
      </c>
      <c r="AD51" s="14">
        <f>IFERROR(VLOOKUP(A51, KEEPA!$A:$AW, 34, FALSE), 0)</f>
        <v/>
      </c>
      <c r="AE51" s="15">
        <f>IF(P51&gt;1, ((((M51&gt;=$AD$2)*(L51&gt;=$AH$2)) + ((M51&lt;$AD$2)*(M51&gt;=$AE$2)*(L51&gt;=$AG$2)) + ((M51&lt;$AE$2)*(M51&gt;=$AC$2)*(L51&gt;=0)))*2 * IF($AI$2=0, 1, AI51&lt;=$AI$2) * IF($AK$2=0, 1, AK51&lt;=$AK$2) * AND(N51&gt;=$D$1, H51&lt;=$I$2, G51&gt;=$H$2)), ((((M51&gt;=$AD$2)*(L51&gt;=$AH$2)) + ((M51&lt;$AD$2)*(M51&gt;=$AE$2)*(L51&gt;=$AG$2)) + ((M51&lt;$AE$2)*(M51&gt;=$AC$2)*(L51&gt;=0))) * IF($AI$2=0, 1, AI51&lt;=$AI$2) * IF($AK$2=0, 1, AK51&lt;=$AK$2) * AND(N51&gt;=$D$1, H51&lt;=$I$2, G51&gt;=$H$2)))</f>
        <v/>
      </c>
      <c r="AF51">
        <f>IF(AE51&gt;0, 1, 0)</f>
        <v/>
      </c>
      <c r="AG51">
        <f>IFERROR(IF(ISNUMBER(W51), IF(AN51, N51*W51*$AN$2, N51*W51), NA()), NA())</f>
        <v/>
      </c>
      <c r="AH51" s="13">
        <f>IFERROR(MIN(AG51, $U$2), 0)</f>
        <v/>
      </c>
      <c r="AI51" s="14">
        <f>IFERROR(VLOOKUP(A51, KEEPA!$A:$AW, 26, FALSE), 0)</f>
        <v/>
      </c>
      <c r="AJ51" s="16">
        <f>IFERROR(IF(AI51=0, 0, (AI51-H51)/H51), 0)</f>
        <v/>
      </c>
      <c r="AK51" s="14">
        <f>IFERROR(VLOOKUP(A51, KEEPA!$A:$AW, 28, FALSE), 0)</f>
        <v/>
      </c>
      <c r="AL51" s="16">
        <f>IFERROR(IF(AK51=0, 0, (AK51-H51)/H51), 0)</f>
        <v/>
      </c>
      <c r="AM51" s="13">
        <f>IFERROR(VLOOKUP(A51, AZInsight_Data!$A:$AS, 34, FALSE), 0)</f>
        <v/>
      </c>
      <c r="AN51">
        <f>IFERROR(AND(VLOOKUP(A51, KEEPA!$A:$AW, 2, FALSE)&lt;=$AO$2, N51 &gt;= $AM$2), FALSE)</f>
        <v/>
      </c>
      <c r="AO51" s="16">
        <f>IFERROR(VLOOKUP(A51, KEEPA!$A:$AW, 24, FALSE), 0)</f>
        <v/>
      </c>
      <c r="AP51" s="16">
        <f>IFERROR(VLOOKUP(A51, KEEPA!$A:$AW, 48, FALSE), 0)</f>
        <v/>
      </c>
      <c r="AQ51">
        <f>IFERROR(VLOOKUP(A51, AZInsight_Data!$A:$AS, 5, FALSE), "SL")</f>
        <v/>
      </c>
      <c r="AR51">
        <f>IF(OR(A51="", A51=0), "", HYPERLINK("https://keepa.com/#!product/1-"&amp;A51, "Keepa"))</f>
        <v/>
      </c>
      <c r="AS51">
        <f>IF(OR(A51="", A51=0), "", HYPERLINK("https://www.amazon.com/dp/"&amp;A51, "Amazon"))</f>
        <v/>
      </c>
      <c r="AT51">
        <f>IF(OR(A51="", A51=0), "", HYPERLINK("https://sellercentral.amazon.com/product-search/search?q="&amp;A51, "Check Gated"))</f>
        <v/>
      </c>
      <c r="AU51" s="12" t="n"/>
      <c r="AV51" s="12" t="n"/>
      <c r="AW51" s="12" t="n"/>
    </row>
    <row r="52">
      <c r="A52" s="12" t="n"/>
      <c r="B52" s="12">
        <f>IFERROR(VLOOKUP(A52, AZInsight_Data!$A:$AS, 3, FALSE), "")</f>
        <v/>
      </c>
      <c r="C52" s="13">
        <f>IFERROR(VLOOKUP(A52, AZInsight_Data!$A:$AS, 9, FALSE), 0)</f>
        <v/>
      </c>
      <c r="D52">
        <f>IFERROR(VLOOKUP(A52, AZInsight_Data!$A:$AS, 17, FALSE), 0)</f>
        <v/>
      </c>
      <c r="E52">
        <f>IFERROR(VLOOKUP(A52, AZInsight_Data!$A:$AS, 18, FALSE), 0)</f>
        <v/>
      </c>
      <c r="F52" s="14">
        <f>IFERROR(VLOOKUP(A52, AZInsight_Data!$A:$AS, 7, FALSE), 0)</f>
        <v/>
      </c>
      <c r="G52" s="15">
        <f>IFERROR(VLOOKUP(A52, AZInsight_Data!$A:$AS, 14, FALSE), 0)</f>
        <v/>
      </c>
      <c r="H52" s="14">
        <f>IFERROR(VLOOKUP(A52, AZInsight_Data!$A:$AS, 8, FALSE), 0)</f>
        <v/>
      </c>
      <c r="I52" s="16">
        <f>IFERROR(VLOOKUP(A52, KEEPA!$A:$AW, 47, FALSE), 0)</f>
        <v/>
      </c>
      <c r="J52">
        <f>IFERROR(VLOOKUP(A52, AZInsight_Data!$A:$AS, 25, FALSE), 0)</f>
        <v/>
      </c>
      <c r="K52" s="15">
        <f>IFERROR(VLOOKUP(A52, AZInsight_Data!$A:$AS, 16, FALSE), 0)</f>
        <v/>
      </c>
      <c r="L52" s="15">
        <f>IFERROR(K52-T52-J52, 0)</f>
        <v/>
      </c>
      <c r="M52" s="16">
        <f>IFERROR(IF(T52=0, 0, L52/T52), 0)</f>
        <v/>
      </c>
      <c r="N52" s="14">
        <f>IFERROR(C52*($V$2/30), 0)</f>
        <v/>
      </c>
      <c r="O52">
        <f>IFERROR(VLOOKUP(A52, AZInsight_Data!$A:$AS, 40, FALSE), 1)</f>
        <v/>
      </c>
      <c r="P52" s="13">
        <f>IF(O52&gt;0, O52, 1)</f>
        <v/>
      </c>
      <c r="Q52" s="13">
        <f>IFERROR(U52/P52, 0)</f>
        <v/>
      </c>
      <c r="R52">
        <f>IFERROR(VLOOKUP(A52, AZInsight_Data!$A:$AS, 36, FALSE), "")</f>
        <v/>
      </c>
      <c r="S52">
        <f>IFERROR(VLOOKUP(A52, AZInsight_Data!$A:$AS, 3, FALSE), "")</f>
        <v/>
      </c>
      <c r="T52" s="17">
        <f>IFERROR(VLOOKUP(A52, AZInsight_Data!$A:$AS, 13, FALSE), 0)</f>
        <v/>
      </c>
      <c r="U52" s="13">
        <f>AH52</f>
        <v/>
      </c>
      <c r="V52" s="15">
        <f>T52*U52</f>
        <v/>
      </c>
      <c r="W52" s="16" t="n"/>
      <c r="X52" s="12">
        <f>IFERROR(VLOOKUP(A52, AZInsight_Data!$A:$AS, 40, FALSE), 1)</f>
        <v/>
      </c>
      <c r="Y52" s="13">
        <f>IFERROR(VLOOKUP(A52, IP Qty!$D:$R, 5, FALSE), 0)</f>
        <v/>
      </c>
      <c r="Z52" s="14">
        <f>IFERROR(VLOOKUP(A52, IP Qty!$D:$R, 6, FALSE), 0)</f>
        <v/>
      </c>
      <c r="AA52">
        <f>IFERROR(VLOOKUP(A52, IP Qty!$D:$R, 7, FALSE), 0)</f>
        <v/>
      </c>
      <c r="AB52">
        <f>IFERROR(VLOOKUP(A52, IP Qty!$D:$R, 9, FALSE), 0)</f>
        <v/>
      </c>
      <c r="AC52">
        <f>IFERROR(VLOOKUP(A52, IP Qty!$D:$R, 8, FALSE), 0)</f>
        <v/>
      </c>
      <c r="AD52" s="14">
        <f>IFERROR(VLOOKUP(A52, KEEPA!$A:$AW, 34, FALSE), 0)</f>
        <v/>
      </c>
      <c r="AE52" s="15">
        <f>IF(P52&gt;1, ((((M52&gt;=$AD$2)*(L52&gt;=$AH$2)) + ((M52&lt;$AD$2)*(M52&gt;=$AE$2)*(L52&gt;=$AG$2)) + ((M52&lt;$AE$2)*(M52&gt;=$AC$2)*(L52&gt;=0)))*2 * IF($AI$2=0, 1, AI52&lt;=$AI$2) * IF($AK$2=0, 1, AK52&lt;=$AK$2) * AND(N52&gt;=$D$1, H52&lt;=$I$2, G52&gt;=$H$2)), ((((M52&gt;=$AD$2)*(L52&gt;=$AH$2)) + ((M52&lt;$AD$2)*(M52&gt;=$AE$2)*(L52&gt;=$AG$2)) + ((M52&lt;$AE$2)*(M52&gt;=$AC$2)*(L52&gt;=0))) * IF($AI$2=0, 1, AI52&lt;=$AI$2) * IF($AK$2=0, 1, AK52&lt;=$AK$2) * AND(N52&gt;=$D$1, H52&lt;=$I$2, G52&gt;=$H$2)))</f>
        <v/>
      </c>
      <c r="AF52">
        <f>IF(AE52&gt;0, 1, 0)</f>
        <v/>
      </c>
      <c r="AG52">
        <f>IFERROR(IF(ISNUMBER(W52), IF(AN52, N52*W52*$AN$2, N52*W52), NA()), NA())</f>
        <v/>
      </c>
      <c r="AH52" s="13">
        <f>IFERROR(MIN(AG52, $U$2), 0)</f>
        <v/>
      </c>
      <c r="AI52" s="14">
        <f>IFERROR(VLOOKUP(A52, KEEPA!$A:$AW, 26, FALSE), 0)</f>
        <v/>
      </c>
      <c r="AJ52" s="16">
        <f>IFERROR(IF(AI52=0, 0, (AI52-H52)/H52), 0)</f>
        <v/>
      </c>
      <c r="AK52" s="14">
        <f>IFERROR(VLOOKUP(A52, KEEPA!$A:$AW, 28, FALSE), 0)</f>
        <v/>
      </c>
      <c r="AL52" s="16">
        <f>IFERROR(IF(AK52=0, 0, (AK52-H52)/H52), 0)</f>
        <v/>
      </c>
      <c r="AM52" s="13">
        <f>IFERROR(VLOOKUP(A52, AZInsight_Data!$A:$AS, 34, FALSE), 0)</f>
        <v/>
      </c>
      <c r="AN52">
        <f>IFERROR(AND(VLOOKUP(A52, KEEPA!$A:$AW, 2, FALSE)&lt;=$AO$2, N52 &gt;= $AM$2), FALSE)</f>
        <v/>
      </c>
      <c r="AO52" s="16">
        <f>IFERROR(VLOOKUP(A52, KEEPA!$A:$AW, 24, FALSE), 0)</f>
        <v/>
      </c>
      <c r="AP52" s="16">
        <f>IFERROR(VLOOKUP(A52, KEEPA!$A:$AW, 48, FALSE), 0)</f>
        <v/>
      </c>
      <c r="AQ52">
        <f>IFERROR(VLOOKUP(A52, AZInsight_Data!$A:$AS, 5, FALSE), "SL")</f>
        <v/>
      </c>
      <c r="AR52">
        <f>IF(OR(A52="", A52=0), "", HYPERLINK("https://keepa.com/#!product/1-"&amp;A52, "Keepa"))</f>
        <v/>
      </c>
      <c r="AS52">
        <f>IF(OR(A52="", A52=0), "", HYPERLINK("https://www.amazon.com/dp/"&amp;A52, "Amazon"))</f>
        <v/>
      </c>
      <c r="AT52">
        <f>IF(OR(A52="", A52=0), "", HYPERLINK("https://sellercentral.amazon.com/product-search/search?q="&amp;A52, "Check Gated"))</f>
        <v/>
      </c>
      <c r="AU52" s="12" t="n"/>
      <c r="AV52" s="12" t="n"/>
      <c r="AW52" s="12" t="n"/>
    </row>
    <row r="53">
      <c r="A53" s="12" t="n"/>
      <c r="B53" s="12">
        <f>IFERROR(VLOOKUP(A53, AZInsight_Data!$A:$AS, 3, FALSE), "")</f>
        <v/>
      </c>
      <c r="C53" s="13">
        <f>IFERROR(VLOOKUP(A53, AZInsight_Data!$A:$AS, 9, FALSE), 0)</f>
        <v/>
      </c>
      <c r="D53">
        <f>IFERROR(VLOOKUP(A53, AZInsight_Data!$A:$AS, 17, FALSE), 0)</f>
        <v/>
      </c>
      <c r="E53">
        <f>IFERROR(VLOOKUP(A53, AZInsight_Data!$A:$AS, 18, FALSE), 0)</f>
        <v/>
      </c>
      <c r="F53" s="14">
        <f>IFERROR(VLOOKUP(A53, AZInsight_Data!$A:$AS, 7, FALSE), 0)</f>
        <v/>
      </c>
      <c r="G53" s="15">
        <f>IFERROR(VLOOKUP(A53, AZInsight_Data!$A:$AS, 14, FALSE), 0)</f>
        <v/>
      </c>
      <c r="H53" s="14">
        <f>IFERROR(VLOOKUP(A53, AZInsight_Data!$A:$AS, 8, FALSE), 0)</f>
        <v/>
      </c>
      <c r="I53" s="16">
        <f>IFERROR(VLOOKUP(A53, KEEPA!$A:$AW, 47, FALSE), 0)</f>
        <v/>
      </c>
      <c r="J53">
        <f>IFERROR(VLOOKUP(A53, AZInsight_Data!$A:$AS, 25, FALSE), 0)</f>
        <v/>
      </c>
      <c r="K53" s="15">
        <f>IFERROR(VLOOKUP(A53, AZInsight_Data!$A:$AS, 16, FALSE), 0)</f>
        <v/>
      </c>
      <c r="L53" s="15">
        <f>IFERROR(K53-T53-J53, 0)</f>
        <v/>
      </c>
      <c r="M53" s="16">
        <f>IFERROR(IF(T53=0, 0, L53/T53), 0)</f>
        <v/>
      </c>
      <c r="N53" s="14">
        <f>IFERROR(C53*($V$2/30), 0)</f>
        <v/>
      </c>
      <c r="O53">
        <f>IFERROR(VLOOKUP(A53, AZInsight_Data!$A:$AS, 40, FALSE), 1)</f>
        <v/>
      </c>
      <c r="P53" s="13">
        <f>IF(O53&gt;0, O53, 1)</f>
        <v/>
      </c>
      <c r="Q53" s="13">
        <f>IFERROR(U53/P53, 0)</f>
        <v/>
      </c>
      <c r="R53">
        <f>IFERROR(VLOOKUP(A53, AZInsight_Data!$A:$AS, 36, FALSE), "")</f>
        <v/>
      </c>
      <c r="S53">
        <f>IFERROR(VLOOKUP(A53, AZInsight_Data!$A:$AS, 3, FALSE), "")</f>
        <v/>
      </c>
      <c r="T53" s="17">
        <f>IFERROR(VLOOKUP(A53, AZInsight_Data!$A:$AS, 13, FALSE), 0)</f>
        <v/>
      </c>
      <c r="U53" s="13">
        <f>AH53</f>
        <v/>
      </c>
      <c r="V53" s="15">
        <f>T53*U53</f>
        <v/>
      </c>
      <c r="W53" s="16" t="n"/>
      <c r="X53" s="12">
        <f>IFERROR(VLOOKUP(A53, AZInsight_Data!$A:$AS, 40, FALSE), 1)</f>
        <v/>
      </c>
      <c r="Y53" s="13">
        <f>IFERROR(VLOOKUP(A53, IP Qty!$D:$R, 5, FALSE), 0)</f>
        <v/>
      </c>
      <c r="Z53" s="14">
        <f>IFERROR(VLOOKUP(A53, IP Qty!$D:$R, 6, FALSE), 0)</f>
        <v/>
      </c>
      <c r="AA53">
        <f>IFERROR(VLOOKUP(A53, IP Qty!$D:$R, 7, FALSE), 0)</f>
        <v/>
      </c>
      <c r="AB53">
        <f>IFERROR(VLOOKUP(A53, IP Qty!$D:$R, 9, FALSE), 0)</f>
        <v/>
      </c>
      <c r="AC53">
        <f>IFERROR(VLOOKUP(A53, IP Qty!$D:$R, 8, FALSE), 0)</f>
        <v/>
      </c>
      <c r="AD53" s="14">
        <f>IFERROR(VLOOKUP(A53, KEEPA!$A:$AW, 34, FALSE), 0)</f>
        <v/>
      </c>
      <c r="AE53" s="15">
        <f>IF(P53&gt;1, ((((M53&gt;=$AD$2)*(L53&gt;=$AH$2)) + ((M53&lt;$AD$2)*(M53&gt;=$AE$2)*(L53&gt;=$AG$2)) + ((M53&lt;$AE$2)*(M53&gt;=$AC$2)*(L53&gt;=0)))*2 * IF($AI$2=0, 1, AI53&lt;=$AI$2) * IF($AK$2=0, 1, AK53&lt;=$AK$2) * AND(N53&gt;=$D$1, H53&lt;=$I$2, G53&gt;=$H$2)), ((((M53&gt;=$AD$2)*(L53&gt;=$AH$2)) + ((M53&lt;$AD$2)*(M53&gt;=$AE$2)*(L53&gt;=$AG$2)) + ((M53&lt;$AE$2)*(M53&gt;=$AC$2)*(L53&gt;=0))) * IF($AI$2=0, 1, AI53&lt;=$AI$2) * IF($AK$2=0, 1, AK53&lt;=$AK$2) * AND(N53&gt;=$D$1, H53&lt;=$I$2, G53&gt;=$H$2)))</f>
        <v/>
      </c>
      <c r="AF53">
        <f>IF(AE53&gt;0, 1, 0)</f>
        <v/>
      </c>
      <c r="AG53">
        <f>IFERROR(IF(ISNUMBER(W53), IF(AN53, N53*W53*$AN$2, N53*W53), NA()), NA())</f>
        <v/>
      </c>
      <c r="AH53" s="13">
        <f>IFERROR(MIN(AG53, $U$2), 0)</f>
        <v/>
      </c>
      <c r="AI53" s="14">
        <f>IFERROR(VLOOKUP(A53, KEEPA!$A:$AW, 26, FALSE), 0)</f>
        <v/>
      </c>
      <c r="AJ53" s="16">
        <f>IFERROR(IF(AI53=0, 0, (AI53-H53)/H53), 0)</f>
        <v/>
      </c>
      <c r="AK53" s="14">
        <f>IFERROR(VLOOKUP(A53, KEEPA!$A:$AW, 28, FALSE), 0)</f>
        <v/>
      </c>
      <c r="AL53" s="16">
        <f>IFERROR(IF(AK53=0, 0, (AK53-H53)/H53), 0)</f>
        <v/>
      </c>
      <c r="AM53" s="13">
        <f>IFERROR(VLOOKUP(A53, AZInsight_Data!$A:$AS, 34, FALSE), 0)</f>
        <v/>
      </c>
      <c r="AN53">
        <f>IFERROR(AND(VLOOKUP(A53, KEEPA!$A:$AW, 2, FALSE)&lt;=$AO$2, N53 &gt;= $AM$2), FALSE)</f>
        <v/>
      </c>
      <c r="AO53" s="16">
        <f>IFERROR(VLOOKUP(A53, KEEPA!$A:$AW, 24, FALSE), 0)</f>
        <v/>
      </c>
      <c r="AP53" s="16">
        <f>IFERROR(VLOOKUP(A53, KEEPA!$A:$AW, 48, FALSE), 0)</f>
        <v/>
      </c>
      <c r="AQ53">
        <f>IFERROR(VLOOKUP(A53, AZInsight_Data!$A:$AS, 5, FALSE), "SL")</f>
        <v/>
      </c>
      <c r="AR53">
        <f>IF(OR(A53="", A53=0), "", HYPERLINK("https://keepa.com/#!product/1-"&amp;A53, "Keepa"))</f>
        <v/>
      </c>
      <c r="AS53">
        <f>IF(OR(A53="", A53=0), "", HYPERLINK("https://www.amazon.com/dp/"&amp;A53, "Amazon"))</f>
        <v/>
      </c>
      <c r="AT53">
        <f>IF(OR(A53="", A53=0), "", HYPERLINK("https://sellercentral.amazon.com/product-search/search?q="&amp;A53, "Check Gated"))</f>
        <v/>
      </c>
      <c r="AU53" s="12" t="n"/>
      <c r="AV53" s="12" t="n"/>
      <c r="AW53" s="12" t="n"/>
    </row>
    <row r="54">
      <c r="A54" s="12" t="n"/>
      <c r="B54" s="12">
        <f>IFERROR(VLOOKUP(A54, AZInsight_Data!$A:$AS, 3, FALSE), "")</f>
        <v/>
      </c>
      <c r="C54" s="13">
        <f>IFERROR(VLOOKUP(A54, AZInsight_Data!$A:$AS, 9, FALSE), 0)</f>
        <v/>
      </c>
      <c r="D54">
        <f>IFERROR(VLOOKUP(A54, AZInsight_Data!$A:$AS, 17, FALSE), 0)</f>
        <v/>
      </c>
      <c r="E54">
        <f>IFERROR(VLOOKUP(A54, AZInsight_Data!$A:$AS, 18, FALSE), 0)</f>
        <v/>
      </c>
      <c r="F54" s="14">
        <f>IFERROR(VLOOKUP(A54, AZInsight_Data!$A:$AS, 7, FALSE), 0)</f>
        <v/>
      </c>
      <c r="G54" s="15">
        <f>IFERROR(VLOOKUP(A54, AZInsight_Data!$A:$AS, 14, FALSE), 0)</f>
        <v/>
      </c>
      <c r="H54" s="14">
        <f>IFERROR(VLOOKUP(A54, AZInsight_Data!$A:$AS, 8, FALSE), 0)</f>
        <v/>
      </c>
      <c r="I54" s="16">
        <f>IFERROR(VLOOKUP(A54, KEEPA!$A:$AW, 47, FALSE), 0)</f>
        <v/>
      </c>
      <c r="J54">
        <f>IFERROR(VLOOKUP(A54, AZInsight_Data!$A:$AS, 25, FALSE), 0)</f>
        <v/>
      </c>
      <c r="K54" s="15">
        <f>IFERROR(VLOOKUP(A54, AZInsight_Data!$A:$AS, 16, FALSE), 0)</f>
        <v/>
      </c>
      <c r="L54" s="15">
        <f>IFERROR(K54-T54-J54, 0)</f>
        <v/>
      </c>
      <c r="M54" s="16">
        <f>IFERROR(IF(T54=0, 0, L54/T54), 0)</f>
        <v/>
      </c>
      <c r="N54" s="14">
        <f>IFERROR(C54*($V$2/30), 0)</f>
        <v/>
      </c>
      <c r="O54">
        <f>IFERROR(VLOOKUP(A54, AZInsight_Data!$A:$AS, 40, FALSE), 1)</f>
        <v/>
      </c>
      <c r="P54" s="13">
        <f>IF(O54&gt;0, O54, 1)</f>
        <v/>
      </c>
      <c r="Q54" s="13">
        <f>IFERROR(U54/P54, 0)</f>
        <v/>
      </c>
      <c r="R54">
        <f>IFERROR(VLOOKUP(A54, AZInsight_Data!$A:$AS, 36, FALSE), "")</f>
        <v/>
      </c>
      <c r="S54">
        <f>IFERROR(VLOOKUP(A54, AZInsight_Data!$A:$AS, 3, FALSE), "")</f>
        <v/>
      </c>
      <c r="T54" s="17">
        <f>IFERROR(VLOOKUP(A54, AZInsight_Data!$A:$AS, 13, FALSE), 0)</f>
        <v/>
      </c>
      <c r="U54" s="13">
        <f>AH54</f>
        <v/>
      </c>
      <c r="V54" s="15">
        <f>T54*U54</f>
        <v/>
      </c>
      <c r="W54" s="16" t="n"/>
      <c r="X54" s="12">
        <f>IFERROR(VLOOKUP(A54, AZInsight_Data!$A:$AS, 40, FALSE), 1)</f>
        <v/>
      </c>
      <c r="Y54" s="13">
        <f>IFERROR(VLOOKUP(A54, IP Qty!$D:$R, 5, FALSE), 0)</f>
        <v/>
      </c>
      <c r="Z54" s="14">
        <f>IFERROR(VLOOKUP(A54, IP Qty!$D:$R, 6, FALSE), 0)</f>
        <v/>
      </c>
      <c r="AA54">
        <f>IFERROR(VLOOKUP(A54, IP Qty!$D:$R, 7, FALSE), 0)</f>
        <v/>
      </c>
      <c r="AB54">
        <f>IFERROR(VLOOKUP(A54, IP Qty!$D:$R, 9, FALSE), 0)</f>
        <v/>
      </c>
      <c r="AC54">
        <f>IFERROR(VLOOKUP(A54, IP Qty!$D:$R, 8, FALSE), 0)</f>
        <v/>
      </c>
      <c r="AD54" s="14">
        <f>IFERROR(VLOOKUP(A54, KEEPA!$A:$AW, 34, FALSE), 0)</f>
        <v/>
      </c>
      <c r="AE54" s="15">
        <f>IF(P54&gt;1, ((((M54&gt;=$AD$2)*(L54&gt;=$AH$2)) + ((M54&lt;$AD$2)*(M54&gt;=$AE$2)*(L54&gt;=$AG$2)) + ((M54&lt;$AE$2)*(M54&gt;=$AC$2)*(L54&gt;=0)))*2 * IF($AI$2=0, 1, AI54&lt;=$AI$2) * IF($AK$2=0, 1, AK54&lt;=$AK$2) * AND(N54&gt;=$D$1, H54&lt;=$I$2, G54&gt;=$H$2)), ((((M54&gt;=$AD$2)*(L54&gt;=$AH$2)) + ((M54&lt;$AD$2)*(M54&gt;=$AE$2)*(L54&gt;=$AG$2)) + ((M54&lt;$AE$2)*(M54&gt;=$AC$2)*(L54&gt;=0))) * IF($AI$2=0, 1, AI54&lt;=$AI$2) * IF($AK$2=0, 1, AK54&lt;=$AK$2) * AND(N54&gt;=$D$1, H54&lt;=$I$2, G54&gt;=$H$2)))</f>
        <v/>
      </c>
      <c r="AF54">
        <f>IF(AE54&gt;0, 1, 0)</f>
        <v/>
      </c>
      <c r="AG54">
        <f>IFERROR(IF(ISNUMBER(W54), IF(AN54, N54*W54*$AN$2, N54*W54), NA()), NA())</f>
        <v/>
      </c>
      <c r="AH54" s="13">
        <f>IFERROR(MIN(AG54, $U$2), 0)</f>
        <v/>
      </c>
      <c r="AI54" s="14">
        <f>IFERROR(VLOOKUP(A54, KEEPA!$A:$AW, 26, FALSE), 0)</f>
        <v/>
      </c>
      <c r="AJ54" s="16">
        <f>IFERROR(IF(AI54=0, 0, (AI54-H54)/H54), 0)</f>
        <v/>
      </c>
      <c r="AK54" s="14">
        <f>IFERROR(VLOOKUP(A54, KEEPA!$A:$AW, 28, FALSE), 0)</f>
        <v/>
      </c>
      <c r="AL54" s="16">
        <f>IFERROR(IF(AK54=0, 0, (AK54-H54)/H54), 0)</f>
        <v/>
      </c>
      <c r="AM54" s="13">
        <f>IFERROR(VLOOKUP(A54, AZInsight_Data!$A:$AS, 34, FALSE), 0)</f>
        <v/>
      </c>
      <c r="AN54">
        <f>IFERROR(AND(VLOOKUP(A54, KEEPA!$A:$AW, 2, FALSE)&lt;=$AO$2, N54 &gt;= $AM$2), FALSE)</f>
        <v/>
      </c>
      <c r="AO54" s="16">
        <f>IFERROR(VLOOKUP(A54, KEEPA!$A:$AW, 24, FALSE), 0)</f>
        <v/>
      </c>
      <c r="AP54" s="16">
        <f>IFERROR(VLOOKUP(A54, KEEPA!$A:$AW, 48, FALSE), 0)</f>
        <v/>
      </c>
      <c r="AQ54">
        <f>IFERROR(VLOOKUP(A54, AZInsight_Data!$A:$AS, 5, FALSE), "SL")</f>
        <v/>
      </c>
      <c r="AR54">
        <f>IF(OR(A54="", A54=0), "", HYPERLINK("https://keepa.com/#!product/1-"&amp;A54, "Keepa"))</f>
        <v/>
      </c>
      <c r="AS54">
        <f>IF(OR(A54="", A54=0), "", HYPERLINK("https://www.amazon.com/dp/"&amp;A54, "Amazon"))</f>
        <v/>
      </c>
      <c r="AT54">
        <f>IF(OR(A54="", A54=0), "", HYPERLINK("https://sellercentral.amazon.com/product-search/search?q="&amp;A54, "Check Gated"))</f>
        <v/>
      </c>
      <c r="AU54" s="12" t="n"/>
      <c r="AV54" s="12" t="n"/>
      <c r="AW54" s="12" t="n"/>
    </row>
    <row r="55">
      <c r="A55" s="12" t="n"/>
      <c r="B55" s="12">
        <f>IFERROR(VLOOKUP(A55, AZInsight_Data!$A:$AS, 3, FALSE), "")</f>
        <v/>
      </c>
      <c r="C55" s="13">
        <f>IFERROR(VLOOKUP(A55, AZInsight_Data!$A:$AS, 9, FALSE), 0)</f>
        <v/>
      </c>
      <c r="D55">
        <f>IFERROR(VLOOKUP(A55, AZInsight_Data!$A:$AS, 17, FALSE), 0)</f>
        <v/>
      </c>
      <c r="E55">
        <f>IFERROR(VLOOKUP(A55, AZInsight_Data!$A:$AS, 18, FALSE), 0)</f>
        <v/>
      </c>
      <c r="F55" s="14">
        <f>IFERROR(VLOOKUP(A55, AZInsight_Data!$A:$AS, 7, FALSE), 0)</f>
        <v/>
      </c>
      <c r="G55" s="15">
        <f>IFERROR(VLOOKUP(A55, AZInsight_Data!$A:$AS, 14, FALSE), 0)</f>
        <v/>
      </c>
      <c r="H55" s="14">
        <f>IFERROR(VLOOKUP(A55, AZInsight_Data!$A:$AS, 8, FALSE), 0)</f>
        <v/>
      </c>
      <c r="I55" s="16">
        <f>IFERROR(VLOOKUP(A55, KEEPA!$A:$AW, 47, FALSE), 0)</f>
        <v/>
      </c>
      <c r="J55">
        <f>IFERROR(VLOOKUP(A55, AZInsight_Data!$A:$AS, 25, FALSE), 0)</f>
        <v/>
      </c>
      <c r="K55" s="15">
        <f>IFERROR(VLOOKUP(A55, AZInsight_Data!$A:$AS, 16, FALSE), 0)</f>
        <v/>
      </c>
      <c r="L55" s="15">
        <f>IFERROR(K55-T55-J55, 0)</f>
        <v/>
      </c>
      <c r="M55" s="16">
        <f>IFERROR(IF(T55=0, 0, L55/T55), 0)</f>
        <v/>
      </c>
      <c r="N55" s="14">
        <f>IFERROR(C55*($V$2/30), 0)</f>
        <v/>
      </c>
      <c r="O55">
        <f>IFERROR(VLOOKUP(A55, AZInsight_Data!$A:$AS, 40, FALSE), 1)</f>
        <v/>
      </c>
      <c r="P55" s="13">
        <f>IF(O55&gt;0, O55, 1)</f>
        <v/>
      </c>
      <c r="Q55" s="13">
        <f>IFERROR(U55/P55, 0)</f>
        <v/>
      </c>
      <c r="R55">
        <f>IFERROR(VLOOKUP(A55, AZInsight_Data!$A:$AS, 36, FALSE), "")</f>
        <v/>
      </c>
      <c r="S55">
        <f>IFERROR(VLOOKUP(A55, AZInsight_Data!$A:$AS, 3, FALSE), "")</f>
        <v/>
      </c>
      <c r="T55" s="17">
        <f>IFERROR(VLOOKUP(A55, AZInsight_Data!$A:$AS, 13, FALSE), 0)</f>
        <v/>
      </c>
      <c r="U55" s="13">
        <f>AH55</f>
        <v/>
      </c>
      <c r="V55" s="15">
        <f>T55*U55</f>
        <v/>
      </c>
      <c r="W55" s="16" t="n"/>
      <c r="X55" s="12">
        <f>IFERROR(VLOOKUP(A55, AZInsight_Data!$A:$AS, 40, FALSE), 1)</f>
        <v/>
      </c>
      <c r="Y55" s="13">
        <f>IFERROR(VLOOKUP(A55, IP Qty!$D:$R, 5, FALSE), 0)</f>
        <v/>
      </c>
      <c r="Z55" s="14">
        <f>IFERROR(VLOOKUP(A55, IP Qty!$D:$R, 6, FALSE), 0)</f>
        <v/>
      </c>
      <c r="AA55">
        <f>IFERROR(VLOOKUP(A55, IP Qty!$D:$R, 7, FALSE), 0)</f>
        <v/>
      </c>
      <c r="AB55">
        <f>IFERROR(VLOOKUP(A55, IP Qty!$D:$R, 9, FALSE), 0)</f>
        <v/>
      </c>
      <c r="AC55">
        <f>IFERROR(VLOOKUP(A55, IP Qty!$D:$R, 8, FALSE), 0)</f>
        <v/>
      </c>
      <c r="AD55" s="14">
        <f>IFERROR(VLOOKUP(A55, KEEPA!$A:$AW, 34, FALSE), 0)</f>
        <v/>
      </c>
      <c r="AE55" s="15">
        <f>IF(P55&gt;1, ((((M55&gt;=$AD$2)*(L55&gt;=$AH$2)) + ((M55&lt;$AD$2)*(M55&gt;=$AE$2)*(L55&gt;=$AG$2)) + ((M55&lt;$AE$2)*(M55&gt;=$AC$2)*(L55&gt;=0)))*2 * IF($AI$2=0, 1, AI55&lt;=$AI$2) * IF($AK$2=0, 1, AK55&lt;=$AK$2) * AND(N55&gt;=$D$1, H55&lt;=$I$2, G55&gt;=$H$2)), ((((M55&gt;=$AD$2)*(L55&gt;=$AH$2)) + ((M55&lt;$AD$2)*(M55&gt;=$AE$2)*(L55&gt;=$AG$2)) + ((M55&lt;$AE$2)*(M55&gt;=$AC$2)*(L55&gt;=0))) * IF($AI$2=0, 1, AI55&lt;=$AI$2) * IF($AK$2=0, 1, AK55&lt;=$AK$2) * AND(N55&gt;=$D$1, H55&lt;=$I$2, G55&gt;=$H$2)))</f>
        <v/>
      </c>
      <c r="AF55">
        <f>IF(AE55&gt;0, 1, 0)</f>
        <v/>
      </c>
      <c r="AG55">
        <f>IFERROR(IF(ISNUMBER(W55), IF(AN55, N55*W55*$AN$2, N55*W55), NA()), NA())</f>
        <v/>
      </c>
      <c r="AH55" s="13">
        <f>IFERROR(MIN(AG55, $U$2), 0)</f>
        <v/>
      </c>
      <c r="AI55" s="14">
        <f>IFERROR(VLOOKUP(A55, KEEPA!$A:$AW, 26, FALSE), 0)</f>
        <v/>
      </c>
      <c r="AJ55" s="16">
        <f>IFERROR(IF(AI55=0, 0, (AI55-H55)/H55), 0)</f>
        <v/>
      </c>
      <c r="AK55" s="14">
        <f>IFERROR(VLOOKUP(A55, KEEPA!$A:$AW, 28, FALSE), 0)</f>
        <v/>
      </c>
      <c r="AL55" s="16">
        <f>IFERROR(IF(AK55=0, 0, (AK55-H55)/H55), 0)</f>
        <v/>
      </c>
      <c r="AM55" s="13">
        <f>IFERROR(VLOOKUP(A55, AZInsight_Data!$A:$AS, 34, FALSE), 0)</f>
        <v/>
      </c>
      <c r="AN55">
        <f>IFERROR(AND(VLOOKUP(A55, KEEPA!$A:$AW, 2, FALSE)&lt;=$AO$2, N55 &gt;= $AM$2), FALSE)</f>
        <v/>
      </c>
      <c r="AO55" s="16">
        <f>IFERROR(VLOOKUP(A55, KEEPA!$A:$AW, 24, FALSE), 0)</f>
        <v/>
      </c>
      <c r="AP55" s="16">
        <f>IFERROR(VLOOKUP(A55, KEEPA!$A:$AW, 48, FALSE), 0)</f>
        <v/>
      </c>
      <c r="AQ55">
        <f>IFERROR(VLOOKUP(A55, AZInsight_Data!$A:$AS, 5, FALSE), "SL")</f>
        <v/>
      </c>
      <c r="AR55">
        <f>IF(OR(A55="", A55=0), "", HYPERLINK("https://keepa.com/#!product/1-"&amp;A55, "Keepa"))</f>
        <v/>
      </c>
      <c r="AS55">
        <f>IF(OR(A55="", A55=0), "", HYPERLINK("https://www.amazon.com/dp/"&amp;A55, "Amazon"))</f>
        <v/>
      </c>
      <c r="AT55">
        <f>IF(OR(A55="", A55=0), "", HYPERLINK("https://sellercentral.amazon.com/product-search/search?q="&amp;A55, "Check Gated"))</f>
        <v/>
      </c>
      <c r="AU55" s="12" t="n"/>
      <c r="AV55" s="12" t="n"/>
      <c r="AW55" s="12" t="n"/>
    </row>
    <row r="56">
      <c r="A56" s="12" t="n"/>
      <c r="B56" s="12">
        <f>IFERROR(VLOOKUP(A56, AZInsight_Data!$A:$AS, 3, FALSE), "")</f>
        <v/>
      </c>
      <c r="C56" s="13">
        <f>IFERROR(VLOOKUP(A56, AZInsight_Data!$A:$AS, 9, FALSE), 0)</f>
        <v/>
      </c>
      <c r="D56">
        <f>IFERROR(VLOOKUP(A56, AZInsight_Data!$A:$AS, 17, FALSE), 0)</f>
        <v/>
      </c>
      <c r="E56">
        <f>IFERROR(VLOOKUP(A56, AZInsight_Data!$A:$AS, 18, FALSE), 0)</f>
        <v/>
      </c>
      <c r="F56" s="14">
        <f>IFERROR(VLOOKUP(A56, AZInsight_Data!$A:$AS, 7, FALSE), 0)</f>
        <v/>
      </c>
      <c r="G56" s="15">
        <f>IFERROR(VLOOKUP(A56, AZInsight_Data!$A:$AS, 14, FALSE), 0)</f>
        <v/>
      </c>
      <c r="H56" s="14">
        <f>IFERROR(VLOOKUP(A56, AZInsight_Data!$A:$AS, 8, FALSE), 0)</f>
        <v/>
      </c>
      <c r="I56" s="16">
        <f>IFERROR(VLOOKUP(A56, KEEPA!$A:$AW, 47, FALSE), 0)</f>
        <v/>
      </c>
      <c r="J56">
        <f>IFERROR(VLOOKUP(A56, AZInsight_Data!$A:$AS, 25, FALSE), 0)</f>
        <v/>
      </c>
      <c r="K56" s="15">
        <f>IFERROR(VLOOKUP(A56, AZInsight_Data!$A:$AS, 16, FALSE), 0)</f>
        <v/>
      </c>
      <c r="L56" s="15">
        <f>IFERROR(K56-T56-J56, 0)</f>
        <v/>
      </c>
      <c r="M56" s="16">
        <f>IFERROR(IF(T56=0, 0, L56/T56), 0)</f>
        <v/>
      </c>
      <c r="N56" s="14">
        <f>IFERROR(C56*($V$2/30), 0)</f>
        <v/>
      </c>
      <c r="O56">
        <f>IFERROR(VLOOKUP(A56, AZInsight_Data!$A:$AS, 40, FALSE), 1)</f>
        <v/>
      </c>
      <c r="P56" s="13">
        <f>IF(O56&gt;0, O56, 1)</f>
        <v/>
      </c>
      <c r="Q56" s="13">
        <f>IFERROR(U56/P56, 0)</f>
        <v/>
      </c>
      <c r="R56">
        <f>IFERROR(VLOOKUP(A56, AZInsight_Data!$A:$AS, 36, FALSE), "")</f>
        <v/>
      </c>
      <c r="S56">
        <f>IFERROR(VLOOKUP(A56, AZInsight_Data!$A:$AS, 3, FALSE), "")</f>
        <v/>
      </c>
      <c r="T56" s="17">
        <f>IFERROR(VLOOKUP(A56, AZInsight_Data!$A:$AS, 13, FALSE), 0)</f>
        <v/>
      </c>
      <c r="U56" s="13">
        <f>AH56</f>
        <v/>
      </c>
      <c r="V56" s="15">
        <f>T56*U56</f>
        <v/>
      </c>
      <c r="W56" s="16" t="n"/>
      <c r="X56" s="12">
        <f>IFERROR(VLOOKUP(A56, AZInsight_Data!$A:$AS, 40, FALSE), 1)</f>
        <v/>
      </c>
      <c r="Y56" s="13">
        <f>IFERROR(VLOOKUP(A56, IP Qty!$D:$R, 5, FALSE), 0)</f>
        <v/>
      </c>
      <c r="Z56" s="14">
        <f>IFERROR(VLOOKUP(A56, IP Qty!$D:$R, 6, FALSE), 0)</f>
        <v/>
      </c>
      <c r="AA56">
        <f>IFERROR(VLOOKUP(A56, IP Qty!$D:$R, 7, FALSE), 0)</f>
        <v/>
      </c>
      <c r="AB56">
        <f>IFERROR(VLOOKUP(A56, IP Qty!$D:$R, 9, FALSE), 0)</f>
        <v/>
      </c>
      <c r="AC56">
        <f>IFERROR(VLOOKUP(A56, IP Qty!$D:$R, 8, FALSE), 0)</f>
        <v/>
      </c>
      <c r="AD56" s="14">
        <f>IFERROR(VLOOKUP(A56, KEEPA!$A:$AW, 34, FALSE), 0)</f>
        <v/>
      </c>
      <c r="AE56" s="15">
        <f>IF(P56&gt;1, ((((M56&gt;=$AD$2)*(L56&gt;=$AH$2)) + ((M56&lt;$AD$2)*(M56&gt;=$AE$2)*(L56&gt;=$AG$2)) + ((M56&lt;$AE$2)*(M56&gt;=$AC$2)*(L56&gt;=0)))*2 * IF($AI$2=0, 1, AI56&lt;=$AI$2) * IF($AK$2=0, 1, AK56&lt;=$AK$2) * AND(N56&gt;=$D$1, H56&lt;=$I$2, G56&gt;=$H$2)), ((((M56&gt;=$AD$2)*(L56&gt;=$AH$2)) + ((M56&lt;$AD$2)*(M56&gt;=$AE$2)*(L56&gt;=$AG$2)) + ((M56&lt;$AE$2)*(M56&gt;=$AC$2)*(L56&gt;=0))) * IF($AI$2=0, 1, AI56&lt;=$AI$2) * IF($AK$2=0, 1, AK56&lt;=$AK$2) * AND(N56&gt;=$D$1, H56&lt;=$I$2, G56&gt;=$H$2)))</f>
        <v/>
      </c>
      <c r="AF56">
        <f>IF(AE56&gt;0, 1, 0)</f>
        <v/>
      </c>
      <c r="AG56">
        <f>IFERROR(IF(ISNUMBER(W56), IF(AN56, N56*W56*$AN$2, N56*W56), NA()), NA())</f>
        <v/>
      </c>
      <c r="AH56" s="13">
        <f>IFERROR(MIN(AG56, $U$2), 0)</f>
        <v/>
      </c>
      <c r="AI56" s="14">
        <f>IFERROR(VLOOKUP(A56, KEEPA!$A:$AW, 26, FALSE), 0)</f>
        <v/>
      </c>
      <c r="AJ56" s="16">
        <f>IFERROR(IF(AI56=0, 0, (AI56-H56)/H56), 0)</f>
        <v/>
      </c>
      <c r="AK56" s="14">
        <f>IFERROR(VLOOKUP(A56, KEEPA!$A:$AW, 28, FALSE), 0)</f>
        <v/>
      </c>
      <c r="AL56" s="16">
        <f>IFERROR(IF(AK56=0, 0, (AK56-H56)/H56), 0)</f>
        <v/>
      </c>
      <c r="AM56" s="13">
        <f>IFERROR(VLOOKUP(A56, AZInsight_Data!$A:$AS, 34, FALSE), 0)</f>
        <v/>
      </c>
      <c r="AN56">
        <f>IFERROR(AND(VLOOKUP(A56, KEEPA!$A:$AW, 2, FALSE)&lt;=$AO$2, N56 &gt;= $AM$2), FALSE)</f>
        <v/>
      </c>
      <c r="AO56" s="16">
        <f>IFERROR(VLOOKUP(A56, KEEPA!$A:$AW, 24, FALSE), 0)</f>
        <v/>
      </c>
      <c r="AP56" s="16">
        <f>IFERROR(VLOOKUP(A56, KEEPA!$A:$AW, 48, FALSE), 0)</f>
        <v/>
      </c>
      <c r="AQ56">
        <f>IFERROR(VLOOKUP(A56, AZInsight_Data!$A:$AS, 5, FALSE), "SL")</f>
        <v/>
      </c>
      <c r="AR56">
        <f>IF(OR(A56="", A56=0), "", HYPERLINK("https://keepa.com/#!product/1-"&amp;A56, "Keepa"))</f>
        <v/>
      </c>
      <c r="AS56">
        <f>IF(OR(A56="", A56=0), "", HYPERLINK("https://www.amazon.com/dp/"&amp;A56, "Amazon"))</f>
        <v/>
      </c>
      <c r="AT56">
        <f>IF(OR(A56="", A56=0), "", HYPERLINK("https://sellercentral.amazon.com/product-search/search?q="&amp;A56, "Check Gated"))</f>
        <v/>
      </c>
      <c r="AU56" s="12" t="n"/>
      <c r="AV56" s="12" t="n"/>
      <c r="AW56" s="12" t="n"/>
    </row>
    <row r="57">
      <c r="A57" s="12" t="n"/>
      <c r="B57" s="12">
        <f>IFERROR(VLOOKUP(A57, AZInsight_Data!$A:$AS, 3, FALSE), "")</f>
        <v/>
      </c>
      <c r="C57" s="13">
        <f>IFERROR(VLOOKUP(A57, AZInsight_Data!$A:$AS, 9, FALSE), 0)</f>
        <v/>
      </c>
      <c r="D57">
        <f>IFERROR(VLOOKUP(A57, AZInsight_Data!$A:$AS, 17, FALSE), 0)</f>
        <v/>
      </c>
      <c r="E57">
        <f>IFERROR(VLOOKUP(A57, AZInsight_Data!$A:$AS, 18, FALSE), 0)</f>
        <v/>
      </c>
      <c r="F57" s="14">
        <f>IFERROR(VLOOKUP(A57, AZInsight_Data!$A:$AS, 7, FALSE), 0)</f>
        <v/>
      </c>
      <c r="G57" s="15">
        <f>IFERROR(VLOOKUP(A57, AZInsight_Data!$A:$AS, 14, FALSE), 0)</f>
        <v/>
      </c>
      <c r="H57" s="14">
        <f>IFERROR(VLOOKUP(A57, AZInsight_Data!$A:$AS, 8, FALSE), 0)</f>
        <v/>
      </c>
      <c r="I57" s="16">
        <f>IFERROR(VLOOKUP(A57, KEEPA!$A:$AW, 47, FALSE), 0)</f>
        <v/>
      </c>
      <c r="J57">
        <f>IFERROR(VLOOKUP(A57, AZInsight_Data!$A:$AS, 25, FALSE), 0)</f>
        <v/>
      </c>
      <c r="K57" s="15">
        <f>IFERROR(VLOOKUP(A57, AZInsight_Data!$A:$AS, 16, FALSE), 0)</f>
        <v/>
      </c>
      <c r="L57" s="15">
        <f>IFERROR(K57-T57-J57, 0)</f>
        <v/>
      </c>
      <c r="M57" s="16">
        <f>IFERROR(IF(T57=0, 0, L57/T57), 0)</f>
        <v/>
      </c>
      <c r="N57" s="14">
        <f>IFERROR(C57*($V$2/30), 0)</f>
        <v/>
      </c>
      <c r="O57">
        <f>IFERROR(VLOOKUP(A57, AZInsight_Data!$A:$AS, 40, FALSE), 1)</f>
        <v/>
      </c>
      <c r="P57" s="13">
        <f>IF(O57&gt;0, O57, 1)</f>
        <v/>
      </c>
      <c r="Q57" s="13">
        <f>IFERROR(U57/P57, 0)</f>
        <v/>
      </c>
      <c r="R57">
        <f>IFERROR(VLOOKUP(A57, AZInsight_Data!$A:$AS, 36, FALSE), "")</f>
        <v/>
      </c>
      <c r="S57">
        <f>IFERROR(VLOOKUP(A57, AZInsight_Data!$A:$AS, 3, FALSE), "")</f>
        <v/>
      </c>
      <c r="T57" s="17">
        <f>IFERROR(VLOOKUP(A57, AZInsight_Data!$A:$AS, 13, FALSE), 0)</f>
        <v/>
      </c>
      <c r="U57" s="13">
        <f>AH57</f>
        <v/>
      </c>
      <c r="V57" s="15">
        <f>T57*U57</f>
        <v/>
      </c>
      <c r="W57" s="16" t="n"/>
      <c r="X57" s="12">
        <f>IFERROR(VLOOKUP(A57, AZInsight_Data!$A:$AS, 40, FALSE), 1)</f>
        <v/>
      </c>
      <c r="Y57" s="13">
        <f>IFERROR(VLOOKUP(A57, IP Qty!$D:$R, 5, FALSE), 0)</f>
        <v/>
      </c>
      <c r="Z57" s="14">
        <f>IFERROR(VLOOKUP(A57, IP Qty!$D:$R, 6, FALSE), 0)</f>
        <v/>
      </c>
      <c r="AA57">
        <f>IFERROR(VLOOKUP(A57, IP Qty!$D:$R, 7, FALSE), 0)</f>
        <v/>
      </c>
      <c r="AB57">
        <f>IFERROR(VLOOKUP(A57, IP Qty!$D:$R, 9, FALSE), 0)</f>
        <v/>
      </c>
      <c r="AC57">
        <f>IFERROR(VLOOKUP(A57, IP Qty!$D:$R, 8, FALSE), 0)</f>
        <v/>
      </c>
      <c r="AD57" s="14">
        <f>IFERROR(VLOOKUP(A57, KEEPA!$A:$AW, 34, FALSE), 0)</f>
        <v/>
      </c>
      <c r="AE57" s="15">
        <f>IF(P57&gt;1, ((((M57&gt;=$AD$2)*(L57&gt;=$AH$2)) + ((M57&lt;$AD$2)*(M57&gt;=$AE$2)*(L57&gt;=$AG$2)) + ((M57&lt;$AE$2)*(M57&gt;=$AC$2)*(L57&gt;=0)))*2 * IF($AI$2=0, 1, AI57&lt;=$AI$2) * IF($AK$2=0, 1, AK57&lt;=$AK$2) * AND(N57&gt;=$D$1, H57&lt;=$I$2, G57&gt;=$H$2)), ((((M57&gt;=$AD$2)*(L57&gt;=$AH$2)) + ((M57&lt;$AD$2)*(M57&gt;=$AE$2)*(L57&gt;=$AG$2)) + ((M57&lt;$AE$2)*(M57&gt;=$AC$2)*(L57&gt;=0))) * IF($AI$2=0, 1, AI57&lt;=$AI$2) * IF($AK$2=0, 1, AK57&lt;=$AK$2) * AND(N57&gt;=$D$1, H57&lt;=$I$2, G57&gt;=$H$2)))</f>
        <v/>
      </c>
      <c r="AF57">
        <f>IF(AE57&gt;0, 1, 0)</f>
        <v/>
      </c>
      <c r="AG57">
        <f>IFERROR(IF(ISNUMBER(W57), IF(AN57, N57*W57*$AN$2, N57*W57), NA()), NA())</f>
        <v/>
      </c>
      <c r="AH57" s="13">
        <f>IFERROR(MIN(AG57, $U$2), 0)</f>
        <v/>
      </c>
      <c r="AI57" s="14">
        <f>IFERROR(VLOOKUP(A57, KEEPA!$A:$AW, 26, FALSE), 0)</f>
        <v/>
      </c>
      <c r="AJ57" s="16">
        <f>IFERROR(IF(AI57=0, 0, (AI57-H57)/H57), 0)</f>
        <v/>
      </c>
      <c r="AK57" s="14">
        <f>IFERROR(VLOOKUP(A57, KEEPA!$A:$AW, 28, FALSE), 0)</f>
        <v/>
      </c>
      <c r="AL57" s="16">
        <f>IFERROR(IF(AK57=0, 0, (AK57-H57)/H57), 0)</f>
        <v/>
      </c>
      <c r="AM57" s="13">
        <f>IFERROR(VLOOKUP(A57, AZInsight_Data!$A:$AS, 34, FALSE), 0)</f>
        <v/>
      </c>
      <c r="AN57">
        <f>IFERROR(AND(VLOOKUP(A57, KEEPA!$A:$AW, 2, FALSE)&lt;=$AO$2, N57 &gt;= $AM$2), FALSE)</f>
        <v/>
      </c>
      <c r="AO57" s="16">
        <f>IFERROR(VLOOKUP(A57, KEEPA!$A:$AW, 24, FALSE), 0)</f>
        <v/>
      </c>
      <c r="AP57" s="16">
        <f>IFERROR(VLOOKUP(A57, KEEPA!$A:$AW, 48, FALSE), 0)</f>
        <v/>
      </c>
      <c r="AQ57">
        <f>IFERROR(VLOOKUP(A57, AZInsight_Data!$A:$AS, 5, FALSE), "SL")</f>
        <v/>
      </c>
      <c r="AR57">
        <f>IF(OR(A57="", A57=0), "", HYPERLINK("https://keepa.com/#!product/1-"&amp;A57, "Keepa"))</f>
        <v/>
      </c>
      <c r="AS57">
        <f>IF(OR(A57="", A57=0), "", HYPERLINK("https://www.amazon.com/dp/"&amp;A57, "Amazon"))</f>
        <v/>
      </c>
      <c r="AT57">
        <f>IF(OR(A57="", A57=0), "", HYPERLINK("https://sellercentral.amazon.com/product-search/search?q="&amp;A57, "Check Gated"))</f>
        <v/>
      </c>
      <c r="AU57" s="12" t="n"/>
      <c r="AV57" s="12" t="n"/>
      <c r="AW57" s="12" t="n"/>
    </row>
    <row r="58">
      <c r="A58" s="12" t="n"/>
      <c r="B58" s="12">
        <f>IFERROR(VLOOKUP(A58, AZInsight_Data!$A:$AS, 3, FALSE), "")</f>
        <v/>
      </c>
      <c r="C58" s="13">
        <f>IFERROR(VLOOKUP(A58, AZInsight_Data!$A:$AS, 9, FALSE), 0)</f>
        <v/>
      </c>
      <c r="D58">
        <f>IFERROR(VLOOKUP(A58, AZInsight_Data!$A:$AS, 17, FALSE), 0)</f>
        <v/>
      </c>
      <c r="E58">
        <f>IFERROR(VLOOKUP(A58, AZInsight_Data!$A:$AS, 18, FALSE), 0)</f>
        <v/>
      </c>
      <c r="F58" s="14">
        <f>IFERROR(VLOOKUP(A58, AZInsight_Data!$A:$AS, 7, FALSE), 0)</f>
        <v/>
      </c>
      <c r="G58" s="15">
        <f>IFERROR(VLOOKUP(A58, AZInsight_Data!$A:$AS, 14, FALSE), 0)</f>
        <v/>
      </c>
      <c r="H58" s="14">
        <f>IFERROR(VLOOKUP(A58, AZInsight_Data!$A:$AS, 8, FALSE), 0)</f>
        <v/>
      </c>
      <c r="I58" s="16">
        <f>IFERROR(VLOOKUP(A58, KEEPA!$A:$AW, 47, FALSE), 0)</f>
        <v/>
      </c>
      <c r="J58">
        <f>IFERROR(VLOOKUP(A58, AZInsight_Data!$A:$AS, 25, FALSE), 0)</f>
        <v/>
      </c>
      <c r="K58" s="15">
        <f>IFERROR(VLOOKUP(A58, AZInsight_Data!$A:$AS, 16, FALSE), 0)</f>
        <v/>
      </c>
      <c r="L58" s="15">
        <f>IFERROR(K58-T58-J58, 0)</f>
        <v/>
      </c>
      <c r="M58" s="16">
        <f>IFERROR(IF(T58=0, 0, L58/T58), 0)</f>
        <v/>
      </c>
      <c r="N58" s="14">
        <f>IFERROR(C58*($V$2/30), 0)</f>
        <v/>
      </c>
      <c r="O58">
        <f>IFERROR(VLOOKUP(A58, AZInsight_Data!$A:$AS, 40, FALSE), 1)</f>
        <v/>
      </c>
      <c r="P58" s="13">
        <f>IF(O58&gt;0, O58, 1)</f>
        <v/>
      </c>
      <c r="Q58" s="13">
        <f>IFERROR(U58/P58, 0)</f>
        <v/>
      </c>
      <c r="R58">
        <f>IFERROR(VLOOKUP(A58, AZInsight_Data!$A:$AS, 36, FALSE), "")</f>
        <v/>
      </c>
      <c r="S58">
        <f>IFERROR(VLOOKUP(A58, AZInsight_Data!$A:$AS, 3, FALSE), "")</f>
        <v/>
      </c>
      <c r="T58" s="17">
        <f>IFERROR(VLOOKUP(A58, AZInsight_Data!$A:$AS, 13, FALSE), 0)</f>
        <v/>
      </c>
      <c r="U58" s="13">
        <f>AH58</f>
        <v/>
      </c>
      <c r="V58" s="15">
        <f>T58*U58</f>
        <v/>
      </c>
      <c r="W58" s="16" t="n"/>
      <c r="X58" s="12">
        <f>IFERROR(VLOOKUP(A58, AZInsight_Data!$A:$AS, 40, FALSE), 1)</f>
        <v/>
      </c>
      <c r="Y58" s="13">
        <f>IFERROR(VLOOKUP(A58, IP Qty!$D:$R, 5, FALSE), 0)</f>
        <v/>
      </c>
      <c r="Z58" s="14">
        <f>IFERROR(VLOOKUP(A58, IP Qty!$D:$R, 6, FALSE), 0)</f>
        <v/>
      </c>
      <c r="AA58">
        <f>IFERROR(VLOOKUP(A58, IP Qty!$D:$R, 7, FALSE), 0)</f>
        <v/>
      </c>
      <c r="AB58">
        <f>IFERROR(VLOOKUP(A58, IP Qty!$D:$R, 9, FALSE), 0)</f>
        <v/>
      </c>
      <c r="AC58">
        <f>IFERROR(VLOOKUP(A58, IP Qty!$D:$R, 8, FALSE), 0)</f>
        <v/>
      </c>
      <c r="AD58" s="14">
        <f>IFERROR(VLOOKUP(A58, KEEPA!$A:$AW, 34, FALSE), 0)</f>
        <v/>
      </c>
      <c r="AE58" s="15">
        <f>IF(P58&gt;1, ((((M58&gt;=$AD$2)*(L58&gt;=$AH$2)) + ((M58&lt;$AD$2)*(M58&gt;=$AE$2)*(L58&gt;=$AG$2)) + ((M58&lt;$AE$2)*(M58&gt;=$AC$2)*(L58&gt;=0)))*2 * IF($AI$2=0, 1, AI58&lt;=$AI$2) * IF($AK$2=0, 1, AK58&lt;=$AK$2) * AND(N58&gt;=$D$1, H58&lt;=$I$2, G58&gt;=$H$2)), ((((M58&gt;=$AD$2)*(L58&gt;=$AH$2)) + ((M58&lt;$AD$2)*(M58&gt;=$AE$2)*(L58&gt;=$AG$2)) + ((M58&lt;$AE$2)*(M58&gt;=$AC$2)*(L58&gt;=0))) * IF($AI$2=0, 1, AI58&lt;=$AI$2) * IF($AK$2=0, 1, AK58&lt;=$AK$2) * AND(N58&gt;=$D$1, H58&lt;=$I$2, G58&gt;=$H$2)))</f>
        <v/>
      </c>
      <c r="AF58">
        <f>IF(AE58&gt;0, 1, 0)</f>
        <v/>
      </c>
      <c r="AG58">
        <f>IFERROR(IF(ISNUMBER(W58), IF(AN58, N58*W58*$AN$2, N58*W58), NA()), NA())</f>
        <v/>
      </c>
      <c r="AH58" s="13">
        <f>IFERROR(MIN(AG58, $U$2), 0)</f>
        <v/>
      </c>
      <c r="AI58" s="14">
        <f>IFERROR(VLOOKUP(A58, KEEPA!$A:$AW, 26, FALSE), 0)</f>
        <v/>
      </c>
      <c r="AJ58" s="16">
        <f>IFERROR(IF(AI58=0, 0, (AI58-H58)/H58), 0)</f>
        <v/>
      </c>
      <c r="AK58" s="14">
        <f>IFERROR(VLOOKUP(A58, KEEPA!$A:$AW, 28, FALSE), 0)</f>
        <v/>
      </c>
      <c r="AL58" s="16">
        <f>IFERROR(IF(AK58=0, 0, (AK58-H58)/H58), 0)</f>
        <v/>
      </c>
      <c r="AM58" s="13">
        <f>IFERROR(VLOOKUP(A58, AZInsight_Data!$A:$AS, 34, FALSE), 0)</f>
        <v/>
      </c>
      <c r="AN58">
        <f>IFERROR(AND(VLOOKUP(A58, KEEPA!$A:$AW, 2, FALSE)&lt;=$AO$2, N58 &gt;= $AM$2), FALSE)</f>
        <v/>
      </c>
      <c r="AO58" s="16">
        <f>IFERROR(VLOOKUP(A58, KEEPA!$A:$AW, 24, FALSE), 0)</f>
        <v/>
      </c>
      <c r="AP58" s="16">
        <f>IFERROR(VLOOKUP(A58, KEEPA!$A:$AW, 48, FALSE), 0)</f>
        <v/>
      </c>
      <c r="AQ58">
        <f>IFERROR(VLOOKUP(A58, AZInsight_Data!$A:$AS, 5, FALSE), "SL")</f>
        <v/>
      </c>
      <c r="AR58">
        <f>IF(OR(A58="", A58=0), "", HYPERLINK("https://keepa.com/#!product/1-"&amp;A58, "Keepa"))</f>
        <v/>
      </c>
      <c r="AS58">
        <f>IF(OR(A58="", A58=0), "", HYPERLINK("https://www.amazon.com/dp/"&amp;A58, "Amazon"))</f>
        <v/>
      </c>
      <c r="AT58">
        <f>IF(OR(A58="", A58=0), "", HYPERLINK("https://sellercentral.amazon.com/product-search/search?q="&amp;A58, "Check Gated"))</f>
        <v/>
      </c>
      <c r="AU58" s="12" t="n"/>
      <c r="AV58" s="12" t="n"/>
      <c r="AW58" s="12" t="n"/>
    </row>
    <row r="59">
      <c r="A59" s="12" t="n"/>
      <c r="B59" s="12">
        <f>IFERROR(VLOOKUP(A59, AZInsight_Data!$A:$AS, 3, FALSE), "")</f>
        <v/>
      </c>
      <c r="C59" s="13">
        <f>IFERROR(VLOOKUP(A59, AZInsight_Data!$A:$AS, 9, FALSE), 0)</f>
        <v/>
      </c>
      <c r="D59">
        <f>IFERROR(VLOOKUP(A59, AZInsight_Data!$A:$AS, 17, FALSE), 0)</f>
        <v/>
      </c>
      <c r="E59">
        <f>IFERROR(VLOOKUP(A59, AZInsight_Data!$A:$AS, 18, FALSE), 0)</f>
        <v/>
      </c>
      <c r="F59" s="14">
        <f>IFERROR(VLOOKUP(A59, AZInsight_Data!$A:$AS, 7, FALSE), 0)</f>
        <v/>
      </c>
      <c r="G59" s="15">
        <f>IFERROR(VLOOKUP(A59, AZInsight_Data!$A:$AS, 14, FALSE), 0)</f>
        <v/>
      </c>
      <c r="H59" s="14">
        <f>IFERROR(VLOOKUP(A59, AZInsight_Data!$A:$AS, 8, FALSE), 0)</f>
        <v/>
      </c>
      <c r="I59" s="16">
        <f>IFERROR(VLOOKUP(A59, KEEPA!$A:$AW, 47, FALSE), 0)</f>
        <v/>
      </c>
      <c r="J59">
        <f>IFERROR(VLOOKUP(A59, AZInsight_Data!$A:$AS, 25, FALSE), 0)</f>
        <v/>
      </c>
      <c r="K59" s="15">
        <f>IFERROR(VLOOKUP(A59, AZInsight_Data!$A:$AS, 16, FALSE), 0)</f>
        <v/>
      </c>
      <c r="L59" s="15">
        <f>IFERROR(K59-T59-J59, 0)</f>
        <v/>
      </c>
      <c r="M59" s="16">
        <f>IFERROR(IF(T59=0, 0, L59/T59), 0)</f>
        <v/>
      </c>
      <c r="N59" s="14">
        <f>IFERROR(C59*($V$2/30), 0)</f>
        <v/>
      </c>
      <c r="O59">
        <f>IFERROR(VLOOKUP(A59, AZInsight_Data!$A:$AS, 40, FALSE), 1)</f>
        <v/>
      </c>
      <c r="P59" s="13">
        <f>IF(O59&gt;0, O59, 1)</f>
        <v/>
      </c>
      <c r="Q59" s="13">
        <f>IFERROR(U59/P59, 0)</f>
        <v/>
      </c>
      <c r="R59">
        <f>IFERROR(VLOOKUP(A59, AZInsight_Data!$A:$AS, 36, FALSE), "")</f>
        <v/>
      </c>
      <c r="S59">
        <f>IFERROR(VLOOKUP(A59, AZInsight_Data!$A:$AS, 3, FALSE), "")</f>
        <v/>
      </c>
      <c r="T59" s="17">
        <f>IFERROR(VLOOKUP(A59, AZInsight_Data!$A:$AS, 13, FALSE), 0)</f>
        <v/>
      </c>
      <c r="U59" s="13">
        <f>AH59</f>
        <v/>
      </c>
      <c r="V59" s="15">
        <f>T59*U59</f>
        <v/>
      </c>
      <c r="W59" s="16" t="n"/>
      <c r="X59" s="12">
        <f>IFERROR(VLOOKUP(A59, AZInsight_Data!$A:$AS, 40, FALSE), 1)</f>
        <v/>
      </c>
      <c r="Y59" s="13">
        <f>IFERROR(VLOOKUP(A59, IP Qty!$D:$R, 5, FALSE), 0)</f>
        <v/>
      </c>
      <c r="Z59" s="14">
        <f>IFERROR(VLOOKUP(A59, IP Qty!$D:$R, 6, FALSE), 0)</f>
        <v/>
      </c>
      <c r="AA59">
        <f>IFERROR(VLOOKUP(A59, IP Qty!$D:$R, 7, FALSE), 0)</f>
        <v/>
      </c>
      <c r="AB59">
        <f>IFERROR(VLOOKUP(A59, IP Qty!$D:$R, 9, FALSE), 0)</f>
        <v/>
      </c>
      <c r="AC59">
        <f>IFERROR(VLOOKUP(A59, IP Qty!$D:$R, 8, FALSE), 0)</f>
        <v/>
      </c>
      <c r="AD59" s="14">
        <f>IFERROR(VLOOKUP(A59, KEEPA!$A:$AW, 34, FALSE), 0)</f>
        <v/>
      </c>
      <c r="AE59" s="15">
        <f>IF(P59&gt;1, ((((M59&gt;=$AD$2)*(L59&gt;=$AH$2)) + ((M59&lt;$AD$2)*(M59&gt;=$AE$2)*(L59&gt;=$AG$2)) + ((M59&lt;$AE$2)*(M59&gt;=$AC$2)*(L59&gt;=0)))*2 * IF($AI$2=0, 1, AI59&lt;=$AI$2) * IF($AK$2=0, 1, AK59&lt;=$AK$2) * AND(N59&gt;=$D$1, H59&lt;=$I$2, G59&gt;=$H$2)), ((((M59&gt;=$AD$2)*(L59&gt;=$AH$2)) + ((M59&lt;$AD$2)*(M59&gt;=$AE$2)*(L59&gt;=$AG$2)) + ((M59&lt;$AE$2)*(M59&gt;=$AC$2)*(L59&gt;=0))) * IF($AI$2=0, 1, AI59&lt;=$AI$2) * IF($AK$2=0, 1, AK59&lt;=$AK$2) * AND(N59&gt;=$D$1, H59&lt;=$I$2, G59&gt;=$H$2)))</f>
        <v/>
      </c>
      <c r="AF59">
        <f>IF(AE59&gt;0, 1, 0)</f>
        <v/>
      </c>
      <c r="AG59">
        <f>IFERROR(IF(ISNUMBER(W59), IF(AN59, N59*W59*$AN$2, N59*W59), NA()), NA())</f>
        <v/>
      </c>
      <c r="AH59" s="13">
        <f>IFERROR(MIN(AG59, $U$2), 0)</f>
        <v/>
      </c>
      <c r="AI59" s="14">
        <f>IFERROR(VLOOKUP(A59, KEEPA!$A:$AW, 26, FALSE), 0)</f>
        <v/>
      </c>
      <c r="AJ59" s="16">
        <f>IFERROR(IF(AI59=0, 0, (AI59-H59)/H59), 0)</f>
        <v/>
      </c>
      <c r="AK59" s="14">
        <f>IFERROR(VLOOKUP(A59, KEEPA!$A:$AW, 28, FALSE), 0)</f>
        <v/>
      </c>
      <c r="AL59" s="16">
        <f>IFERROR(IF(AK59=0, 0, (AK59-H59)/H59), 0)</f>
        <v/>
      </c>
      <c r="AM59" s="13">
        <f>IFERROR(VLOOKUP(A59, AZInsight_Data!$A:$AS, 34, FALSE), 0)</f>
        <v/>
      </c>
      <c r="AN59">
        <f>IFERROR(AND(VLOOKUP(A59, KEEPA!$A:$AW, 2, FALSE)&lt;=$AO$2, N59 &gt;= $AM$2), FALSE)</f>
        <v/>
      </c>
      <c r="AO59" s="16">
        <f>IFERROR(VLOOKUP(A59, KEEPA!$A:$AW, 24, FALSE), 0)</f>
        <v/>
      </c>
      <c r="AP59" s="16">
        <f>IFERROR(VLOOKUP(A59, KEEPA!$A:$AW, 48, FALSE), 0)</f>
        <v/>
      </c>
      <c r="AQ59">
        <f>IFERROR(VLOOKUP(A59, AZInsight_Data!$A:$AS, 5, FALSE), "SL")</f>
        <v/>
      </c>
      <c r="AR59">
        <f>IF(OR(A59="", A59=0), "", HYPERLINK("https://keepa.com/#!product/1-"&amp;A59, "Keepa"))</f>
        <v/>
      </c>
      <c r="AS59">
        <f>IF(OR(A59="", A59=0), "", HYPERLINK("https://www.amazon.com/dp/"&amp;A59, "Amazon"))</f>
        <v/>
      </c>
      <c r="AT59">
        <f>IF(OR(A59="", A59=0), "", HYPERLINK("https://sellercentral.amazon.com/product-search/search?q="&amp;A59, "Check Gated"))</f>
        <v/>
      </c>
      <c r="AU59" s="12" t="n"/>
      <c r="AV59" s="12" t="n"/>
      <c r="AW59" s="12" t="n"/>
    </row>
    <row r="60">
      <c r="A60" s="12" t="n"/>
      <c r="B60" s="12">
        <f>IFERROR(VLOOKUP(A60, AZInsight_Data!$A:$AS, 3, FALSE), "")</f>
        <v/>
      </c>
      <c r="C60" s="13">
        <f>IFERROR(VLOOKUP(A60, AZInsight_Data!$A:$AS, 9, FALSE), 0)</f>
        <v/>
      </c>
      <c r="D60">
        <f>IFERROR(VLOOKUP(A60, AZInsight_Data!$A:$AS, 17, FALSE), 0)</f>
        <v/>
      </c>
      <c r="E60">
        <f>IFERROR(VLOOKUP(A60, AZInsight_Data!$A:$AS, 18, FALSE), 0)</f>
        <v/>
      </c>
      <c r="F60" s="14">
        <f>IFERROR(VLOOKUP(A60, AZInsight_Data!$A:$AS, 7, FALSE), 0)</f>
        <v/>
      </c>
      <c r="G60" s="15">
        <f>IFERROR(VLOOKUP(A60, AZInsight_Data!$A:$AS, 14, FALSE), 0)</f>
        <v/>
      </c>
      <c r="H60" s="14">
        <f>IFERROR(VLOOKUP(A60, AZInsight_Data!$A:$AS, 8, FALSE), 0)</f>
        <v/>
      </c>
      <c r="I60" s="16">
        <f>IFERROR(VLOOKUP(A60, KEEPA!$A:$AW, 47, FALSE), 0)</f>
        <v/>
      </c>
      <c r="J60">
        <f>IFERROR(VLOOKUP(A60, AZInsight_Data!$A:$AS, 25, FALSE), 0)</f>
        <v/>
      </c>
      <c r="K60" s="15">
        <f>IFERROR(VLOOKUP(A60, AZInsight_Data!$A:$AS, 16, FALSE), 0)</f>
        <v/>
      </c>
      <c r="L60" s="15">
        <f>IFERROR(K60-T60-J60, 0)</f>
        <v/>
      </c>
      <c r="M60" s="16">
        <f>IFERROR(IF(T60=0, 0, L60/T60), 0)</f>
        <v/>
      </c>
      <c r="N60" s="14">
        <f>IFERROR(C60*($V$2/30), 0)</f>
        <v/>
      </c>
      <c r="O60">
        <f>IFERROR(VLOOKUP(A60, AZInsight_Data!$A:$AS, 40, FALSE), 1)</f>
        <v/>
      </c>
      <c r="P60" s="13">
        <f>IF(O60&gt;0, O60, 1)</f>
        <v/>
      </c>
      <c r="Q60" s="13">
        <f>IFERROR(U60/P60, 0)</f>
        <v/>
      </c>
      <c r="R60">
        <f>IFERROR(VLOOKUP(A60, AZInsight_Data!$A:$AS, 36, FALSE), "")</f>
        <v/>
      </c>
      <c r="S60">
        <f>IFERROR(VLOOKUP(A60, AZInsight_Data!$A:$AS, 3, FALSE), "")</f>
        <v/>
      </c>
      <c r="T60" s="17">
        <f>IFERROR(VLOOKUP(A60, AZInsight_Data!$A:$AS, 13, FALSE), 0)</f>
        <v/>
      </c>
      <c r="U60" s="13">
        <f>AH60</f>
        <v/>
      </c>
      <c r="V60" s="15">
        <f>T60*U60</f>
        <v/>
      </c>
      <c r="W60" s="16" t="n"/>
      <c r="X60" s="12">
        <f>IFERROR(VLOOKUP(A60, AZInsight_Data!$A:$AS, 40, FALSE), 1)</f>
        <v/>
      </c>
      <c r="Y60" s="13">
        <f>IFERROR(VLOOKUP(A60, IP Qty!$D:$R, 5, FALSE), 0)</f>
        <v/>
      </c>
      <c r="Z60" s="14">
        <f>IFERROR(VLOOKUP(A60, IP Qty!$D:$R, 6, FALSE), 0)</f>
        <v/>
      </c>
      <c r="AA60">
        <f>IFERROR(VLOOKUP(A60, IP Qty!$D:$R, 7, FALSE), 0)</f>
        <v/>
      </c>
      <c r="AB60">
        <f>IFERROR(VLOOKUP(A60, IP Qty!$D:$R, 9, FALSE), 0)</f>
        <v/>
      </c>
      <c r="AC60">
        <f>IFERROR(VLOOKUP(A60, IP Qty!$D:$R, 8, FALSE), 0)</f>
        <v/>
      </c>
      <c r="AD60" s="14">
        <f>IFERROR(VLOOKUP(A60, KEEPA!$A:$AW, 34, FALSE), 0)</f>
        <v/>
      </c>
      <c r="AE60" s="15">
        <f>IF(P60&gt;1, ((((M60&gt;=$AD$2)*(L60&gt;=$AH$2)) + ((M60&lt;$AD$2)*(M60&gt;=$AE$2)*(L60&gt;=$AG$2)) + ((M60&lt;$AE$2)*(M60&gt;=$AC$2)*(L60&gt;=0)))*2 * IF($AI$2=0, 1, AI60&lt;=$AI$2) * IF($AK$2=0, 1, AK60&lt;=$AK$2) * AND(N60&gt;=$D$1, H60&lt;=$I$2, G60&gt;=$H$2)), ((((M60&gt;=$AD$2)*(L60&gt;=$AH$2)) + ((M60&lt;$AD$2)*(M60&gt;=$AE$2)*(L60&gt;=$AG$2)) + ((M60&lt;$AE$2)*(M60&gt;=$AC$2)*(L60&gt;=0))) * IF($AI$2=0, 1, AI60&lt;=$AI$2) * IF($AK$2=0, 1, AK60&lt;=$AK$2) * AND(N60&gt;=$D$1, H60&lt;=$I$2, G60&gt;=$H$2)))</f>
        <v/>
      </c>
      <c r="AF60">
        <f>IF(AE60&gt;0, 1, 0)</f>
        <v/>
      </c>
      <c r="AG60">
        <f>IFERROR(IF(ISNUMBER(W60), IF(AN60, N60*W60*$AN$2, N60*W60), NA()), NA())</f>
        <v/>
      </c>
      <c r="AH60" s="13">
        <f>IFERROR(MIN(AG60, $U$2), 0)</f>
        <v/>
      </c>
      <c r="AI60" s="14">
        <f>IFERROR(VLOOKUP(A60, KEEPA!$A:$AW, 26, FALSE), 0)</f>
        <v/>
      </c>
      <c r="AJ60" s="16">
        <f>IFERROR(IF(AI60=0, 0, (AI60-H60)/H60), 0)</f>
        <v/>
      </c>
      <c r="AK60" s="14">
        <f>IFERROR(VLOOKUP(A60, KEEPA!$A:$AW, 28, FALSE), 0)</f>
        <v/>
      </c>
      <c r="AL60" s="16">
        <f>IFERROR(IF(AK60=0, 0, (AK60-H60)/H60), 0)</f>
        <v/>
      </c>
      <c r="AM60" s="13">
        <f>IFERROR(VLOOKUP(A60, AZInsight_Data!$A:$AS, 34, FALSE), 0)</f>
        <v/>
      </c>
      <c r="AN60">
        <f>IFERROR(AND(VLOOKUP(A60, KEEPA!$A:$AW, 2, FALSE)&lt;=$AO$2, N60 &gt;= $AM$2), FALSE)</f>
        <v/>
      </c>
      <c r="AO60" s="16">
        <f>IFERROR(VLOOKUP(A60, KEEPA!$A:$AW, 24, FALSE), 0)</f>
        <v/>
      </c>
      <c r="AP60" s="16">
        <f>IFERROR(VLOOKUP(A60, KEEPA!$A:$AW, 48, FALSE), 0)</f>
        <v/>
      </c>
      <c r="AQ60">
        <f>IFERROR(VLOOKUP(A60, AZInsight_Data!$A:$AS, 5, FALSE), "SL")</f>
        <v/>
      </c>
      <c r="AR60">
        <f>IF(OR(A60="", A60=0), "", HYPERLINK("https://keepa.com/#!product/1-"&amp;A60, "Keepa"))</f>
        <v/>
      </c>
      <c r="AS60">
        <f>IF(OR(A60="", A60=0), "", HYPERLINK("https://www.amazon.com/dp/"&amp;A60, "Amazon"))</f>
        <v/>
      </c>
      <c r="AT60">
        <f>IF(OR(A60="", A60=0), "", HYPERLINK("https://sellercentral.amazon.com/product-search/search?q="&amp;A60, "Check Gated"))</f>
        <v/>
      </c>
      <c r="AU60" s="12" t="n"/>
      <c r="AV60" s="12" t="n"/>
      <c r="AW60" s="12" t="n"/>
    </row>
    <row r="61">
      <c r="A61" s="12" t="n"/>
      <c r="B61" s="12">
        <f>IFERROR(VLOOKUP(A61, AZInsight_Data!$A:$AS, 3, FALSE), "")</f>
        <v/>
      </c>
      <c r="C61" s="13">
        <f>IFERROR(VLOOKUP(A61, AZInsight_Data!$A:$AS, 9, FALSE), 0)</f>
        <v/>
      </c>
      <c r="D61">
        <f>IFERROR(VLOOKUP(A61, AZInsight_Data!$A:$AS, 17, FALSE), 0)</f>
        <v/>
      </c>
      <c r="E61">
        <f>IFERROR(VLOOKUP(A61, AZInsight_Data!$A:$AS, 18, FALSE), 0)</f>
        <v/>
      </c>
      <c r="F61" s="14">
        <f>IFERROR(VLOOKUP(A61, AZInsight_Data!$A:$AS, 7, FALSE), 0)</f>
        <v/>
      </c>
      <c r="G61" s="15">
        <f>IFERROR(VLOOKUP(A61, AZInsight_Data!$A:$AS, 14, FALSE), 0)</f>
        <v/>
      </c>
      <c r="H61" s="14">
        <f>IFERROR(VLOOKUP(A61, AZInsight_Data!$A:$AS, 8, FALSE), 0)</f>
        <v/>
      </c>
      <c r="I61" s="16">
        <f>IFERROR(VLOOKUP(A61, KEEPA!$A:$AW, 47, FALSE), 0)</f>
        <v/>
      </c>
      <c r="J61">
        <f>IFERROR(VLOOKUP(A61, AZInsight_Data!$A:$AS, 25, FALSE), 0)</f>
        <v/>
      </c>
      <c r="K61" s="15">
        <f>IFERROR(VLOOKUP(A61, AZInsight_Data!$A:$AS, 16, FALSE), 0)</f>
        <v/>
      </c>
      <c r="L61" s="15">
        <f>IFERROR(K61-T61-J61, 0)</f>
        <v/>
      </c>
      <c r="M61" s="16">
        <f>IFERROR(IF(T61=0, 0, L61/T61), 0)</f>
        <v/>
      </c>
      <c r="N61" s="14">
        <f>IFERROR(C61*($V$2/30), 0)</f>
        <v/>
      </c>
      <c r="O61">
        <f>IFERROR(VLOOKUP(A61, AZInsight_Data!$A:$AS, 40, FALSE), 1)</f>
        <v/>
      </c>
      <c r="P61" s="13">
        <f>IF(O61&gt;0, O61, 1)</f>
        <v/>
      </c>
      <c r="Q61" s="13">
        <f>IFERROR(U61/P61, 0)</f>
        <v/>
      </c>
      <c r="R61">
        <f>IFERROR(VLOOKUP(A61, AZInsight_Data!$A:$AS, 36, FALSE), "")</f>
        <v/>
      </c>
      <c r="S61">
        <f>IFERROR(VLOOKUP(A61, AZInsight_Data!$A:$AS, 3, FALSE), "")</f>
        <v/>
      </c>
      <c r="T61" s="17">
        <f>IFERROR(VLOOKUP(A61, AZInsight_Data!$A:$AS, 13, FALSE), 0)</f>
        <v/>
      </c>
      <c r="U61" s="13">
        <f>AH61</f>
        <v/>
      </c>
      <c r="V61" s="15">
        <f>T61*U61</f>
        <v/>
      </c>
      <c r="W61" s="16" t="n"/>
      <c r="X61" s="12">
        <f>IFERROR(VLOOKUP(A61, AZInsight_Data!$A:$AS, 40, FALSE), 1)</f>
        <v/>
      </c>
      <c r="Y61" s="13">
        <f>IFERROR(VLOOKUP(A61, IP Qty!$D:$R, 5, FALSE), 0)</f>
        <v/>
      </c>
      <c r="Z61" s="14">
        <f>IFERROR(VLOOKUP(A61, IP Qty!$D:$R, 6, FALSE), 0)</f>
        <v/>
      </c>
      <c r="AA61">
        <f>IFERROR(VLOOKUP(A61, IP Qty!$D:$R, 7, FALSE), 0)</f>
        <v/>
      </c>
      <c r="AB61">
        <f>IFERROR(VLOOKUP(A61, IP Qty!$D:$R, 9, FALSE), 0)</f>
        <v/>
      </c>
      <c r="AC61">
        <f>IFERROR(VLOOKUP(A61, IP Qty!$D:$R, 8, FALSE), 0)</f>
        <v/>
      </c>
      <c r="AD61" s="14">
        <f>IFERROR(VLOOKUP(A61, KEEPA!$A:$AW, 34, FALSE), 0)</f>
        <v/>
      </c>
      <c r="AE61" s="15">
        <f>IF(P61&gt;1, ((((M61&gt;=$AD$2)*(L61&gt;=$AH$2)) + ((M61&lt;$AD$2)*(M61&gt;=$AE$2)*(L61&gt;=$AG$2)) + ((M61&lt;$AE$2)*(M61&gt;=$AC$2)*(L61&gt;=0)))*2 * IF($AI$2=0, 1, AI61&lt;=$AI$2) * IF($AK$2=0, 1, AK61&lt;=$AK$2) * AND(N61&gt;=$D$1, H61&lt;=$I$2, G61&gt;=$H$2)), ((((M61&gt;=$AD$2)*(L61&gt;=$AH$2)) + ((M61&lt;$AD$2)*(M61&gt;=$AE$2)*(L61&gt;=$AG$2)) + ((M61&lt;$AE$2)*(M61&gt;=$AC$2)*(L61&gt;=0))) * IF($AI$2=0, 1, AI61&lt;=$AI$2) * IF($AK$2=0, 1, AK61&lt;=$AK$2) * AND(N61&gt;=$D$1, H61&lt;=$I$2, G61&gt;=$H$2)))</f>
        <v/>
      </c>
      <c r="AF61">
        <f>IF(AE61&gt;0, 1, 0)</f>
        <v/>
      </c>
      <c r="AG61">
        <f>IFERROR(IF(ISNUMBER(W61), IF(AN61, N61*W61*$AN$2, N61*W61), NA()), NA())</f>
        <v/>
      </c>
      <c r="AH61" s="13">
        <f>IFERROR(MIN(AG61, $U$2), 0)</f>
        <v/>
      </c>
      <c r="AI61" s="14">
        <f>IFERROR(VLOOKUP(A61, KEEPA!$A:$AW, 26, FALSE), 0)</f>
        <v/>
      </c>
      <c r="AJ61" s="16">
        <f>IFERROR(IF(AI61=0, 0, (AI61-H61)/H61), 0)</f>
        <v/>
      </c>
      <c r="AK61" s="14">
        <f>IFERROR(VLOOKUP(A61, KEEPA!$A:$AW, 28, FALSE), 0)</f>
        <v/>
      </c>
      <c r="AL61" s="16">
        <f>IFERROR(IF(AK61=0, 0, (AK61-H61)/H61), 0)</f>
        <v/>
      </c>
      <c r="AM61" s="13">
        <f>IFERROR(VLOOKUP(A61, AZInsight_Data!$A:$AS, 34, FALSE), 0)</f>
        <v/>
      </c>
      <c r="AN61">
        <f>IFERROR(AND(VLOOKUP(A61, KEEPA!$A:$AW, 2, FALSE)&lt;=$AO$2, N61 &gt;= $AM$2), FALSE)</f>
        <v/>
      </c>
      <c r="AO61" s="16">
        <f>IFERROR(VLOOKUP(A61, KEEPA!$A:$AW, 24, FALSE), 0)</f>
        <v/>
      </c>
      <c r="AP61" s="16">
        <f>IFERROR(VLOOKUP(A61, KEEPA!$A:$AW, 48, FALSE), 0)</f>
        <v/>
      </c>
      <c r="AQ61">
        <f>IFERROR(VLOOKUP(A61, AZInsight_Data!$A:$AS, 5, FALSE), "SL")</f>
        <v/>
      </c>
      <c r="AR61">
        <f>IF(OR(A61="", A61=0), "", HYPERLINK("https://keepa.com/#!product/1-"&amp;A61, "Keepa"))</f>
        <v/>
      </c>
      <c r="AS61">
        <f>IF(OR(A61="", A61=0), "", HYPERLINK("https://www.amazon.com/dp/"&amp;A61, "Amazon"))</f>
        <v/>
      </c>
      <c r="AT61">
        <f>IF(OR(A61="", A61=0), "", HYPERLINK("https://sellercentral.amazon.com/product-search/search?q="&amp;A61, "Check Gated"))</f>
        <v/>
      </c>
      <c r="AU61" s="12" t="n"/>
      <c r="AV61" s="12" t="n"/>
      <c r="AW61" s="12" t="n"/>
    </row>
    <row r="62">
      <c r="A62" s="12" t="n"/>
      <c r="B62" s="12">
        <f>IFERROR(VLOOKUP(A62, AZInsight_Data!$A:$AS, 3, FALSE), "")</f>
        <v/>
      </c>
      <c r="C62" s="13">
        <f>IFERROR(VLOOKUP(A62, AZInsight_Data!$A:$AS, 9, FALSE), 0)</f>
        <v/>
      </c>
      <c r="D62">
        <f>IFERROR(VLOOKUP(A62, AZInsight_Data!$A:$AS, 17, FALSE), 0)</f>
        <v/>
      </c>
      <c r="E62">
        <f>IFERROR(VLOOKUP(A62, AZInsight_Data!$A:$AS, 18, FALSE), 0)</f>
        <v/>
      </c>
      <c r="F62" s="14">
        <f>IFERROR(VLOOKUP(A62, AZInsight_Data!$A:$AS, 7, FALSE), 0)</f>
        <v/>
      </c>
      <c r="G62" s="15">
        <f>IFERROR(VLOOKUP(A62, AZInsight_Data!$A:$AS, 14, FALSE), 0)</f>
        <v/>
      </c>
      <c r="H62" s="14">
        <f>IFERROR(VLOOKUP(A62, AZInsight_Data!$A:$AS, 8, FALSE), 0)</f>
        <v/>
      </c>
      <c r="I62" s="16">
        <f>IFERROR(VLOOKUP(A62, KEEPA!$A:$AW, 47, FALSE), 0)</f>
        <v/>
      </c>
      <c r="J62">
        <f>IFERROR(VLOOKUP(A62, AZInsight_Data!$A:$AS, 25, FALSE), 0)</f>
        <v/>
      </c>
      <c r="K62" s="15">
        <f>IFERROR(VLOOKUP(A62, AZInsight_Data!$A:$AS, 16, FALSE), 0)</f>
        <v/>
      </c>
      <c r="L62" s="15">
        <f>IFERROR(K62-T62-J62, 0)</f>
        <v/>
      </c>
      <c r="M62" s="16">
        <f>IFERROR(IF(T62=0, 0, L62/T62), 0)</f>
        <v/>
      </c>
      <c r="N62" s="14">
        <f>IFERROR(C62*($V$2/30), 0)</f>
        <v/>
      </c>
      <c r="O62">
        <f>IFERROR(VLOOKUP(A62, AZInsight_Data!$A:$AS, 40, FALSE), 1)</f>
        <v/>
      </c>
      <c r="P62" s="13">
        <f>IF(O62&gt;0, O62, 1)</f>
        <v/>
      </c>
      <c r="Q62" s="13">
        <f>IFERROR(U62/P62, 0)</f>
        <v/>
      </c>
      <c r="R62">
        <f>IFERROR(VLOOKUP(A62, AZInsight_Data!$A:$AS, 36, FALSE), "")</f>
        <v/>
      </c>
      <c r="S62">
        <f>IFERROR(VLOOKUP(A62, AZInsight_Data!$A:$AS, 3, FALSE), "")</f>
        <v/>
      </c>
      <c r="T62" s="17">
        <f>IFERROR(VLOOKUP(A62, AZInsight_Data!$A:$AS, 13, FALSE), 0)</f>
        <v/>
      </c>
      <c r="U62" s="13">
        <f>AH62</f>
        <v/>
      </c>
      <c r="V62" s="15">
        <f>T62*U62</f>
        <v/>
      </c>
      <c r="W62" s="16" t="n"/>
      <c r="X62" s="12">
        <f>IFERROR(VLOOKUP(A62, AZInsight_Data!$A:$AS, 40, FALSE), 1)</f>
        <v/>
      </c>
      <c r="Y62" s="13">
        <f>IFERROR(VLOOKUP(A62, IP Qty!$D:$R, 5, FALSE), 0)</f>
        <v/>
      </c>
      <c r="Z62" s="14">
        <f>IFERROR(VLOOKUP(A62, IP Qty!$D:$R, 6, FALSE), 0)</f>
        <v/>
      </c>
      <c r="AA62">
        <f>IFERROR(VLOOKUP(A62, IP Qty!$D:$R, 7, FALSE), 0)</f>
        <v/>
      </c>
      <c r="AB62">
        <f>IFERROR(VLOOKUP(A62, IP Qty!$D:$R, 9, FALSE), 0)</f>
        <v/>
      </c>
      <c r="AC62">
        <f>IFERROR(VLOOKUP(A62, IP Qty!$D:$R, 8, FALSE), 0)</f>
        <v/>
      </c>
      <c r="AD62" s="14">
        <f>IFERROR(VLOOKUP(A62, KEEPA!$A:$AW, 34, FALSE), 0)</f>
        <v/>
      </c>
      <c r="AE62" s="15">
        <f>IF(P62&gt;1, ((((M62&gt;=$AD$2)*(L62&gt;=$AH$2)) + ((M62&lt;$AD$2)*(M62&gt;=$AE$2)*(L62&gt;=$AG$2)) + ((M62&lt;$AE$2)*(M62&gt;=$AC$2)*(L62&gt;=0)))*2 * IF($AI$2=0, 1, AI62&lt;=$AI$2) * IF($AK$2=0, 1, AK62&lt;=$AK$2) * AND(N62&gt;=$D$1, H62&lt;=$I$2, G62&gt;=$H$2)), ((((M62&gt;=$AD$2)*(L62&gt;=$AH$2)) + ((M62&lt;$AD$2)*(M62&gt;=$AE$2)*(L62&gt;=$AG$2)) + ((M62&lt;$AE$2)*(M62&gt;=$AC$2)*(L62&gt;=0))) * IF($AI$2=0, 1, AI62&lt;=$AI$2) * IF($AK$2=0, 1, AK62&lt;=$AK$2) * AND(N62&gt;=$D$1, H62&lt;=$I$2, G62&gt;=$H$2)))</f>
        <v/>
      </c>
      <c r="AF62">
        <f>IF(AE62&gt;0, 1, 0)</f>
        <v/>
      </c>
      <c r="AG62">
        <f>IFERROR(IF(ISNUMBER(W62), IF(AN62, N62*W62*$AN$2, N62*W62), NA()), NA())</f>
        <v/>
      </c>
      <c r="AH62" s="13">
        <f>IFERROR(MIN(AG62, $U$2), 0)</f>
        <v/>
      </c>
      <c r="AI62" s="14">
        <f>IFERROR(VLOOKUP(A62, KEEPA!$A:$AW, 26, FALSE), 0)</f>
        <v/>
      </c>
      <c r="AJ62" s="16">
        <f>IFERROR(IF(AI62=0, 0, (AI62-H62)/H62), 0)</f>
        <v/>
      </c>
      <c r="AK62" s="14">
        <f>IFERROR(VLOOKUP(A62, KEEPA!$A:$AW, 28, FALSE), 0)</f>
        <v/>
      </c>
      <c r="AL62" s="16">
        <f>IFERROR(IF(AK62=0, 0, (AK62-H62)/H62), 0)</f>
        <v/>
      </c>
      <c r="AM62" s="13">
        <f>IFERROR(VLOOKUP(A62, AZInsight_Data!$A:$AS, 34, FALSE), 0)</f>
        <v/>
      </c>
      <c r="AN62">
        <f>IFERROR(AND(VLOOKUP(A62, KEEPA!$A:$AW, 2, FALSE)&lt;=$AO$2, N62 &gt;= $AM$2), FALSE)</f>
        <v/>
      </c>
      <c r="AO62" s="16">
        <f>IFERROR(VLOOKUP(A62, KEEPA!$A:$AW, 24, FALSE), 0)</f>
        <v/>
      </c>
      <c r="AP62" s="16">
        <f>IFERROR(VLOOKUP(A62, KEEPA!$A:$AW, 48, FALSE), 0)</f>
        <v/>
      </c>
      <c r="AQ62">
        <f>IFERROR(VLOOKUP(A62, AZInsight_Data!$A:$AS, 5, FALSE), "SL")</f>
        <v/>
      </c>
      <c r="AR62">
        <f>IF(OR(A62="", A62=0), "", HYPERLINK("https://keepa.com/#!product/1-"&amp;A62, "Keepa"))</f>
        <v/>
      </c>
      <c r="AS62">
        <f>IF(OR(A62="", A62=0), "", HYPERLINK("https://www.amazon.com/dp/"&amp;A62, "Amazon"))</f>
        <v/>
      </c>
      <c r="AT62">
        <f>IF(OR(A62="", A62=0), "", HYPERLINK("https://sellercentral.amazon.com/product-search/search?q="&amp;A62, "Check Gated"))</f>
        <v/>
      </c>
      <c r="AU62" s="12" t="n"/>
      <c r="AV62" s="12" t="n"/>
      <c r="AW62" s="12" t="n"/>
    </row>
    <row r="63">
      <c r="A63" s="12" t="n"/>
      <c r="B63" s="12">
        <f>IFERROR(VLOOKUP(A63, AZInsight_Data!$A:$AS, 3, FALSE), "")</f>
        <v/>
      </c>
      <c r="C63" s="13">
        <f>IFERROR(VLOOKUP(A63, AZInsight_Data!$A:$AS, 9, FALSE), 0)</f>
        <v/>
      </c>
      <c r="D63">
        <f>IFERROR(VLOOKUP(A63, AZInsight_Data!$A:$AS, 17, FALSE), 0)</f>
        <v/>
      </c>
      <c r="E63">
        <f>IFERROR(VLOOKUP(A63, AZInsight_Data!$A:$AS, 18, FALSE), 0)</f>
        <v/>
      </c>
      <c r="F63" s="14">
        <f>IFERROR(VLOOKUP(A63, AZInsight_Data!$A:$AS, 7, FALSE), 0)</f>
        <v/>
      </c>
      <c r="G63" s="15">
        <f>IFERROR(VLOOKUP(A63, AZInsight_Data!$A:$AS, 14, FALSE), 0)</f>
        <v/>
      </c>
      <c r="H63" s="14">
        <f>IFERROR(VLOOKUP(A63, AZInsight_Data!$A:$AS, 8, FALSE), 0)</f>
        <v/>
      </c>
      <c r="I63" s="16">
        <f>IFERROR(VLOOKUP(A63, KEEPA!$A:$AW, 47, FALSE), 0)</f>
        <v/>
      </c>
      <c r="J63">
        <f>IFERROR(VLOOKUP(A63, AZInsight_Data!$A:$AS, 25, FALSE), 0)</f>
        <v/>
      </c>
      <c r="K63" s="15">
        <f>IFERROR(VLOOKUP(A63, AZInsight_Data!$A:$AS, 16, FALSE), 0)</f>
        <v/>
      </c>
      <c r="L63" s="15">
        <f>IFERROR(K63-T63-J63, 0)</f>
        <v/>
      </c>
      <c r="M63" s="16">
        <f>IFERROR(IF(T63=0, 0, L63/T63), 0)</f>
        <v/>
      </c>
      <c r="N63" s="14">
        <f>IFERROR(C63*($V$2/30), 0)</f>
        <v/>
      </c>
      <c r="O63">
        <f>IFERROR(VLOOKUP(A63, AZInsight_Data!$A:$AS, 40, FALSE), 1)</f>
        <v/>
      </c>
      <c r="P63" s="13">
        <f>IF(O63&gt;0, O63, 1)</f>
        <v/>
      </c>
      <c r="Q63" s="13">
        <f>IFERROR(U63/P63, 0)</f>
        <v/>
      </c>
      <c r="R63">
        <f>IFERROR(VLOOKUP(A63, AZInsight_Data!$A:$AS, 36, FALSE), "")</f>
        <v/>
      </c>
      <c r="S63">
        <f>IFERROR(VLOOKUP(A63, AZInsight_Data!$A:$AS, 3, FALSE), "")</f>
        <v/>
      </c>
      <c r="T63" s="17">
        <f>IFERROR(VLOOKUP(A63, AZInsight_Data!$A:$AS, 13, FALSE), 0)</f>
        <v/>
      </c>
      <c r="U63" s="13">
        <f>AH63</f>
        <v/>
      </c>
      <c r="V63" s="15">
        <f>T63*U63</f>
        <v/>
      </c>
      <c r="W63" s="16" t="n"/>
      <c r="X63" s="12">
        <f>IFERROR(VLOOKUP(A63, AZInsight_Data!$A:$AS, 40, FALSE), 1)</f>
        <v/>
      </c>
      <c r="Y63" s="13">
        <f>IFERROR(VLOOKUP(A63, IP Qty!$D:$R, 5, FALSE), 0)</f>
        <v/>
      </c>
      <c r="Z63" s="14">
        <f>IFERROR(VLOOKUP(A63, IP Qty!$D:$R, 6, FALSE), 0)</f>
        <v/>
      </c>
      <c r="AA63">
        <f>IFERROR(VLOOKUP(A63, IP Qty!$D:$R, 7, FALSE), 0)</f>
        <v/>
      </c>
      <c r="AB63">
        <f>IFERROR(VLOOKUP(A63, IP Qty!$D:$R, 9, FALSE), 0)</f>
        <v/>
      </c>
      <c r="AC63">
        <f>IFERROR(VLOOKUP(A63, IP Qty!$D:$R, 8, FALSE), 0)</f>
        <v/>
      </c>
      <c r="AD63" s="14">
        <f>IFERROR(VLOOKUP(A63, KEEPA!$A:$AW, 34, FALSE), 0)</f>
        <v/>
      </c>
      <c r="AE63" s="15">
        <f>IF(P63&gt;1, ((((M63&gt;=$AD$2)*(L63&gt;=$AH$2)) + ((M63&lt;$AD$2)*(M63&gt;=$AE$2)*(L63&gt;=$AG$2)) + ((M63&lt;$AE$2)*(M63&gt;=$AC$2)*(L63&gt;=0)))*2 * IF($AI$2=0, 1, AI63&lt;=$AI$2) * IF($AK$2=0, 1, AK63&lt;=$AK$2) * AND(N63&gt;=$D$1, H63&lt;=$I$2, G63&gt;=$H$2)), ((((M63&gt;=$AD$2)*(L63&gt;=$AH$2)) + ((M63&lt;$AD$2)*(M63&gt;=$AE$2)*(L63&gt;=$AG$2)) + ((M63&lt;$AE$2)*(M63&gt;=$AC$2)*(L63&gt;=0))) * IF($AI$2=0, 1, AI63&lt;=$AI$2) * IF($AK$2=0, 1, AK63&lt;=$AK$2) * AND(N63&gt;=$D$1, H63&lt;=$I$2, G63&gt;=$H$2)))</f>
        <v/>
      </c>
      <c r="AF63">
        <f>IF(AE63&gt;0, 1, 0)</f>
        <v/>
      </c>
      <c r="AG63">
        <f>IFERROR(IF(ISNUMBER(W63), IF(AN63, N63*W63*$AN$2, N63*W63), NA()), NA())</f>
        <v/>
      </c>
      <c r="AH63" s="13">
        <f>IFERROR(MIN(AG63, $U$2), 0)</f>
        <v/>
      </c>
      <c r="AI63" s="14">
        <f>IFERROR(VLOOKUP(A63, KEEPA!$A:$AW, 26, FALSE), 0)</f>
        <v/>
      </c>
      <c r="AJ63" s="16">
        <f>IFERROR(IF(AI63=0, 0, (AI63-H63)/H63), 0)</f>
        <v/>
      </c>
      <c r="AK63" s="14">
        <f>IFERROR(VLOOKUP(A63, KEEPA!$A:$AW, 28, FALSE), 0)</f>
        <v/>
      </c>
      <c r="AL63" s="16">
        <f>IFERROR(IF(AK63=0, 0, (AK63-H63)/H63), 0)</f>
        <v/>
      </c>
      <c r="AM63" s="13">
        <f>IFERROR(VLOOKUP(A63, AZInsight_Data!$A:$AS, 34, FALSE), 0)</f>
        <v/>
      </c>
      <c r="AN63">
        <f>IFERROR(AND(VLOOKUP(A63, KEEPA!$A:$AW, 2, FALSE)&lt;=$AO$2, N63 &gt;= $AM$2), FALSE)</f>
        <v/>
      </c>
      <c r="AO63" s="16">
        <f>IFERROR(VLOOKUP(A63, KEEPA!$A:$AW, 24, FALSE), 0)</f>
        <v/>
      </c>
      <c r="AP63" s="16">
        <f>IFERROR(VLOOKUP(A63, KEEPA!$A:$AW, 48, FALSE), 0)</f>
        <v/>
      </c>
      <c r="AQ63">
        <f>IFERROR(VLOOKUP(A63, AZInsight_Data!$A:$AS, 5, FALSE), "SL")</f>
        <v/>
      </c>
      <c r="AR63">
        <f>IF(OR(A63="", A63=0), "", HYPERLINK("https://keepa.com/#!product/1-"&amp;A63, "Keepa"))</f>
        <v/>
      </c>
      <c r="AS63">
        <f>IF(OR(A63="", A63=0), "", HYPERLINK("https://www.amazon.com/dp/"&amp;A63, "Amazon"))</f>
        <v/>
      </c>
      <c r="AT63">
        <f>IF(OR(A63="", A63=0), "", HYPERLINK("https://sellercentral.amazon.com/product-search/search?q="&amp;A63, "Check Gated"))</f>
        <v/>
      </c>
      <c r="AU63" s="12" t="n"/>
      <c r="AV63" s="12" t="n"/>
      <c r="AW63" s="12" t="n"/>
    </row>
    <row r="64">
      <c r="A64" s="12" t="n"/>
      <c r="B64" s="12">
        <f>IFERROR(VLOOKUP(A64, AZInsight_Data!$A:$AS, 3, FALSE), "")</f>
        <v/>
      </c>
      <c r="C64" s="13">
        <f>IFERROR(VLOOKUP(A64, AZInsight_Data!$A:$AS, 9, FALSE), 0)</f>
        <v/>
      </c>
      <c r="D64">
        <f>IFERROR(VLOOKUP(A64, AZInsight_Data!$A:$AS, 17, FALSE), 0)</f>
        <v/>
      </c>
      <c r="E64">
        <f>IFERROR(VLOOKUP(A64, AZInsight_Data!$A:$AS, 18, FALSE), 0)</f>
        <v/>
      </c>
      <c r="F64" s="14">
        <f>IFERROR(VLOOKUP(A64, AZInsight_Data!$A:$AS, 7, FALSE), 0)</f>
        <v/>
      </c>
      <c r="G64" s="15">
        <f>IFERROR(VLOOKUP(A64, AZInsight_Data!$A:$AS, 14, FALSE), 0)</f>
        <v/>
      </c>
      <c r="H64" s="14">
        <f>IFERROR(VLOOKUP(A64, AZInsight_Data!$A:$AS, 8, FALSE), 0)</f>
        <v/>
      </c>
      <c r="I64" s="16">
        <f>IFERROR(VLOOKUP(A64, KEEPA!$A:$AW, 47, FALSE), 0)</f>
        <v/>
      </c>
      <c r="J64">
        <f>IFERROR(VLOOKUP(A64, AZInsight_Data!$A:$AS, 25, FALSE), 0)</f>
        <v/>
      </c>
      <c r="K64" s="15">
        <f>IFERROR(VLOOKUP(A64, AZInsight_Data!$A:$AS, 16, FALSE), 0)</f>
        <v/>
      </c>
      <c r="L64" s="15">
        <f>IFERROR(K64-T64-J64, 0)</f>
        <v/>
      </c>
      <c r="M64" s="16">
        <f>IFERROR(IF(T64=0, 0, L64/T64), 0)</f>
        <v/>
      </c>
      <c r="N64" s="14">
        <f>IFERROR(C64*($V$2/30), 0)</f>
        <v/>
      </c>
      <c r="O64">
        <f>IFERROR(VLOOKUP(A64, AZInsight_Data!$A:$AS, 40, FALSE), 1)</f>
        <v/>
      </c>
      <c r="P64" s="13">
        <f>IF(O64&gt;0, O64, 1)</f>
        <v/>
      </c>
      <c r="Q64" s="13">
        <f>IFERROR(U64/P64, 0)</f>
        <v/>
      </c>
      <c r="R64">
        <f>IFERROR(VLOOKUP(A64, AZInsight_Data!$A:$AS, 36, FALSE), "")</f>
        <v/>
      </c>
      <c r="S64">
        <f>IFERROR(VLOOKUP(A64, AZInsight_Data!$A:$AS, 3, FALSE), "")</f>
        <v/>
      </c>
      <c r="T64" s="17">
        <f>IFERROR(VLOOKUP(A64, AZInsight_Data!$A:$AS, 13, FALSE), 0)</f>
        <v/>
      </c>
      <c r="U64" s="13">
        <f>AH64</f>
        <v/>
      </c>
      <c r="V64" s="15">
        <f>T64*U64</f>
        <v/>
      </c>
      <c r="W64" s="16" t="n"/>
      <c r="X64" s="12">
        <f>IFERROR(VLOOKUP(A64, AZInsight_Data!$A:$AS, 40, FALSE), 1)</f>
        <v/>
      </c>
      <c r="Y64" s="13">
        <f>IFERROR(VLOOKUP(A64, IP Qty!$D:$R, 5, FALSE), 0)</f>
        <v/>
      </c>
      <c r="Z64" s="14">
        <f>IFERROR(VLOOKUP(A64, IP Qty!$D:$R, 6, FALSE), 0)</f>
        <v/>
      </c>
      <c r="AA64">
        <f>IFERROR(VLOOKUP(A64, IP Qty!$D:$R, 7, FALSE), 0)</f>
        <v/>
      </c>
      <c r="AB64">
        <f>IFERROR(VLOOKUP(A64, IP Qty!$D:$R, 9, FALSE), 0)</f>
        <v/>
      </c>
      <c r="AC64">
        <f>IFERROR(VLOOKUP(A64, IP Qty!$D:$R, 8, FALSE), 0)</f>
        <v/>
      </c>
      <c r="AD64" s="14">
        <f>IFERROR(VLOOKUP(A64, KEEPA!$A:$AW, 34, FALSE), 0)</f>
        <v/>
      </c>
      <c r="AE64" s="15">
        <f>IF(P64&gt;1, ((((M64&gt;=$AD$2)*(L64&gt;=$AH$2)) + ((M64&lt;$AD$2)*(M64&gt;=$AE$2)*(L64&gt;=$AG$2)) + ((M64&lt;$AE$2)*(M64&gt;=$AC$2)*(L64&gt;=0)))*2 * IF($AI$2=0, 1, AI64&lt;=$AI$2) * IF($AK$2=0, 1, AK64&lt;=$AK$2) * AND(N64&gt;=$D$1, H64&lt;=$I$2, G64&gt;=$H$2)), ((((M64&gt;=$AD$2)*(L64&gt;=$AH$2)) + ((M64&lt;$AD$2)*(M64&gt;=$AE$2)*(L64&gt;=$AG$2)) + ((M64&lt;$AE$2)*(M64&gt;=$AC$2)*(L64&gt;=0))) * IF($AI$2=0, 1, AI64&lt;=$AI$2) * IF($AK$2=0, 1, AK64&lt;=$AK$2) * AND(N64&gt;=$D$1, H64&lt;=$I$2, G64&gt;=$H$2)))</f>
        <v/>
      </c>
      <c r="AF64">
        <f>IF(AE64&gt;0, 1, 0)</f>
        <v/>
      </c>
      <c r="AG64">
        <f>IFERROR(IF(ISNUMBER(W64), IF(AN64, N64*W64*$AN$2, N64*W64), NA()), NA())</f>
        <v/>
      </c>
      <c r="AH64" s="13">
        <f>IFERROR(MIN(AG64, $U$2), 0)</f>
        <v/>
      </c>
      <c r="AI64" s="14">
        <f>IFERROR(VLOOKUP(A64, KEEPA!$A:$AW, 26, FALSE), 0)</f>
        <v/>
      </c>
      <c r="AJ64" s="16">
        <f>IFERROR(IF(AI64=0, 0, (AI64-H64)/H64), 0)</f>
        <v/>
      </c>
      <c r="AK64" s="14">
        <f>IFERROR(VLOOKUP(A64, KEEPA!$A:$AW, 28, FALSE), 0)</f>
        <v/>
      </c>
      <c r="AL64" s="16">
        <f>IFERROR(IF(AK64=0, 0, (AK64-H64)/H64), 0)</f>
        <v/>
      </c>
      <c r="AM64" s="13">
        <f>IFERROR(VLOOKUP(A64, AZInsight_Data!$A:$AS, 34, FALSE), 0)</f>
        <v/>
      </c>
      <c r="AN64">
        <f>IFERROR(AND(VLOOKUP(A64, KEEPA!$A:$AW, 2, FALSE)&lt;=$AO$2, N64 &gt;= $AM$2), FALSE)</f>
        <v/>
      </c>
      <c r="AO64" s="16">
        <f>IFERROR(VLOOKUP(A64, KEEPA!$A:$AW, 24, FALSE), 0)</f>
        <v/>
      </c>
      <c r="AP64" s="16">
        <f>IFERROR(VLOOKUP(A64, KEEPA!$A:$AW, 48, FALSE), 0)</f>
        <v/>
      </c>
      <c r="AQ64">
        <f>IFERROR(VLOOKUP(A64, AZInsight_Data!$A:$AS, 5, FALSE), "SL")</f>
        <v/>
      </c>
      <c r="AR64">
        <f>IF(OR(A64="", A64=0), "", HYPERLINK("https://keepa.com/#!product/1-"&amp;A64, "Keepa"))</f>
        <v/>
      </c>
      <c r="AS64">
        <f>IF(OR(A64="", A64=0), "", HYPERLINK("https://www.amazon.com/dp/"&amp;A64, "Amazon"))</f>
        <v/>
      </c>
      <c r="AT64">
        <f>IF(OR(A64="", A64=0), "", HYPERLINK("https://sellercentral.amazon.com/product-search/search?q="&amp;A64, "Check Gated"))</f>
        <v/>
      </c>
      <c r="AU64" s="12" t="n"/>
      <c r="AV64" s="12" t="n"/>
      <c r="AW64" s="12" t="n"/>
    </row>
    <row r="65">
      <c r="A65" s="12" t="n"/>
      <c r="B65" s="12">
        <f>IFERROR(VLOOKUP(A65, AZInsight_Data!$A:$AS, 3, FALSE), "")</f>
        <v/>
      </c>
      <c r="C65" s="13">
        <f>IFERROR(VLOOKUP(A65, AZInsight_Data!$A:$AS, 9, FALSE), 0)</f>
        <v/>
      </c>
      <c r="D65">
        <f>IFERROR(VLOOKUP(A65, AZInsight_Data!$A:$AS, 17, FALSE), 0)</f>
        <v/>
      </c>
      <c r="E65">
        <f>IFERROR(VLOOKUP(A65, AZInsight_Data!$A:$AS, 18, FALSE), 0)</f>
        <v/>
      </c>
      <c r="F65" s="14">
        <f>IFERROR(VLOOKUP(A65, AZInsight_Data!$A:$AS, 7, FALSE), 0)</f>
        <v/>
      </c>
      <c r="G65" s="15">
        <f>IFERROR(VLOOKUP(A65, AZInsight_Data!$A:$AS, 14, FALSE), 0)</f>
        <v/>
      </c>
      <c r="H65" s="14">
        <f>IFERROR(VLOOKUP(A65, AZInsight_Data!$A:$AS, 8, FALSE), 0)</f>
        <v/>
      </c>
      <c r="I65" s="16">
        <f>IFERROR(VLOOKUP(A65, KEEPA!$A:$AW, 47, FALSE), 0)</f>
        <v/>
      </c>
      <c r="J65">
        <f>IFERROR(VLOOKUP(A65, AZInsight_Data!$A:$AS, 25, FALSE), 0)</f>
        <v/>
      </c>
      <c r="K65" s="15">
        <f>IFERROR(VLOOKUP(A65, AZInsight_Data!$A:$AS, 16, FALSE), 0)</f>
        <v/>
      </c>
      <c r="L65" s="15">
        <f>IFERROR(K65-T65-J65, 0)</f>
        <v/>
      </c>
      <c r="M65" s="16">
        <f>IFERROR(IF(T65=0, 0, L65/T65), 0)</f>
        <v/>
      </c>
      <c r="N65" s="14">
        <f>IFERROR(C65*($V$2/30), 0)</f>
        <v/>
      </c>
      <c r="O65">
        <f>IFERROR(VLOOKUP(A65, AZInsight_Data!$A:$AS, 40, FALSE), 1)</f>
        <v/>
      </c>
      <c r="P65" s="13">
        <f>IF(O65&gt;0, O65, 1)</f>
        <v/>
      </c>
      <c r="Q65" s="13">
        <f>IFERROR(U65/P65, 0)</f>
        <v/>
      </c>
      <c r="R65">
        <f>IFERROR(VLOOKUP(A65, AZInsight_Data!$A:$AS, 36, FALSE), "")</f>
        <v/>
      </c>
      <c r="S65">
        <f>IFERROR(VLOOKUP(A65, AZInsight_Data!$A:$AS, 3, FALSE), "")</f>
        <v/>
      </c>
      <c r="T65" s="17">
        <f>IFERROR(VLOOKUP(A65, AZInsight_Data!$A:$AS, 13, FALSE), 0)</f>
        <v/>
      </c>
      <c r="U65" s="13">
        <f>AH65</f>
        <v/>
      </c>
      <c r="V65" s="15">
        <f>T65*U65</f>
        <v/>
      </c>
      <c r="W65" s="16" t="n"/>
      <c r="X65" s="12">
        <f>IFERROR(VLOOKUP(A65, AZInsight_Data!$A:$AS, 40, FALSE), 1)</f>
        <v/>
      </c>
      <c r="Y65" s="13">
        <f>IFERROR(VLOOKUP(A65, IP Qty!$D:$R, 5, FALSE), 0)</f>
        <v/>
      </c>
      <c r="Z65" s="14">
        <f>IFERROR(VLOOKUP(A65, IP Qty!$D:$R, 6, FALSE), 0)</f>
        <v/>
      </c>
      <c r="AA65">
        <f>IFERROR(VLOOKUP(A65, IP Qty!$D:$R, 7, FALSE), 0)</f>
        <v/>
      </c>
      <c r="AB65">
        <f>IFERROR(VLOOKUP(A65, IP Qty!$D:$R, 9, FALSE), 0)</f>
        <v/>
      </c>
      <c r="AC65">
        <f>IFERROR(VLOOKUP(A65, IP Qty!$D:$R, 8, FALSE), 0)</f>
        <v/>
      </c>
      <c r="AD65" s="14">
        <f>IFERROR(VLOOKUP(A65, KEEPA!$A:$AW, 34, FALSE), 0)</f>
        <v/>
      </c>
      <c r="AE65" s="15">
        <f>IF(P65&gt;1, ((((M65&gt;=$AD$2)*(L65&gt;=$AH$2)) + ((M65&lt;$AD$2)*(M65&gt;=$AE$2)*(L65&gt;=$AG$2)) + ((M65&lt;$AE$2)*(M65&gt;=$AC$2)*(L65&gt;=0)))*2 * IF($AI$2=0, 1, AI65&lt;=$AI$2) * IF($AK$2=0, 1, AK65&lt;=$AK$2) * AND(N65&gt;=$D$1, H65&lt;=$I$2, G65&gt;=$H$2)), ((((M65&gt;=$AD$2)*(L65&gt;=$AH$2)) + ((M65&lt;$AD$2)*(M65&gt;=$AE$2)*(L65&gt;=$AG$2)) + ((M65&lt;$AE$2)*(M65&gt;=$AC$2)*(L65&gt;=0))) * IF($AI$2=0, 1, AI65&lt;=$AI$2) * IF($AK$2=0, 1, AK65&lt;=$AK$2) * AND(N65&gt;=$D$1, H65&lt;=$I$2, G65&gt;=$H$2)))</f>
        <v/>
      </c>
      <c r="AF65">
        <f>IF(AE65&gt;0, 1, 0)</f>
        <v/>
      </c>
      <c r="AG65">
        <f>IFERROR(IF(ISNUMBER(W65), IF(AN65, N65*W65*$AN$2, N65*W65), NA()), NA())</f>
        <v/>
      </c>
      <c r="AH65" s="13">
        <f>IFERROR(MIN(AG65, $U$2), 0)</f>
        <v/>
      </c>
      <c r="AI65" s="14">
        <f>IFERROR(VLOOKUP(A65, KEEPA!$A:$AW, 26, FALSE), 0)</f>
        <v/>
      </c>
      <c r="AJ65" s="16">
        <f>IFERROR(IF(AI65=0, 0, (AI65-H65)/H65), 0)</f>
        <v/>
      </c>
      <c r="AK65" s="14">
        <f>IFERROR(VLOOKUP(A65, KEEPA!$A:$AW, 28, FALSE), 0)</f>
        <v/>
      </c>
      <c r="AL65" s="16">
        <f>IFERROR(IF(AK65=0, 0, (AK65-H65)/H65), 0)</f>
        <v/>
      </c>
      <c r="AM65" s="13">
        <f>IFERROR(VLOOKUP(A65, AZInsight_Data!$A:$AS, 34, FALSE), 0)</f>
        <v/>
      </c>
      <c r="AN65">
        <f>IFERROR(AND(VLOOKUP(A65, KEEPA!$A:$AW, 2, FALSE)&lt;=$AO$2, N65 &gt;= $AM$2), FALSE)</f>
        <v/>
      </c>
      <c r="AO65" s="16">
        <f>IFERROR(VLOOKUP(A65, KEEPA!$A:$AW, 24, FALSE), 0)</f>
        <v/>
      </c>
      <c r="AP65" s="16">
        <f>IFERROR(VLOOKUP(A65, KEEPA!$A:$AW, 48, FALSE), 0)</f>
        <v/>
      </c>
      <c r="AQ65">
        <f>IFERROR(VLOOKUP(A65, AZInsight_Data!$A:$AS, 5, FALSE), "SL")</f>
        <v/>
      </c>
      <c r="AR65">
        <f>IF(OR(A65="", A65=0), "", HYPERLINK("https://keepa.com/#!product/1-"&amp;A65, "Keepa"))</f>
        <v/>
      </c>
      <c r="AS65">
        <f>IF(OR(A65="", A65=0), "", HYPERLINK("https://www.amazon.com/dp/"&amp;A65, "Amazon"))</f>
        <v/>
      </c>
      <c r="AT65">
        <f>IF(OR(A65="", A65=0), "", HYPERLINK("https://sellercentral.amazon.com/product-search/search?q="&amp;A65, "Check Gated"))</f>
        <v/>
      </c>
      <c r="AU65" s="12" t="n"/>
      <c r="AV65" s="12" t="n"/>
      <c r="AW65" s="12" t="n"/>
    </row>
    <row r="66">
      <c r="A66" s="12" t="n"/>
      <c r="B66" s="12">
        <f>IFERROR(VLOOKUP(A66, AZInsight_Data!$A:$AS, 3, FALSE), "")</f>
        <v/>
      </c>
      <c r="C66" s="13">
        <f>IFERROR(VLOOKUP(A66, AZInsight_Data!$A:$AS, 9, FALSE), 0)</f>
        <v/>
      </c>
      <c r="D66">
        <f>IFERROR(VLOOKUP(A66, AZInsight_Data!$A:$AS, 17, FALSE), 0)</f>
        <v/>
      </c>
      <c r="E66">
        <f>IFERROR(VLOOKUP(A66, AZInsight_Data!$A:$AS, 18, FALSE), 0)</f>
        <v/>
      </c>
      <c r="F66" s="14">
        <f>IFERROR(VLOOKUP(A66, AZInsight_Data!$A:$AS, 7, FALSE), 0)</f>
        <v/>
      </c>
      <c r="G66" s="15">
        <f>IFERROR(VLOOKUP(A66, AZInsight_Data!$A:$AS, 14, FALSE), 0)</f>
        <v/>
      </c>
      <c r="H66" s="14">
        <f>IFERROR(VLOOKUP(A66, AZInsight_Data!$A:$AS, 8, FALSE), 0)</f>
        <v/>
      </c>
      <c r="I66" s="16">
        <f>IFERROR(VLOOKUP(A66, KEEPA!$A:$AW, 47, FALSE), 0)</f>
        <v/>
      </c>
      <c r="J66">
        <f>IFERROR(VLOOKUP(A66, AZInsight_Data!$A:$AS, 25, FALSE), 0)</f>
        <v/>
      </c>
      <c r="K66" s="15">
        <f>IFERROR(VLOOKUP(A66, AZInsight_Data!$A:$AS, 16, FALSE), 0)</f>
        <v/>
      </c>
      <c r="L66" s="15">
        <f>IFERROR(K66-T66-J66, 0)</f>
        <v/>
      </c>
      <c r="M66" s="16">
        <f>IFERROR(IF(T66=0, 0, L66/T66), 0)</f>
        <v/>
      </c>
      <c r="N66" s="14">
        <f>IFERROR(C66*($V$2/30), 0)</f>
        <v/>
      </c>
      <c r="O66">
        <f>IFERROR(VLOOKUP(A66, AZInsight_Data!$A:$AS, 40, FALSE), 1)</f>
        <v/>
      </c>
      <c r="P66" s="13">
        <f>IF(O66&gt;0, O66, 1)</f>
        <v/>
      </c>
      <c r="Q66" s="13">
        <f>IFERROR(U66/P66, 0)</f>
        <v/>
      </c>
      <c r="R66">
        <f>IFERROR(VLOOKUP(A66, AZInsight_Data!$A:$AS, 36, FALSE), "")</f>
        <v/>
      </c>
      <c r="S66">
        <f>IFERROR(VLOOKUP(A66, AZInsight_Data!$A:$AS, 3, FALSE), "")</f>
        <v/>
      </c>
      <c r="T66" s="17">
        <f>IFERROR(VLOOKUP(A66, AZInsight_Data!$A:$AS, 13, FALSE), 0)</f>
        <v/>
      </c>
      <c r="U66" s="13">
        <f>AH66</f>
        <v/>
      </c>
      <c r="V66" s="15">
        <f>T66*U66</f>
        <v/>
      </c>
      <c r="W66" s="16" t="n"/>
      <c r="X66" s="12">
        <f>IFERROR(VLOOKUP(A66, AZInsight_Data!$A:$AS, 40, FALSE), 1)</f>
        <v/>
      </c>
      <c r="Y66" s="13">
        <f>IFERROR(VLOOKUP(A66, IP Qty!$D:$R, 5, FALSE), 0)</f>
        <v/>
      </c>
      <c r="Z66" s="14">
        <f>IFERROR(VLOOKUP(A66, IP Qty!$D:$R, 6, FALSE), 0)</f>
        <v/>
      </c>
      <c r="AA66">
        <f>IFERROR(VLOOKUP(A66, IP Qty!$D:$R, 7, FALSE), 0)</f>
        <v/>
      </c>
      <c r="AB66">
        <f>IFERROR(VLOOKUP(A66, IP Qty!$D:$R, 9, FALSE), 0)</f>
        <v/>
      </c>
      <c r="AC66">
        <f>IFERROR(VLOOKUP(A66, IP Qty!$D:$R, 8, FALSE), 0)</f>
        <v/>
      </c>
      <c r="AD66" s="14">
        <f>IFERROR(VLOOKUP(A66, KEEPA!$A:$AW, 34, FALSE), 0)</f>
        <v/>
      </c>
      <c r="AE66" s="15">
        <f>IF(P66&gt;1, ((((M66&gt;=$AD$2)*(L66&gt;=$AH$2)) + ((M66&lt;$AD$2)*(M66&gt;=$AE$2)*(L66&gt;=$AG$2)) + ((M66&lt;$AE$2)*(M66&gt;=$AC$2)*(L66&gt;=0)))*2 * IF($AI$2=0, 1, AI66&lt;=$AI$2) * IF($AK$2=0, 1, AK66&lt;=$AK$2) * AND(N66&gt;=$D$1, H66&lt;=$I$2, G66&gt;=$H$2)), ((((M66&gt;=$AD$2)*(L66&gt;=$AH$2)) + ((M66&lt;$AD$2)*(M66&gt;=$AE$2)*(L66&gt;=$AG$2)) + ((M66&lt;$AE$2)*(M66&gt;=$AC$2)*(L66&gt;=0))) * IF($AI$2=0, 1, AI66&lt;=$AI$2) * IF($AK$2=0, 1, AK66&lt;=$AK$2) * AND(N66&gt;=$D$1, H66&lt;=$I$2, G66&gt;=$H$2)))</f>
        <v/>
      </c>
      <c r="AF66">
        <f>IF(AE66&gt;0, 1, 0)</f>
        <v/>
      </c>
      <c r="AG66">
        <f>IFERROR(IF(ISNUMBER(W66), IF(AN66, N66*W66*$AN$2, N66*W66), NA()), NA())</f>
        <v/>
      </c>
      <c r="AH66" s="13">
        <f>IFERROR(MIN(AG66, $U$2), 0)</f>
        <v/>
      </c>
      <c r="AI66" s="14">
        <f>IFERROR(VLOOKUP(A66, KEEPA!$A:$AW, 26, FALSE), 0)</f>
        <v/>
      </c>
      <c r="AJ66" s="16">
        <f>IFERROR(IF(AI66=0, 0, (AI66-H66)/H66), 0)</f>
        <v/>
      </c>
      <c r="AK66" s="14">
        <f>IFERROR(VLOOKUP(A66, KEEPA!$A:$AW, 28, FALSE), 0)</f>
        <v/>
      </c>
      <c r="AL66" s="16">
        <f>IFERROR(IF(AK66=0, 0, (AK66-H66)/H66), 0)</f>
        <v/>
      </c>
      <c r="AM66" s="13">
        <f>IFERROR(VLOOKUP(A66, AZInsight_Data!$A:$AS, 34, FALSE), 0)</f>
        <v/>
      </c>
      <c r="AN66">
        <f>IFERROR(AND(VLOOKUP(A66, KEEPA!$A:$AW, 2, FALSE)&lt;=$AO$2, N66 &gt;= $AM$2), FALSE)</f>
        <v/>
      </c>
      <c r="AO66" s="16">
        <f>IFERROR(VLOOKUP(A66, KEEPA!$A:$AW, 24, FALSE), 0)</f>
        <v/>
      </c>
      <c r="AP66" s="16">
        <f>IFERROR(VLOOKUP(A66, KEEPA!$A:$AW, 48, FALSE), 0)</f>
        <v/>
      </c>
      <c r="AQ66">
        <f>IFERROR(VLOOKUP(A66, AZInsight_Data!$A:$AS, 5, FALSE), "SL")</f>
        <v/>
      </c>
      <c r="AR66">
        <f>IF(OR(A66="", A66=0), "", HYPERLINK("https://keepa.com/#!product/1-"&amp;A66, "Keepa"))</f>
        <v/>
      </c>
      <c r="AS66">
        <f>IF(OR(A66="", A66=0), "", HYPERLINK("https://www.amazon.com/dp/"&amp;A66, "Amazon"))</f>
        <v/>
      </c>
      <c r="AT66">
        <f>IF(OR(A66="", A66=0), "", HYPERLINK("https://sellercentral.amazon.com/product-search/search?q="&amp;A66, "Check Gated"))</f>
        <v/>
      </c>
      <c r="AU66" s="12" t="n"/>
      <c r="AV66" s="12" t="n"/>
      <c r="AW66" s="12" t="n"/>
    </row>
    <row r="67">
      <c r="A67" s="12" t="n"/>
      <c r="B67" s="12">
        <f>IFERROR(VLOOKUP(A67, AZInsight_Data!$A:$AS, 3, FALSE), "")</f>
        <v/>
      </c>
      <c r="C67" s="13">
        <f>IFERROR(VLOOKUP(A67, AZInsight_Data!$A:$AS, 9, FALSE), 0)</f>
        <v/>
      </c>
      <c r="D67">
        <f>IFERROR(VLOOKUP(A67, AZInsight_Data!$A:$AS, 17, FALSE), 0)</f>
        <v/>
      </c>
      <c r="E67">
        <f>IFERROR(VLOOKUP(A67, AZInsight_Data!$A:$AS, 18, FALSE), 0)</f>
        <v/>
      </c>
      <c r="F67" s="14">
        <f>IFERROR(VLOOKUP(A67, AZInsight_Data!$A:$AS, 7, FALSE), 0)</f>
        <v/>
      </c>
      <c r="G67" s="15">
        <f>IFERROR(VLOOKUP(A67, AZInsight_Data!$A:$AS, 14, FALSE), 0)</f>
        <v/>
      </c>
      <c r="H67" s="14">
        <f>IFERROR(VLOOKUP(A67, AZInsight_Data!$A:$AS, 8, FALSE), 0)</f>
        <v/>
      </c>
      <c r="I67" s="16">
        <f>IFERROR(VLOOKUP(A67, KEEPA!$A:$AW, 47, FALSE), 0)</f>
        <v/>
      </c>
      <c r="J67">
        <f>IFERROR(VLOOKUP(A67, AZInsight_Data!$A:$AS, 25, FALSE), 0)</f>
        <v/>
      </c>
      <c r="K67" s="15">
        <f>IFERROR(VLOOKUP(A67, AZInsight_Data!$A:$AS, 16, FALSE), 0)</f>
        <v/>
      </c>
      <c r="L67" s="15">
        <f>IFERROR(K67-T67-J67, 0)</f>
        <v/>
      </c>
      <c r="M67" s="16">
        <f>IFERROR(IF(T67=0, 0, L67/T67), 0)</f>
        <v/>
      </c>
      <c r="N67" s="14">
        <f>IFERROR(C67*($V$2/30), 0)</f>
        <v/>
      </c>
      <c r="O67">
        <f>IFERROR(VLOOKUP(A67, AZInsight_Data!$A:$AS, 40, FALSE), 1)</f>
        <v/>
      </c>
      <c r="P67" s="13">
        <f>IF(O67&gt;0, O67, 1)</f>
        <v/>
      </c>
      <c r="Q67" s="13">
        <f>IFERROR(U67/P67, 0)</f>
        <v/>
      </c>
      <c r="R67">
        <f>IFERROR(VLOOKUP(A67, AZInsight_Data!$A:$AS, 36, FALSE), "")</f>
        <v/>
      </c>
      <c r="S67">
        <f>IFERROR(VLOOKUP(A67, AZInsight_Data!$A:$AS, 3, FALSE), "")</f>
        <v/>
      </c>
      <c r="T67" s="17">
        <f>IFERROR(VLOOKUP(A67, AZInsight_Data!$A:$AS, 13, FALSE), 0)</f>
        <v/>
      </c>
      <c r="U67" s="13">
        <f>AH67</f>
        <v/>
      </c>
      <c r="V67" s="15">
        <f>T67*U67</f>
        <v/>
      </c>
      <c r="W67" s="16" t="n"/>
      <c r="X67" s="12">
        <f>IFERROR(VLOOKUP(A67, AZInsight_Data!$A:$AS, 40, FALSE), 1)</f>
        <v/>
      </c>
      <c r="Y67" s="13">
        <f>IFERROR(VLOOKUP(A67, IP Qty!$D:$R, 5, FALSE), 0)</f>
        <v/>
      </c>
      <c r="Z67" s="14">
        <f>IFERROR(VLOOKUP(A67, IP Qty!$D:$R, 6, FALSE), 0)</f>
        <v/>
      </c>
      <c r="AA67">
        <f>IFERROR(VLOOKUP(A67, IP Qty!$D:$R, 7, FALSE), 0)</f>
        <v/>
      </c>
      <c r="AB67">
        <f>IFERROR(VLOOKUP(A67, IP Qty!$D:$R, 9, FALSE), 0)</f>
        <v/>
      </c>
      <c r="AC67">
        <f>IFERROR(VLOOKUP(A67, IP Qty!$D:$R, 8, FALSE), 0)</f>
        <v/>
      </c>
      <c r="AD67" s="14">
        <f>IFERROR(VLOOKUP(A67, KEEPA!$A:$AW, 34, FALSE), 0)</f>
        <v/>
      </c>
      <c r="AE67" s="15">
        <f>IF(P67&gt;1, ((((M67&gt;=$AD$2)*(L67&gt;=$AH$2)) + ((M67&lt;$AD$2)*(M67&gt;=$AE$2)*(L67&gt;=$AG$2)) + ((M67&lt;$AE$2)*(M67&gt;=$AC$2)*(L67&gt;=0)))*2 * IF($AI$2=0, 1, AI67&lt;=$AI$2) * IF($AK$2=0, 1, AK67&lt;=$AK$2) * AND(N67&gt;=$D$1, H67&lt;=$I$2, G67&gt;=$H$2)), ((((M67&gt;=$AD$2)*(L67&gt;=$AH$2)) + ((M67&lt;$AD$2)*(M67&gt;=$AE$2)*(L67&gt;=$AG$2)) + ((M67&lt;$AE$2)*(M67&gt;=$AC$2)*(L67&gt;=0))) * IF($AI$2=0, 1, AI67&lt;=$AI$2) * IF($AK$2=0, 1, AK67&lt;=$AK$2) * AND(N67&gt;=$D$1, H67&lt;=$I$2, G67&gt;=$H$2)))</f>
        <v/>
      </c>
      <c r="AF67">
        <f>IF(AE67&gt;0, 1, 0)</f>
        <v/>
      </c>
      <c r="AG67">
        <f>IFERROR(IF(ISNUMBER(W67), IF(AN67, N67*W67*$AN$2, N67*W67), NA()), NA())</f>
        <v/>
      </c>
      <c r="AH67" s="13">
        <f>IFERROR(MIN(AG67, $U$2), 0)</f>
        <v/>
      </c>
      <c r="AI67" s="14">
        <f>IFERROR(VLOOKUP(A67, KEEPA!$A:$AW, 26, FALSE), 0)</f>
        <v/>
      </c>
      <c r="AJ67" s="16">
        <f>IFERROR(IF(AI67=0, 0, (AI67-H67)/H67), 0)</f>
        <v/>
      </c>
      <c r="AK67" s="14">
        <f>IFERROR(VLOOKUP(A67, KEEPA!$A:$AW, 28, FALSE), 0)</f>
        <v/>
      </c>
      <c r="AL67" s="16">
        <f>IFERROR(IF(AK67=0, 0, (AK67-H67)/H67), 0)</f>
        <v/>
      </c>
      <c r="AM67" s="13">
        <f>IFERROR(VLOOKUP(A67, AZInsight_Data!$A:$AS, 34, FALSE), 0)</f>
        <v/>
      </c>
      <c r="AN67">
        <f>IFERROR(AND(VLOOKUP(A67, KEEPA!$A:$AW, 2, FALSE)&lt;=$AO$2, N67 &gt;= $AM$2), FALSE)</f>
        <v/>
      </c>
      <c r="AO67" s="16">
        <f>IFERROR(VLOOKUP(A67, KEEPA!$A:$AW, 24, FALSE), 0)</f>
        <v/>
      </c>
      <c r="AP67" s="16">
        <f>IFERROR(VLOOKUP(A67, KEEPA!$A:$AW, 48, FALSE), 0)</f>
        <v/>
      </c>
      <c r="AQ67">
        <f>IFERROR(VLOOKUP(A67, AZInsight_Data!$A:$AS, 5, FALSE), "SL")</f>
        <v/>
      </c>
      <c r="AR67">
        <f>IF(OR(A67="", A67=0), "", HYPERLINK("https://keepa.com/#!product/1-"&amp;A67, "Keepa"))</f>
        <v/>
      </c>
      <c r="AS67">
        <f>IF(OR(A67="", A67=0), "", HYPERLINK("https://www.amazon.com/dp/"&amp;A67, "Amazon"))</f>
        <v/>
      </c>
      <c r="AT67">
        <f>IF(OR(A67="", A67=0), "", HYPERLINK("https://sellercentral.amazon.com/product-search/search?q="&amp;A67, "Check Gated"))</f>
        <v/>
      </c>
      <c r="AU67" s="12" t="n"/>
      <c r="AV67" s="12" t="n"/>
      <c r="AW67" s="12" t="n"/>
    </row>
    <row r="68">
      <c r="A68" s="12" t="n"/>
      <c r="B68" s="12">
        <f>IFERROR(VLOOKUP(A68, AZInsight_Data!$A:$AS, 3, FALSE), "")</f>
        <v/>
      </c>
      <c r="C68" s="13">
        <f>IFERROR(VLOOKUP(A68, AZInsight_Data!$A:$AS, 9, FALSE), 0)</f>
        <v/>
      </c>
      <c r="D68">
        <f>IFERROR(VLOOKUP(A68, AZInsight_Data!$A:$AS, 17, FALSE), 0)</f>
        <v/>
      </c>
      <c r="E68">
        <f>IFERROR(VLOOKUP(A68, AZInsight_Data!$A:$AS, 18, FALSE), 0)</f>
        <v/>
      </c>
      <c r="F68" s="14">
        <f>IFERROR(VLOOKUP(A68, AZInsight_Data!$A:$AS, 7, FALSE), 0)</f>
        <v/>
      </c>
      <c r="G68" s="15">
        <f>IFERROR(VLOOKUP(A68, AZInsight_Data!$A:$AS, 14, FALSE), 0)</f>
        <v/>
      </c>
      <c r="H68" s="14">
        <f>IFERROR(VLOOKUP(A68, AZInsight_Data!$A:$AS, 8, FALSE), 0)</f>
        <v/>
      </c>
      <c r="I68" s="16">
        <f>IFERROR(VLOOKUP(A68, KEEPA!$A:$AW, 47, FALSE), 0)</f>
        <v/>
      </c>
      <c r="J68">
        <f>IFERROR(VLOOKUP(A68, AZInsight_Data!$A:$AS, 25, FALSE), 0)</f>
        <v/>
      </c>
      <c r="K68" s="15">
        <f>IFERROR(VLOOKUP(A68, AZInsight_Data!$A:$AS, 16, FALSE), 0)</f>
        <v/>
      </c>
      <c r="L68" s="15">
        <f>IFERROR(K68-T68-J68, 0)</f>
        <v/>
      </c>
      <c r="M68" s="16">
        <f>IFERROR(IF(T68=0, 0, L68/T68), 0)</f>
        <v/>
      </c>
      <c r="N68" s="14">
        <f>IFERROR(C68*($V$2/30), 0)</f>
        <v/>
      </c>
      <c r="O68">
        <f>IFERROR(VLOOKUP(A68, AZInsight_Data!$A:$AS, 40, FALSE), 1)</f>
        <v/>
      </c>
      <c r="P68" s="13">
        <f>IF(O68&gt;0, O68, 1)</f>
        <v/>
      </c>
      <c r="Q68" s="13">
        <f>IFERROR(U68/P68, 0)</f>
        <v/>
      </c>
      <c r="R68">
        <f>IFERROR(VLOOKUP(A68, AZInsight_Data!$A:$AS, 36, FALSE), "")</f>
        <v/>
      </c>
      <c r="S68">
        <f>IFERROR(VLOOKUP(A68, AZInsight_Data!$A:$AS, 3, FALSE), "")</f>
        <v/>
      </c>
      <c r="T68" s="17">
        <f>IFERROR(VLOOKUP(A68, AZInsight_Data!$A:$AS, 13, FALSE), 0)</f>
        <v/>
      </c>
      <c r="U68" s="13">
        <f>AH68</f>
        <v/>
      </c>
      <c r="V68" s="15">
        <f>T68*U68</f>
        <v/>
      </c>
      <c r="W68" s="16" t="n"/>
      <c r="X68" s="12">
        <f>IFERROR(VLOOKUP(A68, AZInsight_Data!$A:$AS, 40, FALSE), 1)</f>
        <v/>
      </c>
      <c r="Y68" s="13">
        <f>IFERROR(VLOOKUP(A68, IP Qty!$D:$R, 5, FALSE), 0)</f>
        <v/>
      </c>
      <c r="Z68" s="14">
        <f>IFERROR(VLOOKUP(A68, IP Qty!$D:$R, 6, FALSE), 0)</f>
        <v/>
      </c>
      <c r="AA68">
        <f>IFERROR(VLOOKUP(A68, IP Qty!$D:$R, 7, FALSE), 0)</f>
        <v/>
      </c>
      <c r="AB68">
        <f>IFERROR(VLOOKUP(A68, IP Qty!$D:$R, 9, FALSE), 0)</f>
        <v/>
      </c>
      <c r="AC68">
        <f>IFERROR(VLOOKUP(A68, IP Qty!$D:$R, 8, FALSE), 0)</f>
        <v/>
      </c>
      <c r="AD68" s="14">
        <f>IFERROR(VLOOKUP(A68, KEEPA!$A:$AW, 34, FALSE), 0)</f>
        <v/>
      </c>
      <c r="AE68" s="15">
        <f>IF(P68&gt;1, ((((M68&gt;=$AD$2)*(L68&gt;=$AH$2)) + ((M68&lt;$AD$2)*(M68&gt;=$AE$2)*(L68&gt;=$AG$2)) + ((M68&lt;$AE$2)*(M68&gt;=$AC$2)*(L68&gt;=0)))*2 * IF($AI$2=0, 1, AI68&lt;=$AI$2) * IF($AK$2=0, 1, AK68&lt;=$AK$2) * AND(N68&gt;=$D$1, H68&lt;=$I$2, G68&gt;=$H$2)), ((((M68&gt;=$AD$2)*(L68&gt;=$AH$2)) + ((M68&lt;$AD$2)*(M68&gt;=$AE$2)*(L68&gt;=$AG$2)) + ((M68&lt;$AE$2)*(M68&gt;=$AC$2)*(L68&gt;=0))) * IF($AI$2=0, 1, AI68&lt;=$AI$2) * IF($AK$2=0, 1, AK68&lt;=$AK$2) * AND(N68&gt;=$D$1, H68&lt;=$I$2, G68&gt;=$H$2)))</f>
        <v/>
      </c>
      <c r="AF68">
        <f>IF(AE68&gt;0, 1, 0)</f>
        <v/>
      </c>
      <c r="AG68">
        <f>IFERROR(IF(ISNUMBER(W68), IF(AN68, N68*W68*$AN$2, N68*W68), NA()), NA())</f>
        <v/>
      </c>
      <c r="AH68" s="13">
        <f>IFERROR(MIN(AG68, $U$2), 0)</f>
        <v/>
      </c>
      <c r="AI68" s="14">
        <f>IFERROR(VLOOKUP(A68, KEEPA!$A:$AW, 26, FALSE), 0)</f>
        <v/>
      </c>
      <c r="AJ68" s="16">
        <f>IFERROR(IF(AI68=0, 0, (AI68-H68)/H68), 0)</f>
        <v/>
      </c>
      <c r="AK68" s="14">
        <f>IFERROR(VLOOKUP(A68, KEEPA!$A:$AW, 28, FALSE), 0)</f>
        <v/>
      </c>
      <c r="AL68" s="16">
        <f>IFERROR(IF(AK68=0, 0, (AK68-H68)/H68), 0)</f>
        <v/>
      </c>
      <c r="AM68" s="13">
        <f>IFERROR(VLOOKUP(A68, AZInsight_Data!$A:$AS, 34, FALSE), 0)</f>
        <v/>
      </c>
      <c r="AN68">
        <f>IFERROR(AND(VLOOKUP(A68, KEEPA!$A:$AW, 2, FALSE)&lt;=$AO$2, N68 &gt;= $AM$2), FALSE)</f>
        <v/>
      </c>
      <c r="AO68" s="16">
        <f>IFERROR(VLOOKUP(A68, KEEPA!$A:$AW, 24, FALSE), 0)</f>
        <v/>
      </c>
      <c r="AP68" s="16">
        <f>IFERROR(VLOOKUP(A68, KEEPA!$A:$AW, 48, FALSE), 0)</f>
        <v/>
      </c>
      <c r="AQ68">
        <f>IFERROR(VLOOKUP(A68, AZInsight_Data!$A:$AS, 5, FALSE), "SL")</f>
        <v/>
      </c>
      <c r="AR68">
        <f>IF(OR(A68="", A68=0), "", HYPERLINK("https://keepa.com/#!product/1-"&amp;A68, "Keepa"))</f>
        <v/>
      </c>
      <c r="AS68">
        <f>IF(OR(A68="", A68=0), "", HYPERLINK("https://www.amazon.com/dp/"&amp;A68, "Amazon"))</f>
        <v/>
      </c>
      <c r="AT68">
        <f>IF(OR(A68="", A68=0), "", HYPERLINK("https://sellercentral.amazon.com/product-search/search?q="&amp;A68, "Check Gated"))</f>
        <v/>
      </c>
      <c r="AU68" s="12" t="n"/>
      <c r="AV68" s="12" t="n"/>
      <c r="AW68" s="12" t="n"/>
    </row>
    <row r="69">
      <c r="A69" s="12" t="n"/>
      <c r="B69" s="12">
        <f>IFERROR(VLOOKUP(A69, AZInsight_Data!$A:$AS, 3, FALSE), "")</f>
        <v/>
      </c>
      <c r="C69" s="13">
        <f>IFERROR(VLOOKUP(A69, AZInsight_Data!$A:$AS, 9, FALSE), 0)</f>
        <v/>
      </c>
      <c r="D69">
        <f>IFERROR(VLOOKUP(A69, AZInsight_Data!$A:$AS, 17, FALSE), 0)</f>
        <v/>
      </c>
      <c r="E69">
        <f>IFERROR(VLOOKUP(A69, AZInsight_Data!$A:$AS, 18, FALSE), 0)</f>
        <v/>
      </c>
      <c r="F69" s="14">
        <f>IFERROR(VLOOKUP(A69, AZInsight_Data!$A:$AS, 7, FALSE), 0)</f>
        <v/>
      </c>
      <c r="G69" s="15">
        <f>IFERROR(VLOOKUP(A69, AZInsight_Data!$A:$AS, 14, FALSE), 0)</f>
        <v/>
      </c>
      <c r="H69" s="14">
        <f>IFERROR(VLOOKUP(A69, AZInsight_Data!$A:$AS, 8, FALSE), 0)</f>
        <v/>
      </c>
      <c r="I69" s="16">
        <f>IFERROR(VLOOKUP(A69, KEEPA!$A:$AW, 47, FALSE), 0)</f>
        <v/>
      </c>
      <c r="J69">
        <f>IFERROR(VLOOKUP(A69, AZInsight_Data!$A:$AS, 25, FALSE), 0)</f>
        <v/>
      </c>
      <c r="K69" s="15">
        <f>IFERROR(VLOOKUP(A69, AZInsight_Data!$A:$AS, 16, FALSE), 0)</f>
        <v/>
      </c>
      <c r="L69" s="15">
        <f>IFERROR(K69-T69-J69, 0)</f>
        <v/>
      </c>
      <c r="M69" s="16">
        <f>IFERROR(IF(T69=0, 0, L69/T69), 0)</f>
        <v/>
      </c>
      <c r="N69" s="14">
        <f>IFERROR(C69*($V$2/30), 0)</f>
        <v/>
      </c>
      <c r="O69">
        <f>IFERROR(VLOOKUP(A69, AZInsight_Data!$A:$AS, 40, FALSE), 1)</f>
        <v/>
      </c>
      <c r="P69" s="13">
        <f>IF(O69&gt;0, O69, 1)</f>
        <v/>
      </c>
      <c r="Q69" s="13">
        <f>IFERROR(U69/P69, 0)</f>
        <v/>
      </c>
      <c r="R69">
        <f>IFERROR(VLOOKUP(A69, AZInsight_Data!$A:$AS, 36, FALSE), "")</f>
        <v/>
      </c>
      <c r="S69">
        <f>IFERROR(VLOOKUP(A69, AZInsight_Data!$A:$AS, 3, FALSE), "")</f>
        <v/>
      </c>
      <c r="T69" s="17">
        <f>IFERROR(VLOOKUP(A69, AZInsight_Data!$A:$AS, 13, FALSE), 0)</f>
        <v/>
      </c>
      <c r="U69" s="13">
        <f>AH69</f>
        <v/>
      </c>
      <c r="V69" s="15">
        <f>T69*U69</f>
        <v/>
      </c>
      <c r="W69" s="16" t="n"/>
      <c r="X69" s="12">
        <f>IFERROR(VLOOKUP(A69, AZInsight_Data!$A:$AS, 40, FALSE), 1)</f>
        <v/>
      </c>
      <c r="Y69" s="13">
        <f>IFERROR(VLOOKUP(A69, IP Qty!$D:$R, 5, FALSE), 0)</f>
        <v/>
      </c>
      <c r="Z69" s="14">
        <f>IFERROR(VLOOKUP(A69, IP Qty!$D:$R, 6, FALSE), 0)</f>
        <v/>
      </c>
      <c r="AA69">
        <f>IFERROR(VLOOKUP(A69, IP Qty!$D:$R, 7, FALSE), 0)</f>
        <v/>
      </c>
      <c r="AB69">
        <f>IFERROR(VLOOKUP(A69, IP Qty!$D:$R, 9, FALSE), 0)</f>
        <v/>
      </c>
      <c r="AC69">
        <f>IFERROR(VLOOKUP(A69, IP Qty!$D:$R, 8, FALSE), 0)</f>
        <v/>
      </c>
      <c r="AD69" s="14">
        <f>IFERROR(VLOOKUP(A69, KEEPA!$A:$AW, 34, FALSE), 0)</f>
        <v/>
      </c>
      <c r="AE69" s="15">
        <f>IF(P69&gt;1, ((((M69&gt;=$AD$2)*(L69&gt;=$AH$2)) + ((M69&lt;$AD$2)*(M69&gt;=$AE$2)*(L69&gt;=$AG$2)) + ((M69&lt;$AE$2)*(M69&gt;=$AC$2)*(L69&gt;=0)))*2 * IF($AI$2=0, 1, AI69&lt;=$AI$2) * IF($AK$2=0, 1, AK69&lt;=$AK$2) * AND(N69&gt;=$D$1, H69&lt;=$I$2, G69&gt;=$H$2)), ((((M69&gt;=$AD$2)*(L69&gt;=$AH$2)) + ((M69&lt;$AD$2)*(M69&gt;=$AE$2)*(L69&gt;=$AG$2)) + ((M69&lt;$AE$2)*(M69&gt;=$AC$2)*(L69&gt;=0))) * IF($AI$2=0, 1, AI69&lt;=$AI$2) * IF($AK$2=0, 1, AK69&lt;=$AK$2) * AND(N69&gt;=$D$1, H69&lt;=$I$2, G69&gt;=$H$2)))</f>
        <v/>
      </c>
      <c r="AF69">
        <f>IF(AE69&gt;0, 1, 0)</f>
        <v/>
      </c>
      <c r="AG69">
        <f>IFERROR(IF(ISNUMBER(W69), IF(AN69, N69*W69*$AN$2, N69*W69), NA()), NA())</f>
        <v/>
      </c>
      <c r="AH69" s="13">
        <f>IFERROR(MIN(AG69, $U$2), 0)</f>
        <v/>
      </c>
      <c r="AI69" s="14">
        <f>IFERROR(VLOOKUP(A69, KEEPA!$A:$AW, 26, FALSE), 0)</f>
        <v/>
      </c>
      <c r="AJ69" s="16">
        <f>IFERROR(IF(AI69=0, 0, (AI69-H69)/H69), 0)</f>
        <v/>
      </c>
      <c r="AK69" s="14">
        <f>IFERROR(VLOOKUP(A69, KEEPA!$A:$AW, 28, FALSE), 0)</f>
        <v/>
      </c>
      <c r="AL69" s="16">
        <f>IFERROR(IF(AK69=0, 0, (AK69-H69)/H69), 0)</f>
        <v/>
      </c>
      <c r="AM69" s="13">
        <f>IFERROR(VLOOKUP(A69, AZInsight_Data!$A:$AS, 34, FALSE), 0)</f>
        <v/>
      </c>
      <c r="AN69">
        <f>IFERROR(AND(VLOOKUP(A69, KEEPA!$A:$AW, 2, FALSE)&lt;=$AO$2, N69 &gt;= $AM$2), FALSE)</f>
        <v/>
      </c>
      <c r="AO69" s="16">
        <f>IFERROR(VLOOKUP(A69, KEEPA!$A:$AW, 24, FALSE), 0)</f>
        <v/>
      </c>
      <c r="AP69" s="16">
        <f>IFERROR(VLOOKUP(A69, KEEPA!$A:$AW, 48, FALSE), 0)</f>
        <v/>
      </c>
      <c r="AQ69">
        <f>IFERROR(VLOOKUP(A69, AZInsight_Data!$A:$AS, 5, FALSE), "SL")</f>
        <v/>
      </c>
      <c r="AR69">
        <f>IF(OR(A69="", A69=0), "", HYPERLINK("https://keepa.com/#!product/1-"&amp;A69, "Keepa"))</f>
        <v/>
      </c>
      <c r="AS69">
        <f>IF(OR(A69="", A69=0), "", HYPERLINK("https://www.amazon.com/dp/"&amp;A69, "Amazon"))</f>
        <v/>
      </c>
      <c r="AT69">
        <f>IF(OR(A69="", A69=0), "", HYPERLINK("https://sellercentral.amazon.com/product-search/search?q="&amp;A69, "Check Gated"))</f>
        <v/>
      </c>
      <c r="AU69" s="12" t="n"/>
      <c r="AV69" s="12" t="n"/>
      <c r="AW69" s="12" t="n"/>
    </row>
    <row r="70">
      <c r="A70" s="12" t="n"/>
      <c r="B70" s="12">
        <f>IFERROR(VLOOKUP(A70, AZInsight_Data!$A:$AS, 3, FALSE), "")</f>
        <v/>
      </c>
      <c r="C70" s="13">
        <f>IFERROR(VLOOKUP(A70, AZInsight_Data!$A:$AS, 9, FALSE), 0)</f>
        <v/>
      </c>
      <c r="D70">
        <f>IFERROR(VLOOKUP(A70, AZInsight_Data!$A:$AS, 17, FALSE), 0)</f>
        <v/>
      </c>
      <c r="E70">
        <f>IFERROR(VLOOKUP(A70, AZInsight_Data!$A:$AS, 18, FALSE), 0)</f>
        <v/>
      </c>
      <c r="F70" s="14">
        <f>IFERROR(VLOOKUP(A70, AZInsight_Data!$A:$AS, 7, FALSE), 0)</f>
        <v/>
      </c>
      <c r="G70" s="15">
        <f>IFERROR(VLOOKUP(A70, AZInsight_Data!$A:$AS, 14, FALSE), 0)</f>
        <v/>
      </c>
      <c r="H70" s="14">
        <f>IFERROR(VLOOKUP(A70, AZInsight_Data!$A:$AS, 8, FALSE), 0)</f>
        <v/>
      </c>
      <c r="I70" s="16">
        <f>IFERROR(VLOOKUP(A70, KEEPA!$A:$AW, 47, FALSE), 0)</f>
        <v/>
      </c>
      <c r="J70">
        <f>IFERROR(VLOOKUP(A70, AZInsight_Data!$A:$AS, 25, FALSE), 0)</f>
        <v/>
      </c>
      <c r="K70" s="15">
        <f>IFERROR(VLOOKUP(A70, AZInsight_Data!$A:$AS, 16, FALSE), 0)</f>
        <v/>
      </c>
      <c r="L70" s="15">
        <f>IFERROR(K70-T70-J70, 0)</f>
        <v/>
      </c>
      <c r="M70" s="16">
        <f>IFERROR(IF(T70=0, 0, L70/T70), 0)</f>
        <v/>
      </c>
      <c r="N70" s="14">
        <f>IFERROR(C70*($V$2/30), 0)</f>
        <v/>
      </c>
      <c r="O70">
        <f>IFERROR(VLOOKUP(A70, AZInsight_Data!$A:$AS, 40, FALSE), 1)</f>
        <v/>
      </c>
      <c r="P70" s="13">
        <f>IF(O70&gt;0, O70, 1)</f>
        <v/>
      </c>
      <c r="Q70" s="13">
        <f>IFERROR(U70/P70, 0)</f>
        <v/>
      </c>
      <c r="R70">
        <f>IFERROR(VLOOKUP(A70, AZInsight_Data!$A:$AS, 36, FALSE), "")</f>
        <v/>
      </c>
      <c r="S70">
        <f>IFERROR(VLOOKUP(A70, AZInsight_Data!$A:$AS, 3, FALSE), "")</f>
        <v/>
      </c>
      <c r="T70" s="17">
        <f>IFERROR(VLOOKUP(A70, AZInsight_Data!$A:$AS, 13, FALSE), 0)</f>
        <v/>
      </c>
      <c r="U70" s="13">
        <f>AH70</f>
        <v/>
      </c>
      <c r="V70" s="15">
        <f>T70*U70</f>
        <v/>
      </c>
      <c r="W70" s="16" t="n"/>
      <c r="X70" s="12">
        <f>IFERROR(VLOOKUP(A70, AZInsight_Data!$A:$AS, 40, FALSE), 1)</f>
        <v/>
      </c>
      <c r="Y70" s="13">
        <f>IFERROR(VLOOKUP(A70, IP Qty!$D:$R, 5, FALSE), 0)</f>
        <v/>
      </c>
      <c r="Z70" s="14">
        <f>IFERROR(VLOOKUP(A70, IP Qty!$D:$R, 6, FALSE), 0)</f>
        <v/>
      </c>
      <c r="AA70">
        <f>IFERROR(VLOOKUP(A70, IP Qty!$D:$R, 7, FALSE), 0)</f>
        <v/>
      </c>
      <c r="AB70">
        <f>IFERROR(VLOOKUP(A70, IP Qty!$D:$R, 9, FALSE), 0)</f>
        <v/>
      </c>
      <c r="AC70">
        <f>IFERROR(VLOOKUP(A70, IP Qty!$D:$R, 8, FALSE), 0)</f>
        <v/>
      </c>
      <c r="AD70" s="14">
        <f>IFERROR(VLOOKUP(A70, KEEPA!$A:$AW, 34, FALSE), 0)</f>
        <v/>
      </c>
      <c r="AE70" s="15">
        <f>IF(P70&gt;1, ((((M70&gt;=$AD$2)*(L70&gt;=$AH$2)) + ((M70&lt;$AD$2)*(M70&gt;=$AE$2)*(L70&gt;=$AG$2)) + ((M70&lt;$AE$2)*(M70&gt;=$AC$2)*(L70&gt;=0)))*2 * IF($AI$2=0, 1, AI70&lt;=$AI$2) * IF($AK$2=0, 1, AK70&lt;=$AK$2) * AND(N70&gt;=$D$1, H70&lt;=$I$2, G70&gt;=$H$2)), ((((M70&gt;=$AD$2)*(L70&gt;=$AH$2)) + ((M70&lt;$AD$2)*(M70&gt;=$AE$2)*(L70&gt;=$AG$2)) + ((M70&lt;$AE$2)*(M70&gt;=$AC$2)*(L70&gt;=0))) * IF($AI$2=0, 1, AI70&lt;=$AI$2) * IF($AK$2=0, 1, AK70&lt;=$AK$2) * AND(N70&gt;=$D$1, H70&lt;=$I$2, G70&gt;=$H$2)))</f>
        <v/>
      </c>
      <c r="AF70">
        <f>IF(AE70&gt;0, 1, 0)</f>
        <v/>
      </c>
      <c r="AG70">
        <f>IFERROR(IF(ISNUMBER(W70), IF(AN70, N70*W70*$AN$2, N70*W70), NA()), NA())</f>
        <v/>
      </c>
      <c r="AH70" s="13">
        <f>IFERROR(MIN(AG70, $U$2), 0)</f>
        <v/>
      </c>
      <c r="AI70" s="14">
        <f>IFERROR(VLOOKUP(A70, KEEPA!$A:$AW, 26, FALSE), 0)</f>
        <v/>
      </c>
      <c r="AJ70" s="16">
        <f>IFERROR(IF(AI70=0, 0, (AI70-H70)/H70), 0)</f>
        <v/>
      </c>
      <c r="AK70" s="14">
        <f>IFERROR(VLOOKUP(A70, KEEPA!$A:$AW, 28, FALSE), 0)</f>
        <v/>
      </c>
      <c r="AL70" s="16">
        <f>IFERROR(IF(AK70=0, 0, (AK70-H70)/H70), 0)</f>
        <v/>
      </c>
      <c r="AM70" s="13">
        <f>IFERROR(VLOOKUP(A70, AZInsight_Data!$A:$AS, 34, FALSE), 0)</f>
        <v/>
      </c>
      <c r="AN70">
        <f>IFERROR(AND(VLOOKUP(A70, KEEPA!$A:$AW, 2, FALSE)&lt;=$AO$2, N70 &gt;= $AM$2), FALSE)</f>
        <v/>
      </c>
      <c r="AO70" s="16">
        <f>IFERROR(VLOOKUP(A70, KEEPA!$A:$AW, 24, FALSE), 0)</f>
        <v/>
      </c>
      <c r="AP70" s="16">
        <f>IFERROR(VLOOKUP(A70, KEEPA!$A:$AW, 48, FALSE), 0)</f>
        <v/>
      </c>
      <c r="AQ70">
        <f>IFERROR(VLOOKUP(A70, AZInsight_Data!$A:$AS, 5, FALSE), "SL")</f>
        <v/>
      </c>
      <c r="AR70">
        <f>IF(OR(A70="", A70=0), "", HYPERLINK("https://keepa.com/#!product/1-"&amp;A70, "Keepa"))</f>
        <v/>
      </c>
      <c r="AS70">
        <f>IF(OR(A70="", A70=0), "", HYPERLINK("https://www.amazon.com/dp/"&amp;A70, "Amazon"))</f>
        <v/>
      </c>
      <c r="AT70">
        <f>IF(OR(A70="", A70=0), "", HYPERLINK("https://sellercentral.amazon.com/product-search/search?q="&amp;A70, "Check Gated"))</f>
        <v/>
      </c>
      <c r="AU70" s="12" t="n"/>
      <c r="AV70" s="12" t="n"/>
      <c r="AW70" s="12" t="n"/>
    </row>
    <row r="71">
      <c r="A71" s="12" t="n"/>
      <c r="B71" s="12">
        <f>IFERROR(VLOOKUP(A71, AZInsight_Data!$A:$AS, 3, FALSE), "")</f>
        <v/>
      </c>
      <c r="C71" s="13">
        <f>IFERROR(VLOOKUP(A71, AZInsight_Data!$A:$AS, 9, FALSE), 0)</f>
        <v/>
      </c>
      <c r="D71">
        <f>IFERROR(VLOOKUP(A71, AZInsight_Data!$A:$AS, 17, FALSE), 0)</f>
        <v/>
      </c>
      <c r="E71">
        <f>IFERROR(VLOOKUP(A71, AZInsight_Data!$A:$AS, 18, FALSE), 0)</f>
        <v/>
      </c>
      <c r="F71" s="14">
        <f>IFERROR(VLOOKUP(A71, AZInsight_Data!$A:$AS, 7, FALSE), 0)</f>
        <v/>
      </c>
      <c r="G71" s="15">
        <f>IFERROR(VLOOKUP(A71, AZInsight_Data!$A:$AS, 14, FALSE), 0)</f>
        <v/>
      </c>
      <c r="H71" s="14">
        <f>IFERROR(VLOOKUP(A71, AZInsight_Data!$A:$AS, 8, FALSE), 0)</f>
        <v/>
      </c>
      <c r="I71" s="16">
        <f>IFERROR(VLOOKUP(A71, KEEPA!$A:$AW, 47, FALSE), 0)</f>
        <v/>
      </c>
      <c r="J71">
        <f>IFERROR(VLOOKUP(A71, AZInsight_Data!$A:$AS, 25, FALSE), 0)</f>
        <v/>
      </c>
      <c r="K71" s="15">
        <f>IFERROR(VLOOKUP(A71, AZInsight_Data!$A:$AS, 16, FALSE), 0)</f>
        <v/>
      </c>
      <c r="L71" s="15">
        <f>IFERROR(K71-T71-J71, 0)</f>
        <v/>
      </c>
      <c r="M71" s="16">
        <f>IFERROR(IF(T71=0, 0, L71/T71), 0)</f>
        <v/>
      </c>
      <c r="N71" s="14">
        <f>IFERROR(C71*($V$2/30), 0)</f>
        <v/>
      </c>
      <c r="O71">
        <f>IFERROR(VLOOKUP(A71, AZInsight_Data!$A:$AS, 40, FALSE), 1)</f>
        <v/>
      </c>
      <c r="P71" s="13">
        <f>IF(O71&gt;0, O71, 1)</f>
        <v/>
      </c>
      <c r="Q71" s="13">
        <f>IFERROR(U71/P71, 0)</f>
        <v/>
      </c>
      <c r="R71">
        <f>IFERROR(VLOOKUP(A71, AZInsight_Data!$A:$AS, 36, FALSE), "")</f>
        <v/>
      </c>
      <c r="S71">
        <f>IFERROR(VLOOKUP(A71, AZInsight_Data!$A:$AS, 3, FALSE), "")</f>
        <v/>
      </c>
      <c r="T71" s="17">
        <f>IFERROR(VLOOKUP(A71, AZInsight_Data!$A:$AS, 13, FALSE), 0)</f>
        <v/>
      </c>
      <c r="U71" s="13">
        <f>AH71</f>
        <v/>
      </c>
      <c r="V71" s="15">
        <f>T71*U71</f>
        <v/>
      </c>
      <c r="W71" s="16" t="n"/>
      <c r="X71" s="12">
        <f>IFERROR(VLOOKUP(A71, AZInsight_Data!$A:$AS, 40, FALSE), 1)</f>
        <v/>
      </c>
      <c r="Y71" s="13">
        <f>IFERROR(VLOOKUP(A71, IP Qty!$D:$R, 5, FALSE), 0)</f>
        <v/>
      </c>
      <c r="Z71" s="14">
        <f>IFERROR(VLOOKUP(A71, IP Qty!$D:$R, 6, FALSE), 0)</f>
        <v/>
      </c>
      <c r="AA71">
        <f>IFERROR(VLOOKUP(A71, IP Qty!$D:$R, 7, FALSE), 0)</f>
        <v/>
      </c>
      <c r="AB71">
        <f>IFERROR(VLOOKUP(A71, IP Qty!$D:$R, 9, FALSE), 0)</f>
        <v/>
      </c>
      <c r="AC71">
        <f>IFERROR(VLOOKUP(A71, IP Qty!$D:$R, 8, FALSE), 0)</f>
        <v/>
      </c>
      <c r="AD71" s="14">
        <f>IFERROR(VLOOKUP(A71, KEEPA!$A:$AW, 34, FALSE), 0)</f>
        <v/>
      </c>
      <c r="AE71" s="15">
        <f>IF(P71&gt;1, ((((M71&gt;=$AD$2)*(L71&gt;=$AH$2)) + ((M71&lt;$AD$2)*(M71&gt;=$AE$2)*(L71&gt;=$AG$2)) + ((M71&lt;$AE$2)*(M71&gt;=$AC$2)*(L71&gt;=0)))*2 * IF($AI$2=0, 1, AI71&lt;=$AI$2) * IF($AK$2=0, 1, AK71&lt;=$AK$2) * AND(N71&gt;=$D$1, H71&lt;=$I$2, G71&gt;=$H$2)), ((((M71&gt;=$AD$2)*(L71&gt;=$AH$2)) + ((M71&lt;$AD$2)*(M71&gt;=$AE$2)*(L71&gt;=$AG$2)) + ((M71&lt;$AE$2)*(M71&gt;=$AC$2)*(L71&gt;=0))) * IF($AI$2=0, 1, AI71&lt;=$AI$2) * IF($AK$2=0, 1, AK71&lt;=$AK$2) * AND(N71&gt;=$D$1, H71&lt;=$I$2, G71&gt;=$H$2)))</f>
        <v/>
      </c>
      <c r="AF71">
        <f>IF(AE71&gt;0, 1, 0)</f>
        <v/>
      </c>
      <c r="AG71">
        <f>IFERROR(IF(ISNUMBER(W71), IF(AN71, N71*W71*$AN$2, N71*W71), NA()), NA())</f>
        <v/>
      </c>
      <c r="AH71" s="13">
        <f>IFERROR(MIN(AG71, $U$2), 0)</f>
        <v/>
      </c>
      <c r="AI71" s="14">
        <f>IFERROR(VLOOKUP(A71, KEEPA!$A:$AW, 26, FALSE), 0)</f>
        <v/>
      </c>
      <c r="AJ71" s="16">
        <f>IFERROR(IF(AI71=0, 0, (AI71-H71)/H71), 0)</f>
        <v/>
      </c>
      <c r="AK71" s="14">
        <f>IFERROR(VLOOKUP(A71, KEEPA!$A:$AW, 28, FALSE), 0)</f>
        <v/>
      </c>
      <c r="AL71" s="16">
        <f>IFERROR(IF(AK71=0, 0, (AK71-H71)/H71), 0)</f>
        <v/>
      </c>
      <c r="AM71" s="13">
        <f>IFERROR(VLOOKUP(A71, AZInsight_Data!$A:$AS, 34, FALSE), 0)</f>
        <v/>
      </c>
      <c r="AN71">
        <f>IFERROR(AND(VLOOKUP(A71, KEEPA!$A:$AW, 2, FALSE)&lt;=$AO$2, N71 &gt;= $AM$2), FALSE)</f>
        <v/>
      </c>
      <c r="AO71" s="16">
        <f>IFERROR(VLOOKUP(A71, KEEPA!$A:$AW, 24, FALSE), 0)</f>
        <v/>
      </c>
      <c r="AP71" s="16">
        <f>IFERROR(VLOOKUP(A71, KEEPA!$A:$AW, 48, FALSE), 0)</f>
        <v/>
      </c>
      <c r="AQ71">
        <f>IFERROR(VLOOKUP(A71, AZInsight_Data!$A:$AS, 5, FALSE), "SL")</f>
        <v/>
      </c>
      <c r="AR71">
        <f>IF(OR(A71="", A71=0), "", HYPERLINK("https://keepa.com/#!product/1-"&amp;A71, "Keepa"))</f>
        <v/>
      </c>
      <c r="AS71">
        <f>IF(OR(A71="", A71=0), "", HYPERLINK("https://www.amazon.com/dp/"&amp;A71, "Amazon"))</f>
        <v/>
      </c>
      <c r="AT71">
        <f>IF(OR(A71="", A71=0), "", HYPERLINK("https://sellercentral.amazon.com/product-search/search?q="&amp;A71, "Check Gated"))</f>
        <v/>
      </c>
      <c r="AU71" s="12" t="n"/>
      <c r="AV71" s="12" t="n"/>
      <c r="AW71" s="12" t="n"/>
    </row>
    <row r="72">
      <c r="A72" s="12" t="n"/>
      <c r="B72" s="12">
        <f>IFERROR(VLOOKUP(A72, AZInsight_Data!$A:$AS, 3, FALSE), "")</f>
        <v/>
      </c>
      <c r="C72" s="13">
        <f>IFERROR(VLOOKUP(A72, AZInsight_Data!$A:$AS, 9, FALSE), 0)</f>
        <v/>
      </c>
      <c r="D72">
        <f>IFERROR(VLOOKUP(A72, AZInsight_Data!$A:$AS, 17, FALSE), 0)</f>
        <v/>
      </c>
      <c r="E72">
        <f>IFERROR(VLOOKUP(A72, AZInsight_Data!$A:$AS, 18, FALSE), 0)</f>
        <v/>
      </c>
      <c r="F72" s="14">
        <f>IFERROR(VLOOKUP(A72, AZInsight_Data!$A:$AS, 7, FALSE), 0)</f>
        <v/>
      </c>
      <c r="G72" s="15">
        <f>IFERROR(VLOOKUP(A72, AZInsight_Data!$A:$AS, 14, FALSE), 0)</f>
        <v/>
      </c>
      <c r="H72" s="14">
        <f>IFERROR(VLOOKUP(A72, AZInsight_Data!$A:$AS, 8, FALSE), 0)</f>
        <v/>
      </c>
      <c r="I72" s="16">
        <f>IFERROR(VLOOKUP(A72, KEEPA!$A:$AW, 47, FALSE), 0)</f>
        <v/>
      </c>
      <c r="J72">
        <f>IFERROR(VLOOKUP(A72, AZInsight_Data!$A:$AS, 25, FALSE), 0)</f>
        <v/>
      </c>
      <c r="K72" s="15">
        <f>IFERROR(VLOOKUP(A72, AZInsight_Data!$A:$AS, 16, FALSE), 0)</f>
        <v/>
      </c>
      <c r="L72" s="15">
        <f>IFERROR(K72-T72-J72, 0)</f>
        <v/>
      </c>
      <c r="M72" s="16">
        <f>IFERROR(IF(T72=0, 0, L72/T72), 0)</f>
        <v/>
      </c>
      <c r="N72" s="14">
        <f>IFERROR(C72*($V$2/30), 0)</f>
        <v/>
      </c>
      <c r="O72">
        <f>IFERROR(VLOOKUP(A72, AZInsight_Data!$A:$AS, 40, FALSE), 1)</f>
        <v/>
      </c>
      <c r="P72" s="13">
        <f>IF(O72&gt;0, O72, 1)</f>
        <v/>
      </c>
      <c r="Q72" s="13">
        <f>IFERROR(U72/P72, 0)</f>
        <v/>
      </c>
      <c r="R72">
        <f>IFERROR(VLOOKUP(A72, AZInsight_Data!$A:$AS, 36, FALSE), "")</f>
        <v/>
      </c>
      <c r="S72">
        <f>IFERROR(VLOOKUP(A72, AZInsight_Data!$A:$AS, 3, FALSE), "")</f>
        <v/>
      </c>
      <c r="T72" s="17">
        <f>IFERROR(VLOOKUP(A72, AZInsight_Data!$A:$AS, 13, FALSE), 0)</f>
        <v/>
      </c>
      <c r="U72" s="13">
        <f>AH72</f>
        <v/>
      </c>
      <c r="V72" s="15">
        <f>T72*U72</f>
        <v/>
      </c>
      <c r="W72" s="16" t="n"/>
      <c r="X72" s="12">
        <f>IFERROR(VLOOKUP(A72, AZInsight_Data!$A:$AS, 40, FALSE), 1)</f>
        <v/>
      </c>
      <c r="Y72" s="13">
        <f>IFERROR(VLOOKUP(A72, IP Qty!$D:$R, 5, FALSE), 0)</f>
        <v/>
      </c>
      <c r="Z72" s="14">
        <f>IFERROR(VLOOKUP(A72, IP Qty!$D:$R, 6, FALSE), 0)</f>
        <v/>
      </c>
      <c r="AA72">
        <f>IFERROR(VLOOKUP(A72, IP Qty!$D:$R, 7, FALSE), 0)</f>
        <v/>
      </c>
      <c r="AB72">
        <f>IFERROR(VLOOKUP(A72, IP Qty!$D:$R, 9, FALSE), 0)</f>
        <v/>
      </c>
      <c r="AC72">
        <f>IFERROR(VLOOKUP(A72, IP Qty!$D:$R, 8, FALSE), 0)</f>
        <v/>
      </c>
      <c r="AD72" s="14">
        <f>IFERROR(VLOOKUP(A72, KEEPA!$A:$AW, 34, FALSE), 0)</f>
        <v/>
      </c>
      <c r="AE72" s="15">
        <f>IF(P72&gt;1, ((((M72&gt;=$AD$2)*(L72&gt;=$AH$2)) + ((M72&lt;$AD$2)*(M72&gt;=$AE$2)*(L72&gt;=$AG$2)) + ((M72&lt;$AE$2)*(M72&gt;=$AC$2)*(L72&gt;=0)))*2 * IF($AI$2=0, 1, AI72&lt;=$AI$2) * IF($AK$2=0, 1, AK72&lt;=$AK$2) * AND(N72&gt;=$D$1, H72&lt;=$I$2, G72&gt;=$H$2)), ((((M72&gt;=$AD$2)*(L72&gt;=$AH$2)) + ((M72&lt;$AD$2)*(M72&gt;=$AE$2)*(L72&gt;=$AG$2)) + ((M72&lt;$AE$2)*(M72&gt;=$AC$2)*(L72&gt;=0))) * IF($AI$2=0, 1, AI72&lt;=$AI$2) * IF($AK$2=0, 1, AK72&lt;=$AK$2) * AND(N72&gt;=$D$1, H72&lt;=$I$2, G72&gt;=$H$2)))</f>
        <v/>
      </c>
      <c r="AF72">
        <f>IF(AE72&gt;0, 1, 0)</f>
        <v/>
      </c>
      <c r="AG72">
        <f>IFERROR(IF(ISNUMBER(W72), IF(AN72, N72*W72*$AN$2, N72*W72), NA()), NA())</f>
        <v/>
      </c>
      <c r="AH72" s="13">
        <f>IFERROR(MIN(AG72, $U$2), 0)</f>
        <v/>
      </c>
      <c r="AI72" s="14">
        <f>IFERROR(VLOOKUP(A72, KEEPA!$A:$AW, 26, FALSE), 0)</f>
        <v/>
      </c>
      <c r="AJ72" s="16">
        <f>IFERROR(IF(AI72=0, 0, (AI72-H72)/H72), 0)</f>
        <v/>
      </c>
      <c r="AK72" s="14">
        <f>IFERROR(VLOOKUP(A72, KEEPA!$A:$AW, 28, FALSE), 0)</f>
        <v/>
      </c>
      <c r="AL72" s="16">
        <f>IFERROR(IF(AK72=0, 0, (AK72-H72)/H72), 0)</f>
        <v/>
      </c>
      <c r="AM72" s="13">
        <f>IFERROR(VLOOKUP(A72, AZInsight_Data!$A:$AS, 34, FALSE), 0)</f>
        <v/>
      </c>
      <c r="AN72">
        <f>IFERROR(AND(VLOOKUP(A72, KEEPA!$A:$AW, 2, FALSE)&lt;=$AO$2, N72 &gt;= $AM$2), FALSE)</f>
        <v/>
      </c>
      <c r="AO72" s="16">
        <f>IFERROR(VLOOKUP(A72, KEEPA!$A:$AW, 24, FALSE), 0)</f>
        <v/>
      </c>
      <c r="AP72" s="16">
        <f>IFERROR(VLOOKUP(A72, KEEPA!$A:$AW, 48, FALSE), 0)</f>
        <v/>
      </c>
      <c r="AQ72">
        <f>IFERROR(VLOOKUP(A72, AZInsight_Data!$A:$AS, 5, FALSE), "SL")</f>
        <v/>
      </c>
      <c r="AR72">
        <f>IF(OR(A72="", A72=0), "", HYPERLINK("https://keepa.com/#!product/1-"&amp;A72, "Keepa"))</f>
        <v/>
      </c>
      <c r="AS72">
        <f>IF(OR(A72="", A72=0), "", HYPERLINK("https://www.amazon.com/dp/"&amp;A72, "Amazon"))</f>
        <v/>
      </c>
      <c r="AT72">
        <f>IF(OR(A72="", A72=0), "", HYPERLINK("https://sellercentral.amazon.com/product-search/search?q="&amp;A72, "Check Gated"))</f>
        <v/>
      </c>
      <c r="AU72" s="12" t="n"/>
      <c r="AV72" s="12" t="n"/>
      <c r="AW72" s="12" t="n"/>
    </row>
    <row r="73">
      <c r="A73" s="12" t="n"/>
      <c r="B73" s="12">
        <f>IFERROR(VLOOKUP(A73, AZInsight_Data!$A:$AS, 3, FALSE), "")</f>
        <v/>
      </c>
      <c r="C73" s="13">
        <f>IFERROR(VLOOKUP(A73, AZInsight_Data!$A:$AS, 9, FALSE), 0)</f>
        <v/>
      </c>
      <c r="D73">
        <f>IFERROR(VLOOKUP(A73, AZInsight_Data!$A:$AS, 17, FALSE), 0)</f>
        <v/>
      </c>
      <c r="E73">
        <f>IFERROR(VLOOKUP(A73, AZInsight_Data!$A:$AS, 18, FALSE), 0)</f>
        <v/>
      </c>
      <c r="F73" s="14">
        <f>IFERROR(VLOOKUP(A73, AZInsight_Data!$A:$AS, 7, FALSE), 0)</f>
        <v/>
      </c>
      <c r="G73" s="15">
        <f>IFERROR(VLOOKUP(A73, AZInsight_Data!$A:$AS, 14, FALSE), 0)</f>
        <v/>
      </c>
      <c r="H73" s="14">
        <f>IFERROR(VLOOKUP(A73, AZInsight_Data!$A:$AS, 8, FALSE), 0)</f>
        <v/>
      </c>
      <c r="I73" s="16">
        <f>IFERROR(VLOOKUP(A73, KEEPA!$A:$AW, 47, FALSE), 0)</f>
        <v/>
      </c>
      <c r="J73">
        <f>IFERROR(VLOOKUP(A73, AZInsight_Data!$A:$AS, 25, FALSE), 0)</f>
        <v/>
      </c>
      <c r="K73" s="15">
        <f>IFERROR(VLOOKUP(A73, AZInsight_Data!$A:$AS, 16, FALSE), 0)</f>
        <v/>
      </c>
      <c r="L73" s="15">
        <f>IFERROR(K73-T73-J73, 0)</f>
        <v/>
      </c>
      <c r="M73" s="16">
        <f>IFERROR(IF(T73=0, 0, L73/T73), 0)</f>
        <v/>
      </c>
      <c r="N73" s="14">
        <f>IFERROR(C73*($V$2/30), 0)</f>
        <v/>
      </c>
      <c r="O73">
        <f>IFERROR(VLOOKUP(A73, AZInsight_Data!$A:$AS, 40, FALSE), 1)</f>
        <v/>
      </c>
      <c r="P73" s="13">
        <f>IF(O73&gt;0, O73, 1)</f>
        <v/>
      </c>
      <c r="Q73" s="13">
        <f>IFERROR(U73/P73, 0)</f>
        <v/>
      </c>
      <c r="R73">
        <f>IFERROR(VLOOKUP(A73, AZInsight_Data!$A:$AS, 36, FALSE), "")</f>
        <v/>
      </c>
      <c r="S73">
        <f>IFERROR(VLOOKUP(A73, AZInsight_Data!$A:$AS, 3, FALSE), "")</f>
        <v/>
      </c>
      <c r="T73" s="17">
        <f>IFERROR(VLOOKUP(A73, AZInsight_Data!$A:$AS, 13, FALSE), 0)</f>
        <v/>
      </c>
      <c r="U73" s="13">
        <f>AH73</f>
        <v/>
      </c>
      <c r="V73" s="15">
        <f>T73*U73</f>
        <v/>
      </c>
      <c r="W73" s="16" t="n"/>
      <c r="X73" s="12">
        <f>IFERROR(VLOOKUP(A73, AZInsight_Data!$A:$AS, 40, FALSE), 1)</f>
        <v/>
      </c>
      <c r="Y73" s="13">
        <f>IFERROR(VLOOKUP(A73, IP Qty!$D:$R, 5, FALSE), 0)</f>
        <v/>
      </c>
      <c r="Z73" s="14">
        <f>IFERROR(VLOOKUP(A73, IP Qty!$D:$R, 6, FALSE), 0)</f>
        <v/>
      </c>
      <c r="AA73">
        <f>IFERROR(VLOOKUP(A73, IP Qty!$D:$R, 7, FALSE), 0)</f>
        <v/>
      </c>
      <c r="AB73">
        <f>IFERROR(VLOOKUP(A73, IP Qty!$D:$R, 9, FALSE), 0)</f>
        <v/>
      </c>
      <c r="AC73">
        <f>IFERROR(VLOOKUP(A73, IP Qty!$D:$R, 8, FALSE), 0)</f>
        <v/>
      </c>
      <c r="AD73" s="14">
        <f>IFERROR(VLOOKUP(A73, KEEPA!$A:$AW, 34, FALSE), 0)</f>
        <v/>
      </c>
      <c r="AE73" s="15">
        <f>IF(P73&gt;1, ((((M73&gt;=$AD$2)*(L73&gt;=$AH$2)) + ((M73&lt;$AD$2)*(M73&gt;=$AE$2)*(L73&gt;=$AG$2)) + ((M73&lt;$AE$2)*(M73&gt;=$AC$2)*(L73&gt;=0)))*2 * IF($AI$2=0, 1, AI73&lt;=$AI$2) * IF($AK$2=0, 1, AK73&lt;=$AK$2) * AND(N73&gt;=$D$1, H73&lt;=$I$2, G73&gt;=$H$2)), ((((M73&gt;=$AD$2)*(L73&gt;=$AH$2)) + ((M73&lt;$AD$2)*(M73&gt;=$AE$2)*(L73&gt;=$AG$2)) + ((M73&lt;$AE$2)*(M73&gt;=$AC$2)*(L73&gt;=0))) * IF($AI$2=0, 1, AI73&lt;=$AI$2) * IF($AK$2=0, 1, AK73&lt;=$AK$2) * AND(N73&gt;=$D$1, H73&lt;=$I$2, G73&gt;=$H$2)))</f>
        <v/>
      </c>
      <c r="AF73">
        <f>IF(AE73&gt;0, 1, 0)</f>
        <v/>
      </c>
      <c r="AG73">
        <f>IFERROR(IF(ISNUMBER(W73), IF(AN73, N73*W73*$AN$2, N73*W73), NA()), NA())</f>
        <v/>
      </c>
      <c r="AH73" s="13">
        <f>IFERROR(MIN(AG73, $U$2), 0)</f>
        <v/>
      </c>
      <c r="AI73" s="14">
        <f>IFERROR(VLOOKUP(A73, KEEPA!$A:$AW, 26, FALSE), 0)</f>
        <v/>
      </c>
      <c r="AJ73" s="16">
        <f>IFERROR(IF(AI73=0, 0, (AI73-H73)/H73), 0)</f>
        <v/>
      </c>
      <c r="AK73" s="14">
        <f>IFERROR(VLOOKUP(A73, KEEPA!$A:$AW, 28, FALSE), 0)</f>
        <v/>
      </c>
      <c r="AL73" s="16">
        <f>IFERROR(IF(AK73=0, 0, (AK73-H73)/H73), 0)</f>
        <v/>
      </c>
      <c r="AM73" s="13">
        <f>IFERROR(VLOOKUP(A73, AZInsight_Data!$A:$AS, 34, FALSE), 0)</f>
        <v/>
      </c>
      <c r="AN73">
        <f>IFERROR(AND(VLOOKUP(A73, KEEPA!$A:$AW, 2, FALSE)&lt;=$AO$2, N73 &gt;= $AM$2), FALSE)</f>
        <v/>
      </c>
      <c r="AO73" s="16">
        <f>IFERROR(VLOOKUP(A73, KEEPA!$A:$AW, 24, FALSE), 0)</f>
        <v/>
      </c>
      <c r="AP73" s="16">
        <f>IFERROR(VLOOKUP(A73, KEEPA!$A:$AW, 48, FALSE), 0)</f>
        <v/>
      </c>
      <c r="AQ73">
        <f>IFERROR(VLOOKUP(A73, AZInsight_Data!$A:$AS, 5, FALSE), "SL")</f>
        <v/>
      </c>
      <c r="AR73">
        <f>IF(OR(A73="", A73=0), "", HYPERLINK("https://keepa.com/#!product/1-"&amp;A73, "Keepa"))</f>
        <v/>
      </c>
      <c r="AS73">
        <f>IF(OR(A73="", A73=0), "", HYPERLINK("https://www.amazon.com/dp/"&amp;A73, "Amazon"))</f>
        <v/>
      </c>
      <c r="AT73">
        <f>IF(OR(A73="", A73=0), "", HYPERLINK("https://sellercentral.amazon.com/product-search/search?q="&amp;A73, "Check Gated"))</f>
        <v/>
      </c>
      <c r="AU73" s="12" t="n"/>
      <c r="AV73" s="12" t="n"/>
      <c r="AW73" s="12" t="n"/>
    </row>
    <row r="74">
      <c r="A74" s="12" t="n"/>
      <c r="B74" s="12">
        <f>IFERROR(VLOOKUP(A74, AZInsight_Data!$A:$AS, 3, FALSE), "")</f>
        <v/>
      </c>
      <c r="C74" s="13">
        <f>IFERROR(VLOOKUP(A74, AZInsight_Data!$A:$AS, 9, FALSE), 0)</f>
        <v/>
      </c>
      <c r="D74">
        <f>IFERROR(VLOOKUP(A74, AZInsight_Data!$A:$AS, 17, FALSE), 0)</f>
        <v/>
      </c>
      <c r="E74">
        <f>IFERROR(VLOOKUP(A74, AZInsight_Data!$A:$AS, 18, FALSE), 0)</f>
        <v/>
      </c>
      <c r="F74" s="14">
        <f>IFERROR(VLOOKUP(A74, AZInsight_Data!$A:$AS, 7, FALSE), 0)</f>
        <v/>
      </c>
      <c r="G74" s="15">
        <f>IFERROR(VLOOKUP(A74, AZInsight_Data!$A:$AS, 14, FALSE), 0)</f>
        <v/>
      </c>
      <c r="H74" s="14">
        <f>IFERROR(VLOOKUP(A74, AZInsight_Data!$A:$AS, 8, FALSE), 0)</f>
        <v/>
      </c>
      <c r="I74" s="16">
        <f>IFERROR(VLOOKUP(A74, KEEPA!$A:$AW, 47, FALSE), 0)</f>
        <v/>
      </c>
      <c r="J74">
        <f>IFERROR(VLOOKUP(A74, AZInsight_Data!$A:$AS, 25, FALSE), 0)</f>
        <v/>
      </c>
      <c r="K74" s="15">
        <f>IFERROR(VLOOKUP(A74, AZInsight_Data!$A:$AS, 16, FALSE), 0)</f>
        <v/>
      </c>
      <c r="L74" s="15">
        <f>IFERROR(K74-T74-J74, 0)</f>
        <v/>
      </c>
      <c r="M74" s="16">
        <f>IFERROR(IF(T74=0, 0, L74/T74), 0)</f>
        <v/>
      </c>
      <c r="N74" s="14">
        <f>IFERROR(C74*($V$2/30), 0)</f>
        <v/>
      </c>
      <c r="O74">
        <f>IFERROR(VLOOKUP(A74, AZInsight_Data!$A:$AS, 40, FALSE), 1)</f>
        <v/>
      </c>
      <c r="P74" s="13">
        <f>IF(O74&gt;0, O74, 1)</f>
        <v/>
      </c>
      <c r="Q74" s="13">
        <f>IFERROR(U74/P74, 0)</f>
        <v/>
      </c>
      <c r="R74">
        <f>IFERROR(VLOOKUP(A74, AZInsight_Data!$A:$AS, 36, FALSE), "")</f>
        <v/>
      </c>
      <c r="S74">
        <f>IFERROR(VLOOKUP(A74, AZInsight_Data!$A:$AS, 3, FALSE), "")</f>
        <v/>
      </c>
      <c r="T74" s="17">
        <f>IFERROR(VLOOKUP(A74, AZInsight_Data!$A:$AS, 13, FALSE), 0)</f>
        <v/>
      </c>
      <c r="U74" s="13">
        <f>AH74</f>
        <v/>
      </c>
      <c r="V74" s="15">
        <f>T74*U74</f>
        <v/>
      </c>
      <c r="W74" s="16" t="n"/>
      <c r="X74" s="12">
        <f>IFERROR(VLOOKUP(A74, AZInsight_Data!$A:$AS, 40, FALSE), 1)</f>
        <v/>
      </c>
      <c r="Y74" s="13">
        <f>IFERROR(VLOOKUP(A74, IP Qty!$D:$R, 5, FALSE), 0)</f>
        <v/>
      </c>
      <c r="Z74" s="14">
        <f>IFERROR(VLOOKUP(A74, IP Qty!$D:$R, 6, FALSE), 0)</f>
        <v/>
      </c>
      <c r="AA74">
        <f>IFERROR(VLOOKUP(A74, IP Qty!$D:$R, 7, FALSE), 0)</f>
        <v/>
      </c>
      <c r="AB74">
        <f>IFERROR(VLOOKUP(A74, IP Qty!$D:$R, 9, FALSE), 0)</f>
        <v/>
      </c>
      <c r="AC74">
        <f>IFERROR(VLOOKUP(A74, IP Qty!$D:$R, 8, FALSE), 0)</f>
        <v/>
      </c>
      <c r="AD74" s="14">
        <f>IFERROR(VLOOKUP(A74, KEEPA!$A:$AW, 34, FALSE), 0)</f>
        <v/>
      </c>
      <c r="AE74" s="15">
        <f>IF(P74&gt;1, ((((M74&gt;=$AD$2)*(L74&gt;=$AH$2)) + ((M74&lt;$AD$2)*(M74&gt;=$AE$2)*(L74&gt;=$AG$2)) + ((M74&lt;$AE$2)*(M74&gt;=$AC$2)*(L74&gt;=0)))*2 * IF($AI$2=0, 1, AI74&lt;=$AI$2) * IF($AK$2=0, 1, AK74&lt;=$AK$2) * AND(N74&gt;=$D$1, H74&lt;=$I$2, G74&gt;=$H$2)), ((((M74&gt;=$AD$2)*(L74&gt;=$AH$2)) + ((M74&lt;$AD$2)*(M74&gt;=$AE$2)*(L74&gt;=$AG$2)) + ((M74&lt;$AE$2)*(M74&gt;=$AC$2)*(L74&gt;=0))) * IF($AI$2=0, 1, AI74&lt;=$AI$2) * IF($AK$2=0, 1, AK74&lt;=$AK$2) * AND(N74&gt;=$D$1, H74&lt;=$I$2, G74&gt;=$H$2)))</f>
        <v/>
      </c>
      <c r="AF74">
        <f>IF(AE74&gt;0, 1, 0)</f>
        <v/>
      </c>
      <c r="AG74">
        <f>IFERROR(IF(ISNUMBER(W74), IF(AN74, N74*W74*$AN$2, N74*W74), NA()), NA())</f>
        <v/>
      </c>
      <c r="AH74" s="13">
        <f>IFERROR(MIN(AG74, $U$2), 0)</f>
        <v/>
      </c>
      <c r="AI74" s="14">
        <f>IFERROR(VLOOKUP(A74, KEEPA!$A:$AW, 26, FALSE), 0)</f>
        <v/>
      </c>
      <c r="AJ74" s="16">
        <f>IFERROR(IF(AI74=0, 0, (AI74-H74)/H74), 0)</f>
        <v/>
      </c>
      <c r="AK74" s="14">
        <f>IFERROR(VLOOKUP(A74, KEEPA!$A:$AW, 28, FALSE), 0)</f>
        <v/>
      </c>
      <c r="AL74" s="16">
        <f>IFERROR(IF(AK74=0, 0, (AK74-H74)/H74), 0)</f>
        <v/>
      </c>
      <c r="AM74" s="13">
        <f>IFERROR(VLOOKUP(A74, AZInsight_Data!$A:$AS, 34, FALSE), 0)</f>
        <v/>
      </c>
      <c r="AN74">
        <f>IFERROR(AND(VLOOKUP(A74, KEEPA!$A:$AW, 2, FALSE)&lt;=$AO$2, N74 &gt;= $AM$2), FALSE)</f>
        <v/>
      </c>
      <c r="AO74" s="16">
        <f>IFERROR(VLOOKUP(A74, KEEPA!$A:$AW, 24, FALSE), 0)</f>
        <v/>
      </c>
      <c r="AP74" s="16">
        <f>IFERROR(VLOOKUP(A74, KEEPA!$A:$AW, 48, FALSE), 0)</f>
        <v/>
      </c>
      <c r="AQ74">
        <f>IFERROR(VLOOKUP(A74, AZInsight_Data!$A:$AS, 5, FALSE), "SL")</f>
        <v/>
      </c>
      <c r="AR74">
        <f>IF(OR(A74="", A74=0), "", HYPERLINK("https://keepa.com/#!product/1-"&amp;A74, "Keepa"))</f>
        <v/>
      </c>
      <c r="AS74">
        <f>IF(OR(A74="", A74=0), "", HYPERLINK("https://www.amazon.com/dp/"&amp;A74, "Amazon"))</f>
        <v/>
      </c>
      <c r="AT74">
        <f>IF(OR(A74="", A74=0), "", HYPERLINK("https://sellercentral.amazon.com/product-search/search?q="&amp;A74, "Check Gated"))</f>
        <v/>
      </c>
      <c r="AU74" s="12" t="n"/>
      <c r="AV74" s="12" t="n"/>
      <c r="AW74" s="12" t="n"/>
    </row>
    <row r="75">
      <c r="A75" s="12" t="n"/>
      <c r="B75" s="12">
        <f>IFERROR(VLOOKUP(A75, AZInsight_Data!$A:$AS, 3, FALSE), "")</f>
        <v/>
      </c>
      <c r="C75" s="13">
        <f>IFERROR(VLOOKUP(A75, AZInsight_Data!$A:$AS, 9, FALSE), 0)</f>
        <v/>
      </c>
      <c r="D75">
        <f>IFERROR(VLOOKUP(A75, AZInsight_Data!$A:$AS, 17, FALSE), 0)</f>
        <v/>
      </c>
      <c r="E75">
        <f>IFERROR(VLOOKUP(A75, AZInsight_Data!$A:$AS, 18, FALSE), 0)</f>
        <v/>
      </c>
      <c r="F75" s="14">
        <f>IFERROR(VLOOKUP(A75, AZInsight_Data!$A:$AS, 7, FALSE), 0)</f>
        <v/>
      </c>
      <c r="G75" s="15">
        <f>IFERROR(VLOOKUP(A75, AZInsight_Data!$A:$AS, 14, FALSE), 0)</f>
        <v/>
      </c>
      <c r="H75" s="14">
        <f>IFERROR(VLOOKUP(A75, AZInsight_Data!$A:$AS, 8, FALSE), 0)</f>
        <v/>
      </c>
      <c r="I75" s="16">
        <f>IFERROR(VLOOKUP(A75, KEEPA!$A:$AW, 47, FALSE), 0)</f>
        <v/>
      </c>
      <c r="J75">
        <f>IFERROR(VLOOKUP(A75, AZInsight_Data!$A:$AS, 25, FALSE), 0)</f>
        <v/>
      </c>
      <c r="K75" s="15">
        <f>IFERROR(VLOOKUP(A75, AZInsight_Data!$A:$AS, 16, FALSE), 0)</f>
        <v/>
      </c>
      <c r="L75" s="15">
        <f>IFERROR(K75-T75-J75, 0)</f>
        <v/>
      </c>
      <c r="M75" s="16">
        <f>IFERROR(IF(T75=0, 0, L75/T75), 0)</f>
        <v/>
      </c>
      <c r="N75" s="14">
        <f>IFERROR(C75*($V$2/30), 0)</f>
        <v/>
      </c>
      <c r="O75">
        <f>IFERROR(VLOOKUP(A75, AZInsight_Data!$A:$AS, 40, FALSE), 1)</f>
        <v/>
      </c>
      <c r="P75" s="13">
        <f>IF(O75&gt;0, O75, 1)</f>
        <v/>
      </c>
      <c r="Q75" s="13">
        <f>IFERROR(U75/P75, 0)</f>
        <v/>
      </c>
      <c r="R75">
        <f>IFERROR(VLOOKUP(A75, AZInsight_Data!$A:$AS, 36, FALSE), "")</f>
        <v/>
      </c>
      <c r="S75">
        <f>IFERROR(VLOOKUP(A75, AZInsight_Data!$A:$AS, 3, FALSE), "")</f>
        <v/>
      </c>
      <c r="T75" s="17">
        <f>IFERROR(VLOOKUP(A75, AZInsight_Data!$A:$AS, 13, FALSE), 0)</f>
        <v/>
      </c>
      <c r="U75" s="13">
        <f>AH75</f>
        <v/>
      </c>
      <c r="V75" s="15">
        <f>T75*U75</f>
        <v/>
      </c>
      <c r="W75" s="16" t="n"/>
      <c r="X75" s="12">
        <f>IFERROR(VLOOKUP(A75, AZInsight_Data!$A:$AS, 40, FALSE), 1)</f>
        <v/>
      </c>
      <c r="Y75" s="13">
        <f>IFERROR(VLOOKUP(A75, IP Qty!$D:$R, 5, FALSE), 0)</f>
        <v/>
      </c>
      <c r="Z75" s="14">
        <f>IFERROR(VLOOKUP(A75, IP Qty!$D:$R, 6, FALSE), 0)</f>
        <v/>
      </c>
      <c r="AA75">
        <f>IFERROR(VLOOKUP(A75, IP Qty!$D:$R, 7, FALSE), 0)</f>
        <v/>
      </c>
      <c r="AB75">
        <f>IFERROR(VLOOKUP(A75, IP Qty!$D:$R, 9, FALSE), 0)</f>
        <v/>
      </c>
      <c r="AC75">
        <f>IFERROR(VLOOKUP(A75, IP Qty!$D:$R, 8, FALSE), 0)</f>
        <v/>
      </c>
      <c r="AD75" s="14">
        <f>IFERROR(VLOOKUP(A75, KEEPA!$A:$AW, 34, FALSE), 0)</f>
        <v/>
      </c>
      <c r="AE75" s="15">
        <f>IF(P75&gt;1, ((((M75&gt;=$AD$2)*(L75&gt;=$AH$2)) + ((M75&lt;$AD$2)*(M75&gt;=$AE$2)*(L75&gt;=$AG$2)) + ((M75&lt;$AE$2)*(M75&gt;=$AC$2)*(L75&gt;=0)))*2 * IF($AI$2=0, 1, AI75&lt;=$AI$2) * IF($AK$2=0, 1, AK75&lt;=$AK$2) * AND(N75&gt;=$D$1, H75&lt;=$I$2, G75&gt;=$H$2)), ((((M75&gt;=$AD$2)*(L75&gt;=$AH$2)) + ((M75&lt;$AD$2)*(M75&gt;=$AE$2)*(L75&gt;=$AG$2)) + ((M75&lt;$AE$2)*(M75&gt;=$AC$2)*(L75&gt;=0))) * IF($AI$2=0, 1, AI75&lt;=$AI$2) * IF($AK$2=0, 1, AK75&lt;=$AK$2) * AND(N75&gt;=$D$1, H75&lt;=$I$2, G75&gt;=$H$2)))</f>
        <v/>
      </c>
      <c r="AF75">
        <f>IF(AE75&gt;0, 1, 0)</f>
        <v/>
      </c>
      <c r="AG75">
        <f>IFERROR(IF(ISNUMBER(W75), IF(AN75, N75*W75*$AN$2, N75*W75), NA()), NA())</f>
        <v/>
      </c>
      <c r="AH75" s="13">
        <f>IFERROR(MIN(AG75, $U$2), 0)</f>
        <v/>
      </c>
      <c r="AI75" s="14">
        <f>IFERROR(VLOOKUP(A75, KEEPA!$A:$AW, 26, FALSE), 0)</f>
        <v/>
      </c>
      <c r="AJ75" s="16">
        <f>IFERROR(IF(AI75=0, 0, (AI75-H75)/H75), 0)</f>
        <v/>
      </c>
      <c r="AK75" s="14">
        <f>IFERROR(VLOOKUP(A75, KEEPA!$A:$AW, 28, FALSE), 0)</f>
        <v/>
      </c>
      <c r="AL75" s="16">
        <f>IFERROR(IF(AK75=0, 0, (AK75-H75)/H75), 0)</f>
        <v/>
      </c>
      <c r="AM75" s="13">
        <f>IFERROR(VLOOKUP(A75, AZInsight_Data!$A:$AS, 34, FALSE), 0)</f>
        <v/>
      </c>
      <c r="AN75">
        <f>IFERROR(AND(VLOOKUP(A75, KEEPA!$A:$AW, 2, FALSE)&lt;=$AO$2, N75 &gt;= $AM$2), FALSE)</f>
        <v/>
      </c>
      <c r="AO75" s="16">
        <f>IFERROR(VLOOKUP(A75, KEEPA!$A:$AW, 24, FALSE), 0)</f>
        <v/>
      </c>
      <c r="AP75" s="16">
        <f>IFERROR(VLOOKUP(A75, KEEPA!$A:$AW, 48, FALSE), 0)</f>
        <v/>
      </c>
      <c r="AQ75">
        <f>IFERROR(VLOOKUP(A75, AZInsight_Data!$A:$AS, 5, FALSE), "SL")</f>
        <v/>
      </c>
      <c r="AR75">
        <f>IF(OR(A75="", A75=0), "", HYPERLINK("https://keepa.com/#!product/1-"&amp;A75, "Keepa"))</f>
        <v/>
      </c>
      <c r="AS75">
        <f>IF(OR(A75="", A75=0), "", HYPERLINK("https://www.amazon.com/dp/"&amp;A75, "Amazon"))</f>
        <v/>
      </c>
      <c r="AT75">
        <f>IF(OR(A75="", A75=0), "", HYPERLINK("https://sellercentral.amazon.com/product-search/search?q="&amp;A75, "Check Gated"))</f>
        <v/>
      </c>
      <c r="AU75" s="12" t="n"/>
      <c r="AV75" s="12" t="n"/>
      <c r="AW75" s="12" t="n"/>
    </row>
    <row r="76">
      <c r="A76" s="12" t="n"/>
      <c r="B76" s="12">
        <f>IFERROR(VLOOKUP(A76, AZInsight_Data!$A:$AS, 3, FALSE), "")</f>
        <v/>
      </c>
      <c r="C76" s="13">
        <f>IFERROR(VLOOKUP(A76, AZInsight_Data!$A:$AS, 9, FALSE), 0)</f>
        <v/>
      </c>
      <c r="D76">
        <f>IFERROR(VLOOKUP(A76, AZInsight_Data!$A:$AS, 17, FALSE), 0)</f>
        <v/>
      </c>
      <c r="E76">
        <f>IFERROR(VLOOKUP(A76, AZInsight_Data!$A:$AS, 18, FALSE), 0)</f>
        <v/>
      </c>
      <c r="F76" s="14">
        <f>IFERROR(VLOOKUP(A76, AZInsight_Data!$A:$AS, 7, FALSE), 0)</f>
        <v/>
      </c>
      <c r="G76" s="15">
        <f>IFERROR(VLOOKUP(A76, AZInsight_Data!$A:$AS, 14, FALSE), 0)</f>
        <v/>
      </c>
      <c r="H76" s="14">
        <f>IFERROR(VLOOKUP(A76, AZInsight_Data!$A:$AS, 8, FALSE), 0)</f>
        <v/>
      </c>
      <c r="I76" s="16">
        <f>IFERROR(VLOOKUP(A76, KEEPA!$A:$AW, 47, FALSE), 0)</f>
        <v/>
      </c>
      <c r="J76">
        <f>IFERROR(VLOOKUP(A76, AZInsight_Data!$A:$AS, 25, FALSE), 0)</f>
        <v/>
      </c>
      <c r="K76" s="15">
        <f>IFERROR(VLOOKUP(A76, AZInsight_Data!$A:$AS, 16, FALSE), 0)</f>
        <v/>
      </c>
      <c r="L76" s="15">
        <f>IFERROR(K76-T76-J76, 0)</f>
        <v/>
      </c>
      <c r="M76" s="16">
        <f>IFERROR(IF(T76=0, 0, L76/T76), 0)</f>
        <v/>
      </c>
      <c r="N76" s="14">
        <f>IFERROR(C76*($V$2/30), 0)</f>
        <v/>
      </c>
      <c r="O76">
        <f>IFERROR(VLOOKUP(A76, AZInsight_Data!$A:$AS, 40, FALSE), 1)</f>
        <v/>
      </c>
      <c r="P76" s="13">
        <f>IF(O76&gt;0, O76, 1)</f>
        <v/>
      </c>
      <c r="Q76" s="13">
        <f>IFERROR(U76/P76, 0)</f>
        <v/>
      </c>
      <c r="R76">
        <f>IFERROR(VLOOKUP(A76, AZInsight_Data!$A:$AS, 36, FALSE), "")</f>
        <v/>
      </c>
      <c r="S76">
        <f>IFERROR(VLOOKUP(A76, AZInsight_Data!$A:$AS, 3, FALSE), "")</f>
        <v/>
      </c>
      <c r="T76" s="17">
        <f>IFERROR(VLOOKUP(A76, AZInsight_Data!$A:$AS, 13, FALSE), 0)</f>
        <v/>
      </c>
      <c r="U76" s="13">
        <f>AH76</f>
        <v/>
      </c>
      <c r="V76" s="15">
        <f>T76*U76</f>
        <v/>
      </c>
      <c r="W76" s="16" t="n"/>
      <c r="X76" s="12">
        <f>IFERROR(VLOOKUP(A76, AZInsight_Data!$A:$AS, 40, FALSE), 1)</f>
        <v/>
      </c>
      <c r="Y76" s="13">
        <f>IFERROR(VLOOKUP(A76, IP Qty!$D:$R, 5, FALSE), 0)</f>
        <v/>
      </c>
      <c r="Z76" s="14">
        <f>IFERROR(VLOOKUP(A76, IP Qty!$D:$R, 6, FALSE), 0)</f>
        <v/>
      </c>
      <c r="AA76">
        <f>IFERROR(VLOOKUP(A76, IP Qty!$D:$R, 7, FALSE), 0)</f>
        <v/>
      </c>
      <c r="AB76">
        <f>IFERROR(VLOOKUP(A76, IP Qty!$D:$R, 9, FALSE), 0)</f>
        <v/>
      </c>
      <c r="AC76">
        <f>IFERROR(VLOOKUP(A76, IP Qty!$D:$R, 8, FALSE), 0)</f>
        <v/>
      </c>
      <c r="AD76" s="14">
        <f>IFERROR(VLOOKUP(A76, KEEPA!$A:$AW, 34, FALSE), 0)</f>
        <v/>
      </c>
      <c r="AE76" s="15">
        <f>IF(P76&gt;1, ((((M76&gt;=$AD$2)*(L76&gt;=$AH$2)) + ((M76&lt;$AD$2)*(M76&gt;=$AE$2)*(L76&gt;=$AG$2)) + ((M76&lt;$AE$2)*(M76&gt;=$AC$2)*(L76&gt;=0)))*2 * IF($AI$2=0, 1, AI76&lt;=$AI$2) * IF($AK$2=0, 1, AK76&lt;=$AK$2) * AND(N76&gt;=$D$1, H76&lt;=$I$2, G76&gt;=$H$2)), ((((M76&gt;=$AD$2)*(L76&gt;=$AH$2)) + ((M76&lt;$AD$2)*(M76&gt;=$AE$2)*(L76&gt;=$AG$2)) + ((M76&lt;$AE$2)*(M76&gt;=$AC$2)*(L76&gt;=0))) * IF($AI$2=0, 1, AI76&lt;=$AI$2) * IF($AK$2=0, 1, AK76&lt;=$AK$2) * AND(N76&gt;=$D$1, H76&lt;=$I$2, G76&gt;=$H$2)))</f>
        <v/>
      </c>
      <c r="AF76">
        <f>IF(AE76&gt;0, 1, 0)</f>
        <v/>
      </c>
      <c r="AG76">
        <f>IFERROR(IF(ISNUMBER(W76), IF(AN76, N76*W76*$AN$2, N76*W76), NA()), NA())</f>
        <v/>
      </c>
      <c r="AH76" s="13">
        <f>IFERROR(MIN(AG76, $U$2), 0)</f>
        <v/>
      </c>
      <c r="AI76" s="14">
        <f>IFERROR(VLOOKUP(A76, KEEPA!$A:$AW, 26, FALSE), 0)</f>
        <v/>
      </c>
      <c r="AJ76" s="16">
        <f>IFERROR(IF(AI76=0, 0, (AI76-H76)/H76), 0)</f>
        <v/>
      </c>
      <c r="AK76" s="14">
        <f>IFERROR(VLOOKUP(A76, KEEPA!$A:$AW, 28, FALSE), 0)</f>
        <v/>
      </c>
      <c r="AL76" s="16">
        <f>IFERROR(IF(AK76=0, 0, (AK76-H76)/H76), 0)</f>
        <v/>
      </c>
      <c r="AM76" s="13">
        <f>IFERROR(VLOOKUP(A76, AZInsight_Data!$A:$AS, 34, FALSE), 0)</f>
        <v/>
      </c>
      <c r="AN76">
        <f>IFERROR(AND(VLOOKUP(A76, KEEPA!$A:$AW, 2, FALSE)&lt;=$AO$2, N76 &gt;= $AM$2), FALSE)</f>
        <v/>
      </c>
      <c r="AO76" s="16">
        <f>IFERROR(VLOOKUP(A76, KEEPA!$A:$AW, 24, FALSE), 0)</f>
        <v/>
      </c>
      <c r="AP76" s="16">
        <f>IFERROR(VLOOKUP(A76, KEEPA!$A:$AW, 48, FALSE), 0)</f>
        <v/>
      </c>
      <c r="AQ76">
        <f>IFERROR(VLOOKUP(A76, AZInsight_Data!$A:$AS, 5, FALSE), "SL")</f>
        <v/>
      </c>
      <c r="AR76">
        <f>IF(OR(A76="", A76=0), "", HYPERLINK("https://keepa.com/#!product/1-"&amp;A76, "Keepa"))</f>
        <v/>
      </c>
      <c r="AS76">
        <f>IF(OR(A76="", A76=0), "", HYPERLINK("https://www.amazon.com/dp/"&amp;A76, "Amazon"))</f>
        <v/>
      </c>
      <c r="AT76">
        <f>IF(OR(A76="", A76=0), "", HYPERLINK("https://sellercentral.amazon.com/product-search/search?q="&amp;A76, "Check Gated"))</f>
        <v/>
      </c>
      <c r="AU76" s="12" t="n"/>
      <c r="AV76" s="12" t="n"/>
      <c r="AW76" s="12" t="n"/>
    </row>
    <row r="77">
      <c r="A77" s="12" t="n"/>
      <c r="B77" s="12">
        <f>IFERROR(VLOOKUP(A77, AZInsight_Data!$A:$AS, 3, FALSE), "")</f>
        <v/>
      </c>
      <c r="C77" s="13">
        <f>IFERROR(VLOOKUP(A77, AZInsight_Data!$A:$AS, 9, FALSE), 0)</f>
        <v/>
      </c>
      <c r="D77">
        <f>IFERROR(VLOOKUP(A77, AZInsight_Data!$A:$AS, 17, FALSE), 0)</f>
        <v/>
      </c>
      <c r="E77">
        <f>IFERROR(VLOOKUP(A77, AZInsight_Data!$A:$AS, 18, FALSE), 0)</f>
        <v/>
      </c>
      <c r="F77" s="14">
        <f>IFERROR(VLOOKUP(A77, AZInsight_Data!$A:$AS, 7, FALSE), 0)</f>
        <v/>
      </c>
      <c r="G77" s="15">
        <f>IFERROR(VLOOKUP(A77, AZInsight_Data!$A:$AS, 14, FALSE), 0)</f>
        <v/>
      </c>
      <c r="H77" s="14">
        <f>IFERROR(VLOOKUP(A77, AZInsight_Data!$A:$AS, 8, FALSE), 0)</f>
        <v/>
      </c>
      <c r="I77" s="16">
        <f>IFERROR(VLOOKUP(A77, KEEPA!$A:$AW, 47, FALSE), 0)</f>
        <v/>
      </c>
      <c r="J77">
        <f>IFERROR(VLOOKUP(A77, AZInsight_Data!$A:$AS, 25, FALSE), 0)</f>
        <v/>
      </c>
      <c r="K77" s="15">
        <f>IFERROR(VLOOKUP(A77, AZInsight_Data!$A:$AS, 16, FALSE), 0)</f>
        <v/>
      </c>
      <c r="L77" s="15">
        <f>IFERROR(K77-T77-J77, 0)</f>
        <v/>
      </c>
      <c r="M77" s="16">
        <f>IFERROR(IF(T77=0, 0, L77/T77), 0)</f>
        <v/>
      </c>
      <c r="N77" s="14">
        <f>IFERROR(C77*($V$2/30), 0)</f>
        <v/>
      </c>
      <c r="O77">
        <f>IFERROR(VLOOKUP(A77, AZInsight_Data!$A:$AS, 40, FALSE), 1)</f>
        <v/>
      </c>
      <c r="P77" s="13">
        <f>IF(O77&gt;0, O77, 1)</f>
        <v/>
      </c>
      <c r="Q77" s="13">
        <f>IFERROR(U77/P77, 0)</f>
        <v/>
      </c>
      <c r="R77">
        <f>IFERROR(VLOOKUP(A77, AZInsight_Data!$A:$AS, 36, FALSE), "")</f>
        <v/>
      </c>
      <c r="S77">
        <f>IFERROR(VLOOKUP(A77, AZInsight_Data!$A:$AS, 3, FALSE), "")</f>
        <v/>
      </c>
      <c r="T77" s="17">
        <f>IFERROR(VLOOKUP(A77, AZInsight_Data!$A:$AS, 13, FALSE), 0)</f>
        <v/>
      </c>
      <c r="U77" s="13">
        <f>AH77</f>
        <v/>
      </c>
      <c r="V77" s="15">
        <f>T77*U77</f>
        <v/>
      </c>
      <c r="W77" s="16" t="n"/>
      <c r="X77" s="12">
        <f>IFERROR(VLOOKUP(A77, AZInsight_Data!$A:$AS, 40, FALSE), 1)</f>
        <v/>
      </c>
      <c r="Y77" s="13">
        <f>IFERROR(VLOOKUP(A77, IP Qty!$D:$R, 5, FALSE), 0)</f>
        <v/>
      </c>
      <c r="Z77" s="14">
        <f>IFERROR(VLOOKUP(A77, IP Qty!$D:$R, 6, FALSE), 0)</f>
        <v/>
      </c>
      <c r="AA77">
        <f>IFERROR(VLOOKUP(A77, IP Qty!$D:$R, 7, FALSE), 0)</f>
        <v/>
      </c>
      <c r="AB77">
        <f>IFERROR(VLOOKUP(A77, IP Qty!$D:$R, 9, FALSE), 0)</f>
        <v/>
      </c>
      <c r="AC77">
        <f>IFERROR(VLOOKUP(A77, IP Qty!$D:$R, 8, FALSE), 0)</f>
        <v/>
      </c>
      <c r="AD77" s="14">
        <f>IFERROR(VLOOKUP(A77, KEEPA!$A:$AW, 34, FALSE), 0)</f>
        <v/>
      </c>
      <c r="AE77" s="15">
        <f>IF(P77&gt;1, ((((M77&gt;=$AD$2)*(L77&gt;=$AH$2)) + ((M77&lt;$AD$2)*(M77&gt;=$AE$2)*(L77&gt;=$AG$2)) + ((M77&lt;$AE$2)*(M77&gt;=$AC$2)*(L77&gt;=0)))*2 * IF($AI$2=0, 1, AI77&lt;=$AI$2) * IF($AK$2=0, 1, AK77&lt;=$AK$2) * AND(N77&gt;=$D$1, H77&lt;=$I$2, G77&gt;=$H$2)), ((((M77&gt;=$AD$2)*(L77&gt;=$AH$2)) + ((M77&lt;$AD$2)*(M77&gt;=$AE$2)*(L77&gt;=$AG$2)) + ((M77&lt;$AE$2)*(M77&gt;=$AC$2)*(L77&gt;=0))) * IF($AI$2=0, 1, AI77&lt;=$AI$2) * IF($AK$2=0, 1, AK77&lt;=$AK$2) * AND(N77&gt;=$D$1, H77&lt;=$I$2, G77&gt;=$H$2)))</f>
        <v/>
      </c>
      <c r="AF77">
        <f>IF(AE77&gt;0, 1, 0)</f>
        <v/>
      </c>
      <c r="AG77">
        <f>IFERROR(IF(ISNUMBER(W77), IF(AN77, N77*W77*$AN$2, N77*W77), NA()), NA())</f>
        <v/>
      </c>
      <c r="AH77" s="13">
        <f>IFERROR(MIN(AG77, $U$2), 0)</f>
        <v/>
      </c>
      <c r="AI77" s="14">
        <f>IFERROR(VLOOKUP(A77, KEEPA!$A:$AW, 26, FALSE), 0)</f>
        <v/>
      </c>
      <c r="AJ77" s="16">
        <f>IFERROR(IF(AI77=0, 0, (AI77-H77)/H77), 0)</f>
        <v/>
      </c>
      <c r="AK77" s="14">
        <f>IFERROR(VLOOKUP(A77, KEEPA!$A:$AW, 28, FALSE), 0)</f>
        <v/>
      </c>
      <c r="AL77" s="16">
        <f>IFERROR(IF(AK77=0, 0, (AK77-H77)/H77), 0)</f>
        <v/>
      </c>
      <c r="AM77" s="13">
        <f>IFERROR(VLOOKUP(A77, AZInsight_Data!$A:$AS, 34, FALSE), 0)</f>
        <v/>
      </c>
      <c r="AN77">
        <f>IFERROR(AND(VLOOKUP(A77, KEEPA!$A:$AW, 2, FALSE)&lt;=$AO$2, N77 &gt;= $AM$2), FALSE)</f>
        <v/>
      </c>
      <c r="AO77" s="16">
        <f>IFERROR(VLOOKUP(A77, KEEPA!$A:$AW, 24, FALSE), 0)</f>
        <v/>
      </c>
      <c r="AP77" s="16">
        <f>IFERROR(VLOOKUP(A77, KEEPA!$A:$AW, 48, FALSE), 0)</f>
        <v/>
      </c>
      <c r="AQ77">
        <f>IFERROR(VLOOKUP(A77, AZInsight_Data!$A:$AS, 5, FALSE), "SL")</f>
        <v/>
      </c>
      <c r="AR77">
        <f>IF(OR(A77="", A77=0), "", HYPERLINK("https://keepa.com/#!product/1-"&amp;A77, "Keepa"))</f>
        <v/>
      </c>
      <c r="AS77">
        <f>IF(OR(A77="", A77=0), "", HYPERLINK("https://www.amazon.com/dp/"&amp;A77, "Amazon"))</f>
        <v/>
      </c>
      <c r="AT77">
        <f>IF(OR(A77="", A77=0), "", HYPERLINK("https://sellercentral.amazon.com/product-search/search?q="&amp;A77, "Check Gated"))</f>
        <v/>
      </c>
      <c r="AU77" s="12" t="n"/>
      <c r="AV77" s="12" t="n"/>
      <c r="AW77" s="12" t="n"/>
    </row>
    <row r="78">
      <c r="A78" s="12" t="n"/>
      <c r="B78" s="12">
        <f>IFERROR(VLOOKUP(A78, AZInsight_Data!$A:$AS, 3, FALSE), "")</f>
        <v/>
      </c>
      <c r="C78" s="13">
        <f>IFERROR(VLOOKUP(A78, AZInsight_Data!$A:$AS, 9, FALSE), 0)</f>
        <v/>
      </c>
      <c r="D78">
        <f>IFERROR(VLOOKUP(A78, AZInsight_Data!$A:$AS, 17, FALSE), 0)</f>
        <v/>
      </c>
      <c r="E78">
        <f>IFERROR(VLOOKUP(A78, AZInsight_Data!$A:$AS, 18, FALSE), 0)</f>
        <v/>
      </c>
      <c r="F78" s="14">
        <f>IFERROR(VLOOKUP(A78, AZInsight_Data!$A:$AS, 7, FALSE), 0)</f>
        <v/>
      </c>
      <c r="G78" s="15">
        <f>IFERROR(VLOOKUP(A78, AZInsight_Data!$A:$AS, 14, FALSE), 0)</f>
        <v/>
      </c>
      <c r="H78" s="14">
        <f>IFERROR(VLOOKUP(A78, AZInsight_Data!$A:$AS, 8, FALSE), 0)</f>
        <v/>
      </c>
      <c r="I78" s="16">
        <f>IFERROR(VLOOKUP(A78, KEEPA!$A:$AW, 47, FALSE), 0)</f>
        <v/>
      </c>
      <c r="J78">
        <f>IFERROR(VLOOKUP(A78, AZInsight_Data!$A:$AS, 25, FALSE), 0)</f>
        <v/>
      </c>
      <c r="K78" s="15">
        <f>IFERROR(VLOOKUP(A78, AZInsight_Data!$A:$AS, 16, FALSE), 0)</f>
        <v/>
      </c>
      <c r="L78" s="15">
        <f>IFERROR(K78-T78-J78, 0)</f>
        <v/>
      </c>
      <c r="M78" s="16">
        <f>IFERROR(IF(T78=0, 0, L78/T78), 0)</f>
        <v/>
      </c>
      <c r="N78" s="14">
        <f>IFERROR(C78*($V$2/30), 0)</f>
        <v/>
      </c>
      <c r="O78">
        <f>IFERROR(VLOOKUP(A78, AZInsight_Data!$A:$AS, 40, FALSE), 1)</f>
        <v/>
      </c>
      <c r="P78" s="13">
        <f>IF(O78&gt;0, O78, 1)</f>
        <v/>
      </c>
      <c r="Q78" s="13">
        <f>IFERROR(U78/P78, 0)</f>
        <v/>
      </c>
      <c r="R78">
        <f>IFERROR(VLOOKUP(A78, AZInsight_Data!$A:$AS, 36, FALSE), "")</f>
        <v/>
      </c>
      <c r="S78">
        <f>IFERROR(VLOOKUP(A78, AZInsight_Data!$A:$AS, 3, FALSE), "")</f>
        <v/>
      </c>
      <c r="T78" s="17">
        <f>IFERROR(VLOOKUP(A78, AZInsight_Data!$A:$AS, 13, FALSE), 0)</f>
        <v/>
      </c>
      <c r="U78" s="13">
        <f>AH78</f>
        <v/>
      </c>
      <c r="V78" s="15">
        <f>T78*U78</f>
        <v/>
      </c>
      <c r="W78" s="16" t="n"/>
      <c r="X78" s="12">
        <f>IFERROR(VLOOKUP(A78, AZInsight_Data!$A:$AS, 40, FALSE), 1)</f>
        <v/>
      </c>
      <c r="Y78" s="13">
        <f>IFERROR(VLOOKUP(A78, IP Qty!$D:$R, 5, FALSE), 0)</f>
        <v/>
      </c>
      <c r="Z78" s="14">
        <f>IFERROR(VLOOKUP(A78, IP Qty!$D:$R, 6, FALSE), 0)</f>
        <v/>
      </c>
      <c r="AA78">
        <f>IFERROR(VLOOKUP(A78, IP Qty!$D:$R, 7, FALSE), 0)</f>
        <v/>
      </c>
      <c r="AB78">
        <f>IFERROR(VLOOKUP(A78, IP Qty!$D:$R, 9, FALSE), 0)</f>
        <v/>
      </c>
      <c r="AC78">
        <f>IFERROR(VLOOKUP(A78, IP Qty!$D:$R, 8, FALSE), 0)</f>
        <v/>
      </c>
      <c r="AD78" s="14">
        <f>IFERROR(VLOOKUP(A78, KEEPA!$A:$AW, 34, FALSE), 0)</f>
        <v/>
      </c>
      <c r="AE78" s="15">
        <f>IF(P78&gt;1, ((((M78&gt;=$AD$2)*(L78&gt;=$AH$2)) + ((M78&lt;$AD$2)*(M78&gt;=$AE$2)*(L78&gt;=$AG$2)) + ((M78&lt;$AE$2)*(M78&gt;=$AC$2)*(L78&gt;=0)))*2 * IF($AI$2=0, 1, AI78&lt;=$AI$2) * IF($AK$2=0, 1, AK78&lt;=$AK$2) * AND(N78&gt;=$D$1, H78&lt;=$I$2, G78&gt;=$H$2)), ((((M78&gt;=$AD$2)*(L78&gt;=$AH$2)) + ((M78&lt;$AD$2)*(M78&gt;=$AE$2)*(L78&gt;=$AG$2)) + ((M78&lt;$AE$2)*(M78&gt;=$AC$2)*(L78&gt;=0))) * IF($AI$2=0, 1, AI78&lt;=$AI$2) * IF($AK$2=0, 1, AK78&lt;=$AK$2) * AND(N78&gt;=$D$1, H78&lt;=$I$2, G78&gt;=$H$2)))</f>
        <v/>
      </c>
      <c r="AF78">
        <f>IF(AE78&gt;0, 1, 0)</f>
        <v/>
      </c>
      <c r="AG78">
        <f>IFERROR(IF(ISNUMBER(W78), IF(AN78, N78*W78*$AN$2, N78*W78), NA()), NA())</f>
        <v/>
      </c>
      <c r="AH78" s="13">
        <f>IFERROR(MIN(AG78, $U$2), 0)</f>
        <v/>
      </c>
      <c r="AI78" s="14">
        <f>IFERROR(VLOOKUP(A78, KEEPA!$A:$AW, 26, FALSE), 0)</f>
        <v/>
      </c>
      <c r="AJ78" s="16">
        <f>IFERROR(IF(AI78=0, 0, (AI78-H78)/H78), 0)</f>
        <v/>
      </c>
      <c r="AK78" s="14">
        <f>IFERROR(VLOOKUP(A78, KEEPA!$A:$AW, 28, FALSE), 0)</f>
        <v/>
      </c>
      <c r="AL78" s="16">
        <f>IFERROR(IF(AK78=0, 0, (AK78-H78)/H78), 0)</f>
        <v/>
      </c>
      <c r="AM78" s="13">
        <f>IFERROR(VLOOKUP(A78, AZInsight_Data!$A:$AS, 34, FALSE), 0)</f>
        <v/>
      </c>
      <c r="AN78">
        <f>IFERROR(AND(VLOOKUP(A78, KEEPA!$A:$AW, 2, FALSE)&lt;=$AO$2, N78 &gt;= $AM$2), FALSE)</f>
        <v/>
      </c>
      <c r="AO78" s="16">
        <f>IFERROR(VLOOKUP(A78, KEEPA!$A:$AW, 24, FALSE), 0)</f>
        <v/>
      </c>
      <c r="AP78" s="16">
        <f>IFERROR(VLOOKUP(A78, KEEPA!$A:$AW, 48, FALSE), 0)</f>
        <v/>
      </c>
      <c r="AQ78">
        <f>IFERROR(VLOOKUP(A78, AZInsight_Data!$A:$AS, 5, FALSE), "SL")</f>
        <v/>
      </c>
      <c r="AR78">
        <f>IF(OR(A78="", A78=0), "", HYPERLINK("https://keepa.com/#!product/1-"&amp;A78, "Keepa"))</f>
        <v/>
      </c>
      <c r="AS78">
        <f>IF(OR(A78="", A78=0), "", HYPERLINK("https://www.amazon.com/dp/"&amp;A78, "Amazon"))</f>
        <v/>
      </c>
      <c r="AT78">
        <f>IF(OR(A78="", A78=0), "", HYPERLINK("https://sellercentral.amazon.com/product-search/search?q="&amp;A78, "Check Gated"))</f>
        <v/>
      </c>
      <c r="AU78" s="12" t="n"/>
      <c r="AV78" s="12" t="n"/>
      <c r="AW78" s="12" t="n"/>
    </row>
    <row r="79">
      <c r="A79" s="12" t="n"/>
      <c r="B79" s="12">
        <f>IFERROR(VLOOKUP(A79, AZInsight_Data!$A:$AS, 3, FALSE), "")</f>
        <v/>
      </c>
      <c r="C79" s="13">
        <f>IFERROR(VLOOKUP(A79, AZInsight_Data!$A:$AS, 9, FALSE), 0)</f>
        <v/>
      </c>
      <c r="D79">
        <f>IFERROR(VLOOKUP(A79, AZInsight_Data!$A:$AS, 17, FALSE), 0)</f>
        <v/>
      </c>
      <c r="E79">
        <f>IFERROR(VLOOKUP(A79, AZInsight_Data!$A:$AS, 18, FALSE), 0)</f>
        <v/>
      </c>
      <c r="F79" s="14">
        <f>IFERROR(VLOOKUP(A79, AZInsight_Data!$A:$AS, 7, FALSE), 0)</f>
        <v/>
      </c>
      <c r="G79" s="15">
        <f>IFERROR(VLOOKUP(A79, AZInsight_Data!$A:$AS, 14, FALSE), 0)</f>
        <v/>
      </c>
      <c r="H79" s="14">
        <f>IFERROR(VLOOKUP(A79, AZInsight_Data!$A:$AS, 8, FALSE), 0)</f>
        <v/>
      </c>
      <c r="I79" s="16">
        <f>IFERROR(VLOOKUP(A79, KEEPA!$A:$AW, 47, FALSE), 0)</f>
        <v/>
      </c>
      <c r="J79">
        <f>IFERROR(VLOOKUP(A79, AZInsight_Data!$A:$AS, 25, FALSE), 0)</f>
        <v/>
      </c>
      <c r="K79" s="15">
        <f>IFERROR(VLOOKUP(A79, AZInsight_Data!$A:$AS, 16, FALSE), 0)</f>
        <v/>
      </c>
      <c r="L79" s="15">
        <f>IFERROR(K79-T79-J79, 0)</f>
        <v/>
      </c>
      <c r="M79" s="16">
        <f>IFERROR(IF(T79=0, 0, L79/T79), 0)</f>
        <v/>
      </c>
      <c r="N79" s="14">
        <f>IFERROR(C79*($V$2/30), 0)</f>
        <v/>
      </c>
      <c r="O79">
        <f>IFERROR(VLOOKUP(A79, AZInsight_Data!$A:$AS, 40, FALSE), 1)</f>
        <v/>
      </c>
      <c r="P79" s="13">
        <f>IF(O79&gt;0, O79, 1)</f>
        <v/>
      </c>
      <c r="Q79" s="13">
        <f>IFERROR(U79/P79, 0)</f>
        <v/>
      </c>
      <c r="R79">
        <f>IFERROR(VLOOKUP(A79, AZInsight_Data!$A:$AS, 36, FALSE), "")</f>
        <v/>
      </c>
      <c r="S79">
        <f>IFERROR(VLOOKUP(A79, AZInsight_Data!$A:$AS, 3, FALSE), "")</f>
        <v/>
      </c>
      <c r="T79" s="17">
        <f>IFERROR(VLOOKUP(A79, AZInsight_Data!$A:$AS, 13, FALSE), 0)</f>
        <v/>
      </c>
      <c r="U79" s="13">
        <f>AH79</f>
        <v/>
      </c>
      <c r="V79" s="15">
        <f>T79*U79</f>
        <v/>
      </c>
      <c r="W79" s="16" t="n"/>
      <c r="X79" s="12">
        <f>IFERROR(VLOOKUP(A79, AZInsight_Data!$A:$AS, 40, FALSE), 1)</f>
        <v/>
      </c>
      <c r="Y79" s="13">
        <f>IFERROR(VLOOKUP(A79, IP Qty!$D:$R, 5, FALSE), 0)</f>
        <v/>
      </c>
      <c r="Z79" s="14">
        <f>IFERROR(VLOOKUP(A79, IP Qty!$D:$R, 6, FALSE), 0)</f>
        <v/>
      </c>
      <c r="AA79">
        <f>IFERROR(VLOOKUP(A79, IP Qty!$D:$R, 7, FALSE), 0)</f>
        <v/>
      </c>
      <c r="AB79">
        <f>IFERROR(VLOOKUP(A79, IP Qty!$D:$R, 9, FALSE), 0)</f>
        <v/>
      </c>
      <c r="AC79">
        <f>IFERROR(VLOOKUP(A79, IP Qty!$D:$R, 8, FALSE), 0)</f>
        <v/>
      </c>
      <c r="AD79" s="14">
        <f>IFERROR(VLOOKUP(A79, KEEPA!$A:$AW, 34, FALSE), 0)</f>
        <v/>
      </c>
      <c r="AE79" s="15">
        <f>IF(P79&gt;1, ((((M79&gt;=$AD$2)*(L79&gt;=$AH$2)) + ((M79&lt;$AD$2)*(M79&gt;=$AE$2)*(L79&gt;=$AG$2)) + ((M79&lt;$AE$2)*(M79&gt;=$AC$2)*(L79&gt;=0)))*2 * IF($AI$2=0, 1, AI79&lt;=$AI$2) * IF($AK$2=0, 1, AK79&lt;=$AK$2) * AND(N79&gt;=$D$1, H79&lt;=$I$2, G79&gt;=$H$2)), ((((M79&gt;=$AD$2)*(L79&gt;=$AH$2)) + ((M79&lt;$AD$2)*(M79&gt;=$AE$2)*(L79&gt;=$AG$2)) + ((M79&lt;$AE$2)*(M79&gt;=$AC$2)*(L79&gt;=0))) * IF($AI$2=0, 1, AI79&lt;=$AI$2) * IF($AK$2=0, 1, AK79&lt;=$AK$2) * AND(N79&gt;=$D$1, H79&lt;=$I$2, G79&gt;=$H$2)))</f>
        <v/>
      </c>
      <c r="AF79">
        <f>IF(AE79&gt;0, 1, 0)</f>
        <v/>
      </c>
      <c r="AG79">
        <f>IFERROR(IF(ISNUMBER(W79), IF(AN79, N79*W79*$AN$2, N79*W79), NA()), NA())</f>
        <v/>
      </c>
      <c r="AH79" s="13">
        <f>IFERROR(MIN(AG79, $U$2), 0)</f>
        <v/>
      </c>
      <c r="AI79" s="14">
        <f>IFERROR(VLOOKUP(A79, KEEPA!$A:$AW, 26, FALSE), 0)</f>
        <v/>
      </c>
      <c r="AJ79" s="16">
        <f>IFERROR(IF(AI79=0, 0, (AI79-H79)/H79), 0)</f>
        <v/>
      </c>
      <c r="AK79" s="14">
        <f>IFERROR(VLOOKUP(A79, KEEPA!$A:$AW, 28, FALSE), 0)</f>
        <v/>
      </c>
      <c r="AL79" s="16">
        <f>IFERROR(IF(AK79=0, 0, (AK79-H79)/H79), 0)</f>
        <v/>
      </c>
      <c r="AM79" s="13">
        <f>IFERROR(VLOOKUP(A79, AZInsight_Data!$A:$AS, 34, FALSE), 0)</f>
        <v/>
      </c>
      <c r="AN79">
        <f>IFERROR(AND(VLOOKUP(A79, KEEPA!$A:$AW, 2, FALSE)&lt;=$AO$2, N79 &gt;= $AM$2), FALSE)</f>
        <v/>
      </c>
      <c r="AO79" s="16">
        <f>IFERROR(VLOOKUP(A79, KEEPA!$A:$AW, 24, FALSE), 0)</f>
        <v/>
      </c>
      <c r="AP79" s="16">
        <f>IFERROR(VLOOKUP(A79, KEEPA!$A:$AW, 48, FALSE), 0)</f>
        <v/>
      </c>
      <c r="AQ79">
        <f>IFERROR(VLOOKUP(A79, AZInsight_Data!$A:$AS, 5, FALSE), "SL")</f>
        <v/>
      </c>
      <c r="AR79">
        <f>IF(OR(A79="", A79=0), "", HYPERLINK("https://keepa.com/#!product/1-"&amp;A79, "Keepa"))</f>
        <v/>
      </c>
      <c r="AS79">
        <f>IF(OR(A79="", A79=0), "", HYPERLINK("https://www.amazon.com/dp/"&amp;A79, "Amazon"))</f>
        <v/>
      </c>
      <c r="AT79">
        <f>IF(OR(A79="", A79=0), "", HYPERLINK("https://sellercentral.amazon.com/product-search/search?q="&amp;A79, "Check Gated"))</f>
        <v/>
      </c>
      <c r="AU79" s="12" t="n"/>
      <c r="AV79" s="12" t="n"/>
      <c r="AW79" s="12" t="n"/>
    </row>
    <row r="80">
      <c r="A80" s="12" t="n"/>
      <c r="B80" s="12">
        <f>IFERROR(VLOOKUP(A80, AZInsight_Data!$A:$AS, 3, FALSE), "")</f>
        <v/>
      </c>
      <c r="C80" s="13">
        <f>IFERROR(VLOOKUP(A80, AZInsight_Data!$A:$AS, 9, FALSE), 0)</f>
        <v/>
      </c>
      <c r="D80">
        <f>IFERROR(VLOOKUP(A80, AZInsight_Data!$A:$AS, 17, FALSE), 0)</f>
        <v/>
      </c>
      <c r="E80">
        <f>IFERROR(VLOOKUP(A80, AZInsight_Data!$A:$AS, 18, FALSE), 0)</f>
        <v/>
      </c>
      <c r="F80" s="14">
        <f>IFERROR(VLOOKUP(A80, AZInsight_Data!$A:$AS, 7, FALSE), 0)</f>
        <v/>
      </c>
      <c r="G80" s="15">
        <f>IFERROR(VLOOKUP(A80, AZInsight_Data!$A:$AS, 14, FALSE), 0)</f>
        <v/>
      </c>
      <c r="H80" s="14">
        <f>IFERROR(VLOOKUP(A80, AZInsight_Data!$A:$AS, 8, FALSE), 0)</f>
        <v/>
      </c>
      <c r="I80" s="16">
        <f>IFERROR(VLOOKUP(A80, KEEPA!$A:$AW, 47, FALSE), 0)</f>
        <v/>
      </c>
      <c r="J80">
        <f>IFERROR(VLOOKUP(A80, AZInsight_Data!$A:$AS, 25, FALSE), 0)</f>
        <v/>
      </c>
      <c r="K80" s="15">
        <f>IFERROR(VLOOKUP(A80, AZInsight_Data!$A:$AS, 16, FALSE), 0)</f>
        <v/>
      </c>
      <c r="L80" s="15">
        <f>IFERROR(K80-T80-J80, 0)</f>
        <v/>
      </c>
      <c r="M80" s="16">
        <f>IFERROR(IF(T80=0, 0, L80/T80), 0)</f>
        <v/>
      </c>
      <c r="N80" s="14">
        <f>IFERROR(C80*($V$2/30), 0)</f>
        <v/>
      </c>
      <c r="O80">
        <f>IFERROR(VLOOKUP(A80, AZInsight_Data!$A:$AS, 40, FALSE), 1)</f>
        <v/>
      </c>
      <c r="P80" s="13">
        <f>IF(O80&gt;0, O80, 1)</f>
        <v/>
      </c>
      <c r="Q80" s="13">
        <f>IFERROR(U80/P80, 0)</f>
        <v/>
      </c>
      <c r="R80">
        <f>IFERROR(VLOOKUP(A80, AZInsight_Data!$A:$AS, 36, FALSE), "")</f>
        <v/>
      </c>
      <c r="S80">
        <f>IFERROR(VLOOKUP(A80, AZInsight_Data!$A:$AS, 3, FALSE), "")</f>
        <v/>
      </c>
      <c r="T80" s="17">
        <f>IFERROR(VLOOKUP(A80, AZInsight_Data!$A:$AS, 13, FALSE), 0)</f>
        <v/>
      </c>
      <c r="U80" s="13">
        <f>AH80</f>
        <v/>
      </c>
      <c r="V80" s="15">
        <f>T80*U80</f>
        <v/>
      </c>
      <c r="W80" s="16" t="n"/>
      <c r="X80" s="12">
        <f>IFERROR(VLOOKUP(A80, AZInsight_Data!$A:$AS, 40, FALSE), 1)</f>
        <v/>
      </c>
      <c r="Y80" s="13">
        <f>IFERROR(VLOOKUP(A80, IP Qty!$D:$R, 5, FALSE), 0)</f>
        <v/>
      </c>
      <c r="Z80" s="14">
        <f>IFERROR(VLOOKUP(A80, IP Qty!$D:$R, 6, FALSE), 0)</f>
        <v/>
      </c>
      <c r="AA80">
        <f>IFERROR(VLOOKUP(A80, IP Qty!$D:$R, 7, FALSE), 0)</f>
        <v/>
      </c>
      <c r="AB80">
        <f>IFERROR(VLOOKUP(A80, IP Qty!$D:$R, 9, FALSE), 0)</f>
        <v/>
      </c>
      <c r="AC80">
        <f>IFERROR(VLOOKUP(A80, IP Qty!$D:$R, 8, FALSE), 0)</f>
        <v/>
      </c>
      <c r="AD80" s="14">
        <f>IFERROR(VLOOKUP(A80, KEEPA!$A:$AW, 34, FALSE), 0)</f>
        <v/>
      </c>
      <c r="AE80" s="15">
        <f>IF(P80&gt;1, ((((M80&gt;=$AD$2)*(L80&gt;=$AH$2)) + ((M80&lt;$AD$2)*(M80&gt;=$AE$2)*(L80&gt;=$AG$2)) + ((M80&lt;$AE$2)*(M80&gt;=$AC$2)*(L80&gt;=0)))*2 * IF($AI$2=0, 1, AI80&lt;=$AI$2) * IF($AK$2=0, 1, AK80&lt;=$AK$2) * AND(N80&gt;=$D$1, H80&lt;=$I$2, G80&gt;=$H$2)), ((((M80&gt;=$AD$2)*(L80&gt;=$AH$2)) + ((M80&lt;$AD$2)*(M80&gt;=$AE$2)*(L80&gt;=$AG$2)) + ((M80&lt;$AE$2)*(M80&gt;=$AC$2)*(L80&gt;=0))) * IF($AI$2=0, 1, AI80&lt;=$AI$2) * IF($AK$2=0, 1, AK80&lt;=$AK$2) * AND(N80&gt;=$D$1, H80&lt;=$I$2, G80&gt;=$H$2)))</f>
        <v/>
      </c>
      <c r="AF80">
        <f>IF(AE80&gt;0, 1, 0)</f>
        <v/>
      </c>
      <c r="AG80">
        <f>IFERROR(IF(ISNUMBER(W80), IF(AN80, N80*W80*$AN$2, N80*W80), NA()), NA())</f>
        <v/>
      </c>
      <c r="AH80" s="13">
        <f>IFERROR(MIN(AG80, $U$2), 0)</f>
        <v/>
      </c>
      <c r="AI80" s="14">
        <f>IFERROR(VLOOKUP(A80, KEEPA!$A:$AW, 26, FALSE), 0)</f>
        <v/>
      </c>
      <c r="AJ80" s="16">
        <f>IFERROR(IF(AI80=0, 0, (AI80-H80)/H80), 0)</f>
        <v/>
      </c>
      <c r="AK80" s="14">
        <f>IFERROR(VLOOKUP(A80, KEEPA!$A:$AW, 28, FALSE), 0)</f>
        <v/>
      </c>
      <c r="AL80" s="16">
        <f>IFERROR(IF(AK80=0, 0, (AK80-H80)/H80), 0)</f>
        <v/>
      </c>
      <c r="AM80" s="13">
        <f>IFERROR(VLOOKUP(A80, AZInsight_Data!$A:$AS, 34, FALSE), 0)</f>
        <v/>
      </c>
      <c r="AN80">
        <f>IFERROR(AND(VLOOKUP(A80, KEEPA!$A:$AW, 2, FALSE)&lt;=$AO$2, N80 &gt;= $AM$2), FALSE)</f>
        <v/>
      </c>
      <c r="AO80" s="16">
        <f>IFERROR(VLOOKUP(A80, KEEPA!$A:$AW, 24, FALSE), 0)</f>
        <v/>
      </c>
      <c r="AP80" s="16">
        <f>IFERROR(VLOOKUP(A80, KEEPA!$A:$AW, 48, FALSE), 0)</f>
        <v/>
      </c>
      <c r="AQ80">
        <f>IFERROR(VLOOKUP(A80, AZInsight_Data!$A:$AS, 5, FALSE), "SL")</f>
        <v/>
      </c>
      <c r="AR80">
        <f>IF(OR(A80="", A80=0), "", HYPERLINK("https://keepa.com/#!product/1-"&amp;A80, "Keepa"))</f>
        <v/>
      </c>
      <c r="AS80">
        <f>IF(OR(A80="", A80=0), "", HYPERLINK("https://www.amazon.com/dp/"&amp;A80, "Amazon"))</f>
        <v/>
      </c>
      <c r="AT80">
        <f>IF(OR(A80="", A80=0), "", HYPERLINK("https://sellercentral.amazon.com/product-search/search?q="&amp;A80, "Check Gated"))</f>
        <v/>
      </c>
      <c r="AU80" s="12" t="n"/>
      <c r="AV80" s="12" t="n"/>
      <c r="AW80" s="12" t="n"/>
    </row>
    <row r="81">
      <c r="A81" s="12" t="n"/>
      <c r="B81" s="12">
        <f>IFERROR(VLOOKUP(A81, AZInsight_Data!$A:$AS, 3, FALSE), "")</f>
        <v/>
      </c>
      <c r="C81" s="13">
        <f>IFERROR(VLOOKUP(A81, AZInsight_Data!$A:$AS, 9, FALSE), 0)</f>
        <v/>
      </c>
      <c r="D81">
        <f>IFERROR(VLOOKUP(A81, AZInsight_Data!$A:$AS, 17, FALSE), 0)</f>
        <v/>
      </c>
      <c r="E81">
        <f>IFERROR(VLOOKUP(A81, AZInsight_Data!$A:$AS, 18, FALSE), 0)</f>
        <v/>
      </c>
      <c r="F81" s="14">
        <f>IFERROR(VLOOKUP(A81, AZInsight_Data!$A:$AS, 7, FALSE), 0)</f>
        <v/>
      </c>
      <c r="G81" s="15">
        <f>IFERROR(VLOOKUP(A81, AZInsight_Data!$A:$AS, 14, FALSE), 0)</f>
        <v/>
      </c>
      <c r="H81" s="14">
        <f>IFERROR(VLOOKUP(A81, AZInsight_Data!$A:$AS, 8, FALSE), 0)</f>
        <v/>
      </c>
      <c r="I81" s="16">
        <f>IFERROR(VLOOKUP(A81, KEEPA!$A:$AW, 47, FALSE), 0)</f>
        <v/>
      </c>
      <c r="J81">
        <f>IFERROR(VLOOKUP(A81, AZInsight_Data!$A:$AS, 25, FALSE), 0)</f>
        <v/>
      </c>
      <c r="K81" s="15">
        <f>IFERROR(VLOOKUP(A81, AZInsight_Data!$A:$AS, 16, FALSE), 0)</f>
        <v/>
      </c>
      <c r="L81" s="15">
        <f>IFERROR(K81-T81-J81, 0)</f>
        <v/>
      </c>
      <c r="M81" s="16">
        <f>IFERROR(IF(T81=0, 0, L81/T81), 0)</f>
        <v/>
      </c>
      <c r="N81" s="14">
        <f>IFERROR(C81*($V$2/30), 0)</f>
        <v/>
      </c>
      <c r="O81">
        <f>IFERROR(VLOOKUP(A81, AZInsight_Data!$A:$AS, 40, FALSE), 1)</f>
        <v/>
      </c>
      <c r="P81" s="13">
        <f>IF(O81&gt;0, O81, 1)</f>
        <v/>
      </c>
      <c r="Q81" s="13">
        <f>IFERROR(U81/P81, 0)</f>
        <v/>
      </c>
      <c r="R81">
        <f>IFERROR(VLOOKUP(A81, AZInsight_Data!$A:$AS, 36, FALSE), "")</f>
        <v/>
      </c>
      <c r="S81">
        <f>IFERROR(VLOOKUP(A81, AZInsight_Data!$A:$AS, 3, FALSE), "")</f>
        <v/>
      </c>
      <c r="T81" s="17">
        <f>IFERROR(VLOOKUP(A81, AZInsight_Data!$A:$AS, 13, FALSE), 0)</f>
        <v/>
      </c>
      <c r="U81" s="13">
        <f>AH81</f>
        <v/>
      </c>
      <c r="V81" s="15">
        <f>T81*U81</f>
        <v/>
      </c>
      <c r="W81" s="16" t="n"/>
      <c r="X81" s="12">
        <f>IFERROR(VLOOKUP(A81, AZInsight_Data!$A:$AS, 40, FALSE), 1)</f>
        <v/>
      </c>
      <c r="Y81" s="13">
        <f>IFERROR(VLOOKUP(A81, IP Qty!$D:$R, 5, FALSE), 0)</f>
        <v/>
      </c>
      <c r="Z81" s="14">
        <f>IFERROR(VLOOKUP(A81, IP Qty!$D:$R, 6, FALSE), 0)</f>
        <v/>
      </c>
      <c r="AA81">
        <f>IFERROR(VLOOKUP(A81, IP Qty!$D:$R, 7, FALSE), 0)</f>
        <v/>
      </c>
      <c r="AB81">
        <f>IFERROR(VLOOKUP(A81, IP Qty!$D:$R, 9, FALSE), 0)</f>
        <v/>
      </c>
      <c r="AC81">
        <f>IFERROR(VLOOKUP(A81, IP Qty!$D:$R, 8, FALSE), 0)</f>
        <v/>
      </c>
      <c r="AD81" s="14">
        <f>IFERROR(VLOOKUP(A81, KEEPA!$A:$AW, 34, FALSE), 0)</f>
        <v/>
      </c>
      <c r="AE81" s="15">
        <f>IF(P81&gt;1, ((((M81&gt;=$AD$2)*(L81&gt;=$AH$2)) + ((M81&lt;$AD$2)*(M81&gt;=$AE$2)*(L81&gt;=$AG$2)) + ((M81&lt;$AE$2)*(M81&gt;=$AC$2)*(L81&gt;=0)))*2 * IF($AI$2=0, 1, AI81&lt;=$AI$2) * IF($AK$2=0, 1, AK81&lt;=$AK$2) * AND(N81&gt;=$D$1, H81&lt;=$I$2, G81&gt;=$H$2)), ((((M81&gt;=$AD$2)*(L81&gt;=$AH$2)) + ((M81&lt;$AD$2)*(M81&gt;=$AE$2)*(L81&gt;=$AG$2)) + ((M81&lt;$AE$2)*(M81&gt;=$AC$2)*(L81&gt;=0))) * IF($AI$2=0, 1, AI81&lt;=$AI$2) * IF($AK$2=0, 1, AK81&lt;=$AK$2) * AND(N81&gt;=$D$1, H81&lt;=$I$2, G81&gt;=$H$2)))</f>
        <v/>
      </c>
      <c r="AF81">
        <f>IF(AE81&gt;0, 1, 0)</f>
        <v/>
      </c>
      <c r="AG81">
        <f>IFERROR(IF(ISNUMBER(W81), IF(AN81, N81*W81*$AN$2, N81*W81), NA()), NA())</f>
        <v/>
      </c>
      <c r="AH81" s="13">
        <f>IFERROR(MIN(AG81, $U$2), 0)</f>
        <v/>
      </c>
      <c r="AI81" s="14">
        <f>IFERROR(VLOOKUP(A81, KEEPA!$A:$AW, 26, FALSE), 0)</f>
        <v/>
      </c>
      <c r="AJ81" s="16">
        <f>IFERROR(IF(AI81=0, 0, (AI81-H81)/H81), 0)</f>
        <v/>
      </c>
      <c r="AK81" s="14">
        <f>IFERROR(VLOOKUP(A81, KEEPA!$A:$AW, 28, FALSE), 0)</f>
        <v/>
      </c>
      <c r="AL81" s="16">
        <f>IFERROR(IF(AK81=0, 0, (AK81-H81)/H81), 0)</f>
        <v/>
      </c>
      <c r="AM81" s="13">
        <f>IFERROR(VLOOKUP(A81, AZInsight_Data!$A:$AS, 34, FALSE), 0)</f>
        <v/>
      </c>
      <c r="AN81">
        <f>IFERROR(AND(VLOOKUP(A81, KEEPA!$A:$AW, 2, FALSE)&lt;=$AO$2, N81 &gt;= $AM$2), FALSE)</f>
        <v/>
      </c>
      <c r="AO81" s="16">
        <f>IFERROR(VLOOKUP(A81, KEEPA!$A:$AW, 24, FALSE), 0)</f>
        <v/>
      </c>
      <c r="AP81" s="16">
        <f>IFERROR(VLOOKUP(A81, KEEPA!$A:$AW, 48, FALSE), 0)</f>
        <v/>
      </c>
      <c r="AQ81">
        <f>IFERROR(VLOOKUP(A81, AZInsight_Data!$A:$AS, 5, FALSE), "SL")</f>
        <v/>
      </c>
      <c r="AR81">
        <f>IF(OR(A81="", A81=0), "", HYPERLINK("https://keepa.com/#!product/1-"&amp;A81, "Keepa"))</f>
        <v/>
      </c>
      <c r="AS81">
        <f>IF(OR(A81="", A81=0), "", HYPERLINK("https://www.amazon.com/dp/"&amp;A81, "Amazon"))</f>
        <v/>
      </c>
      <c r="AT81">
        <f>IF(OR(A81="", A81=0), "", HYPERLINK("https://sellercentral.amazon.com/product-search/search?q="&amp;A81, "Check Gated"))</f>
        <v/>
      </c>
      <c r="AU81" s="12" t="n"/>
      <c r="AV81" s="12" t="n"/>
      <c r="AW81" s="12" t="n"/>
    </row>
    <row r="82">
      <c r="A82" s="12" t="n"/>
      <c r="B82" s="12">
        <f>IFERROR(VLOOKUP(A82, AZInsight_Data!$A:$AS, 3, FALSE), "")</f>
        <v/>
      </c>
      <c r="C82" s="13">
        <f>IFERROR(VLOOKUP(A82, AZInsight_Data!$A:$AS, 9, FALSE), 0)</f>
        <v/>
      </c>
      <c r="D82">
        <f>IFERROR(VLOOKUP(A82, AZInsight_Data!$A:$AS, 17, FALSE), 0)</f>
        <v/>
      </c>
      <c r="E82">
        <f>IFERROR(VLOOKUP(A82, AZInsight_Data!$A:$AS, 18, FALSE), 0)</f>
        <v/>
      </c>
      <c r="F82" s="14">
        <f>IFERROR(VLOOKUP(A82, AZInsight_Data!$A:$AS, 7, FALSE), 0)</f>
        <v/>
      </c>
      <c r="G82" s="15">
        <f>IFERROR(VLOOKUP(A82, AZInsight_Data!$A:$AS, 14, FALSE), 0)</f>
        <v/>
      </c>
      <c r="H82" s="14">
        <f>IFERROR(VLOOKUP(A82, AZInsight_Data!$A:$AS, 8, FALSE), 0)</f>
        <v/>
      </c>
      <c r="I82" s="16">
        <f>IFERROR(VLOOKUP(A82, KEEPA!$A:$AW, 47, FALSE), 0)</f>
        <v/>
      </c>
      <c r="J82">
        <f>IFERROR(VLOOKUP(A82, AZInsight_Data!$A:$AS, 25, FALSE), 0)</f>
        <v/>
      </c>
      <c r="K82" s="15">
        <f>IFERROR(VLOOKUP(A82, AZInsight_Data!$A:$AS, 16, FALSE), 0)</f>
        <v/>
      </c>
      <c r="L82" s="15">
        <f>IFERROR(K82-T82-J82, 0)</f>
        <v/>
      </c>
      <c r="M82" s="16">
        <f>IFERROR(IF(T82=0, 0, L82/T82), 0)</f>
        <v/>
      </c>
      <c r="N82" s="14">
        <f>IFERROR(C82*($V$2/30), 0)</f>
        <v/>
      </c>
      <c r="O82">
        <f>IFERROR(VLOOKUP(A82, AZInsight_Data!$A:$AS, 40, FALSE), 1)</f>
        <v/>
      </c>
      <c r="P82" s="13">
        <f>IF(O82&gt;0, O82, 1)</f>
        <v/>
      </c>
      <c r="Q82" s="13">
        <f>IFERROR(U82/P82, 0)</f>
        <v/>
      </c>
      <c r="R82">
        <f>IFERROR(VLOOKUP(A82, AZInsight_Data!$A:$AS, 36, FALSE), "")</f>
        <v/>
      </c>
      <c r="S82">
        <f>IFERROR(VLOOKUP(A82, AZInsight_Data!$A:$AS, 3, FALSE), "")</f>
        <v/>
      </c>
      <c r="T82" s="17">
        <f>IFERROR(VLOOKUP(A82, AZInsight_Data!$A:$AS, 13, FALSE), 0)</f>
        <v/>
      </c>
      <c r="U82" s="13">
        <f>AH82</f>
        <v/>
      </c>
      <c r="V82" s="15">
        <f>T82*U82</f>
        <v/>
      </c>
      <c r="W82" s="16" t="n"/>
      <c r="X82" s="12">
        <f>IFERROR(VLOOKUP(A82, AZInsight_Data!$A:$AS, 40, FALSE), 1)</f>
        <v/>
      </c>
      <c r="Y82" s="13">
        <f>IFERROR(VLOOKUP(A82, IP Qty!$D:$R, 5, FALSE), 0)</f>
        <v/>
      </c>
      <c r="Z82" s="14">
        <f>IFERROR(VLOOKUP(A82, IP Qty!$D:$R, 6, FALSE), 0)</f>
        <v/>
      </c>
      <c r="AA82">
        <f>IFERROR(VLOOKUP(A82, IP Qty!$D:$R, 7, FALSE), 0)</f>
        <v/>
      </c>
      <c r="AB82">
        <f>IFERROR(VLOOKUP(A82, IP Qty!$D:$R, 9, FALSE), 0)</f>
        <v/>
      </c>
      <c r="AC82">
        <f>IFERROR(VLOOKUP(A82, IP Qty!$D:$R, 8, FALSE), 0)</f>
        <v/>
      </c>
      <c r="AD82" s="14">
        <f>IFERROR(VLOOKUP(A82, KEEPA!$A:$AW, 34, FALSE), 0)</f>
        <v/>
      </c>
      <c r="AE82" s="15">
        <f>IF(P82&gt;1, ((((M82&gt;=$AD$2)*(L82&gt;=$AH$2)) + ((M82&lt;$AD$2)*(M82&gt;=$AE$2)*(L82&gt;=$AG$2)) + ((M82&lt;$AE$2)*(M82&gt;=$AC$2)*(L82&gt;=0)))*2 * IF($AI$2=0, 1, AI82&lt;=$AI$2) * IF($AK$2=0, 1, AK82&lt;=$AK$2) * AND(N82&gt;=$D$1, H82&lt;=$I$2, G82&gt;=$H$2)), ((((M82&gt;=$AD$2)*(L82&gt;=$AH$2)) + ((M82&lt;$AD$2)*(M82&gt;=$AE$2)*(L82&gt;=$AG$2)) + ((M82&lt;$AE$2)*(M82&gt;=$AC$2)*(L82&gt;=0))) * IF($AI$2=0, 1, AI82&lt;=$AI$2) * IF($AK$2=0, 1, AK82&lt;=$AK$2) * AND(N82&gt;=$D$1, H82&lt;=$I$2, G82&gt;=$H$2)))</f>
        <v/>
      </c>
      <c r="AF82">
        <f>IF(AE82&gt;0, 1, 0)</f>
        <v/>
      </c>
      <c r="AG82">
        <f>IFERROR(IF(ISNUMBER(W82), IF(AN82, N82*W82*$AN$2, N82*W82), NA()), NA())</f>
        <v/>
      </c>
      <c r="AH82" s="13">
        <f>IFERROR(MIN(AG82, $U$2), 0)</f>
        <v/>
      </c>
      <c r="AI82" s="14">
        <f>IFERROR(VLOOKUP(A82, KEEPA!$A:$AW, 26, FALSE), 0)</f>
        <v/>
      </c>
      <c r="AJ82" s="16">
        <f>IFERROR(IF(AI82=0, 0, (AI82-H82)/H82), 0)</f>
        <v/>
      </c>
      <c r="AK82" s="14">
        <f>IFERROR(VLOOKUP(A82, KEEPA!$A:$AW, 28, FALSE), 0)</f>
        <v/>
      </c>
      <c r="AL82" s="16">
        <f>IFERROR(IF(AK82=0, 0, (AK82-H82)/H82), 0)</f>
        <v/>
      </c>
      <c r="AM82" s="13">
        <f>IFERROR(VLOOKUP(A82, AZInsight_Data!$A:$AS, 34, FALSE), 0)</f>
        <v/>
      </c>
      <c r="AN82">
        <f>IFERROR(AND(VLOOKUP(A82, KEEPA!$A:$AW, 2, FALSE)&lt;=$AO$2, N82 &gt;= $AM$2), FALSE)</f>
        <v/>
      </c>
      <c r="AO82" s="16">
        <f>IFERROR(VLOOKUP(A82, KEEPA!$A:$AW, 24, FALSE), 0)</f>
        <v/>
      </c>
      <c r="AP82" s="16">
        <f>IFERROR(VLOOKUP(A82, KEEPA!$A:$AW, 48, FALSE), 0)</f>
        <v/>
      </c>
      <c r="AQ82">
        <f>IFERROR(VLOOKUP(A82, AZInsight_Data!$A:$AS, 5, FALSE), "SL")</f>
        <v/>
      </c>
      <c r="AR82">
        <f>IF(OR(A82="", A82=0), "", HYPERLINK("https://keepa.com/#!product/1-"&amp;A82, "Keepa"))</f>
        <v/>
      </c>
      <c r="AS82">
        <f>IF(OR(A82="", A82=0), "", HYPERLINK("https://www.amazon.com/dp/"&amp;A82, "Amazon"))</f>
        <v/>
      </c>
      <c r="AT82">
        <f>IF(OR(A82="", A82=0), "", HYPERLINK("https://sellercentral.amazon.com/product-search/search?q="&amp;A82, "Check Gated"))</f>
        <v/>
      </c>
      <c r="AU82" s="12" t="n"/>
      <c r="AV82" s="12" t="n"/>
      <c r="AW82" s="12" t="n"/>
    </row>
    <row r="83">
      <c r="A83" s="12" t="n"/>
      <c r="B83" s="12">
        <f>IFERROR(VLOOKUP(A83, AZInsight_Data!$A:$AS, 3, FALSE), "")</f>
        <v/>
      </c>
      <c r="C83" s="13">
        <f>IFERROR(VLOOKUP(A83, AZInsight_Data!$A:$AS, 9, FALSE), 0)</f>
        <v/>
      </c>
      <c r="D83">
        <f>IFERROR(VLOOKUP(A83, AZInsight_Data!$A:$AS, 17, FALSE), 0)</f>
        <v/>
      </c>
      <c r="E83">
        <f>IFERROR(VLOOKUP(A83, AZInsight_Data!$A:$AS, 18, FALSE), 0)</f>
        <v/>
      </c>
      <c r="F83" s="14">
        <f>IFERROR(VLOOKUP(A83, AZInsight_Data!$A:$AS, 7, FALSE), 0)</f>
        <v/>
      </c>
      <c r="G83" s="15">
        <f>IFERROR(VLOOKUP(A83, AZInsight_Data!$A:$AS, 14, FALSE), 0)</f>
        <v/>
      </c>
      <c r="H83" s="14">
        <f>IFERROR(VLOOKUP(A83, AZInsight_Data!$A:$AS, 8, FALSE), 0)</f>
        <v/>
      </c>
      <c r="I83" s="16">
        <f>IFERROR(VLOOKUP(A83, KEEPA!$A:$AW, 47, FALSE), 0)</f>
        <v/>
      </c>
      <c r="J83">
        <f>IFERROR(VLOOKUP(A83, AZInsight_Data!$A:$AS, 25, FALSE), 0)</f>
        <v/>
      </c>
      <c r="K83" s="15">
        <f>IFERROR(VLOOKUP(A83, AZInsight_Data!$A:$AS, 16, FALSE), 0)</f>
        <v/>
      </c>
      <c r="L83" s="15">
        <f>IFERROR(K83-T83-J83, 0)</f>
        <v/>
      </c>
      <c r="M83" s="16">
        <f>IFERROR(IF(T83=0, 0, L83/T83), 0)</f>
        <v/>
      </c>
      <c r="N83" s="14">
        <f>IFERROR(C83*($V$2/30), 0)</f>
        <v/>
      </c>
      <c r="O83">
        <f>IFERROR(VLOOKUP(A83, AZInsight_Data!$A:$AS, 40, FALSE), 1)</f>
        <v/>
      </c>
      <c r="P83" s="13">
        <f>IF(O83&gt;0, O83, 1)</f>
        <v/>
      </c>
      <c r="Q83" s="13">
        <f>IFERROR(U83/P83, 0)</f>
        <v/>
      </c>
      <c r="R83">
        <f>IFERROR(VLOOKUP(A83, AZInsight_Data!$A:$AS, 36, FALSE), "")</f>
        <v/>
      </c>
      <c r="S83">
        <f>IFERROR(VLOOKUP(A83, AZInsight_Data!$A:$AS, 3, FALSE), "")</f>
        <v/>
      </c>
      <c r="T83" s="17">
        <f>IFERROR(VLOOKUP(A83, AZInsight_Data!$A:$AS, 13, FALSE), 0)</f>
        <v/>
      </c>
      <c r="U83" s="13">
        <f>AH83</f>
        <v/>
      </c>
      <c r="V83" s="15">
        <f>T83*U83</f>
        <v/>
      </c>
      <c r="W83" s="16" t="n"/>
      <c r="X83" s="12">
        <f>IFERROR(VLOOKUP(A83, AZInsight_Data!$A:$AS, 40, FALSE), 1)</f>
        <v/>
      </c>
      <c r="Y83" s="13">
        <f>IFERROR(VLOOKUP(A83, IP Qty!$D:$R, 5, FALSE), 0)</f>
        <v/>
      </c>
      <c r="Z83" s="14">
        <f>IFERROR(VLOOKUP(A83, IP Qty!$D:$R, 6, FALSE), 0)</f>
        <v/>
      </c>
      <c r="AA83">
        <f>IFERROR(VLOOKUP(A83, IP Qty!$D:$R, 7, FALSE), 0)</f>
        <v/>
      </c>
      <c r="AB83">
        <f>IFERROR(VLOOKUP(A83, IP Qty!$D:$R, 9, FALSE), 0)</f>
        <v/>
      </c>
      <c r="AC83">
        <f>IFERROR(VLOOKUP(A83, IP Qty!$D:$R, 8, FALSE), 0)</f>
        <v/>
      </c>
      <c r="AD83" s="14">
        <f>IFERROR(VLOOKUP(A83, KEEPA!$A:$AW, 34, FALSE), 0)</f>
        <v/>
      </c>
      <c r="AE83" s="15">
        <f>IF(P83&gt;1, ((((M83&gt;=$AD$2)*(L83&gt;=$AH$2)) + ((M83&lt;$AD$2)*(M83&gt;=$AE$2)*(L83&gt;=$AG$2)) + ((M83&lt;$AE$2)*(M83&gt;=$AC$2)*(L83&gt;=0)))*2 * IF($AI$2=0, 1, AI83&lt;=$AI$2) * IF($AK$2=0, 1, AK83&lt;=$AK$2) * AND(N83&gt;=$D$1, H83&lt;=$I$2, G83&gt;=$H$2)), ((((M83&gt;=$AD$2)*(L83&gt;=$AH$2)) + ((M83&lt;$AD$2)*(M83&gt;=$AE$2)*(L83&gt;=$AG$2)) + ((M83&lt;$AE$2)*(M83&gt;=$AC$2)*(L83&gt;=0))) * IF($AI$2=0, 1, AI83&lt;=$AI$2) * IF($AK$2=0, 1, AK83&lt;=$AK$2) * AND(N83&gt;=$D$1, H83&lt;=$I$2, G83&gt;=$H$2)))</f>
        <v/>
      </c>
      <c r="AF83">
        <f>IF(AE83&gt;0, 1, 0)</f>
        <v/>
      </c>
      <c r="AG83">
        <f>IFERROR(IF(ISNUMBER(W83), IF(AN83, N83*W83*$AN$2, N83*W83), NA()), NA())</f>
        <v/>
      </c>
      <c r="AH83" s="13">
        <f>IFERROR(MIN(AG83, $U$2), 0)</f>
        <v/>
      </c>
      <c r="AI83" s="14">
        <f>IFERROR(VLOOKUP(A83, KEEPA!$A:$AW, 26, FALSE), 0)</f>
        <v/>
      </c>
      <c r="AJ83" s="16">
        <f>IFERROR(IF(AI83=0, 0, (AI83-H83)/H83), 0)</f>
        <v/>
      </c>
      <c r="AK83" s="14">
        <f>IFERROR(VLOOKUP(A83, KEEPA!$A:$AW, 28, FALSE), 0)</f>
        <v/>
      </c>
      <c r="AL83" s="16">
        <f>IFERROR(IF(AK83=0, 0, (AK83-H83)/H83), 0)</f>
        <v/>
      </c>
      <c r="AM83" s="13">
        <f>IFERROR(VLOOKUP(A83, AZInsight_Data!$A:$AS, 34, FALSE), 0)</f>
        <v/>
      </c>
      <c r="AN83">
        <f>IFERROR(AND(VLOOKUP(A83, KEEPA!$A:$AW, 2, FALSE)&lt;=$AO$2, N83 &gt;= $AM$2), FALSE)</f>
        <v/>
      </c>
      <c r="AO83" s="16">
        <f>IFERROR(VLOOKUP(A83, KEEPA!$A:$AW, 24, FALSE), 0)</f>
        <v/>
      </c>
      <c r="AP83" s="16">
        <f>IFERROR(VLOOKUP(A83, KEEPA!$A:$AW, 48, FALSE), 0)</f>
        <v/>
      </c>
      <c r="AQ83">
        <f>IFERROR(VLOOKUP(A83, AZInsight_Data!$A:$AS, 5, FALSE), "SL")</f>
        <v/>
      </c>
      <c r="AR83">
        <f>IF(OR(A83="", A83=0), "", HYPERLINK("https://keepa.com/#!product/1-"&amp;A83, "Keepa"))</f>
        <v/>
      </c>
      <c r="AS83">
        <f>IF(OR(A83="", A83=0), "", HYPERLINK("https://www.amazon.com/dp/"&amp;A83, "Amazon"))</f>
        <v/>
      </c>
      <c r="AT83">
        <f>IF(OR(A83="", A83=0), "", HYPERLINK("https://sellercentral.amazon.com/product-search/search?q="&amp;A83, "Check Gated"))</f>
        <v/>
      </c>
      <c r="AU83" s="12" t="n"/>
      <c r="AV83" s="12" t="n"/>
      <c r="AW83" s="12" t="n"/>
    </row>
    <row r="84">
      <c r="A84" s="12" t="n"/>
      <c r="B84" s="12">
        <f>IFERROR(VLOOKUP(A84, AZInsight_Data!$A:$AS, 3, FALSE), "")</f>
        <v/>
      </c>
      <c r="C84" s="13">
        <f>IFERROR(VLOOKUP(A84, AZInsight_Data!$A:$AS, 9, FALSE), 0)</f>
        <v/>
      </c>
      <c r="D84">
        <f>IFERROR(VLOOKUP(A84, AZInsight_Data!$A:$AS, 17, FALSE), 0)</f>
        <v/>
      </c>
      <c r="E84">
        <f>IFERROR(VLOOKUP(A84, AZInsight_Data!$A:$AS, 18, FALSE), 0)</f>
        <v/>
      </c>
      <c r="F84" s="14">
        <f>IFERROR(VLOOKUP(A84, AZInsight_Data!$A:$AS, 7, FALSE), 0)</f>
        <v/>
      </c>
      <c r="G84" s="15">
        <f>IFERROR(VLOOKUP(A84, AZInsight_Data!$A:$AS, 14, FALSE), 0)</f>
        <v/>
      </c>
      <c r="H84" s="14">
        <f>IFERROR(VLOOKUP(A84, AZInsight_Data!$A:$AS, 8, FALSE), 0)</f>
        <v/>
      </c>
      <c r="I84" s="16">
        <f>IFERROR(VLOOKUP(A84, KEEPA!$A:$AW, 47, FALSE), 0)</f>
        <v/>
      </c>
      <c r="J84">
        <f>IFERROR(VLOOKUP(A84, AZInsight_Data!$A:$AS, 25, FALSE), 0)</f>
        <v/>
      </c>
      <c r="K84" s="15">
        <f>IFERROR(VLOOKUP(A84, AZInsight_Data!$A:$AS, 16, FALSE), 0)</f>
        <v/>
      </c>
      <c r="L84" s="15">
        <f>IFERROR(K84-T84-J84, 0)</f>
        <v/>
      </c>
      <c r="M84" s="16">
        <f>IFERROR(IF(T84=0, 0, L84/T84), 0)</f>
        <v/>
      </c>
      <c r="N84" s="14">
        <f>IFERROR(C84*($V$2/30), 0)</f>
        <v/>
      </c>
      <c r="O84">
        <f>IFERROR(VLOOKUP(A84, AZInsight_Data!$A:$AS, 40, FALSE), 1)</f>
        <v/>
      </c>
      <c r="P84" s="13">
        <f>IF(O84&gt;0, O84, 1)</f>
        <v/>
      </c>
      <c r="Q84" s="13">
        <f>IFERROR(U84/P84, 0)</f>
        <v/>
      </c>
      <c r="R84">
        <f>IFERROR(VLOOKUP(A84, AZInsight_Data!$A:$AS, 36, FALSE), "")</f>
        <v/>
      </c>
      <c r="S84">
        <f>IFERROR(VLOOKUP(A84, AZInsight_Data!$A:$AS, 3, FALSE), "")</f>
        <v/>
      </c>
      <c r="T84" s="17">
        <f>IFERROR(VLOOKUP(A84, AZInsight_Data!$A:$AS, 13, FALSE), 0)</f>
        <v/>
      </c>
      <c r="U84" s="13">
        <f>AH84</f>
        <v/>
      </c>
      <c r="V84" s="15">
        <f>T84*U84</f>
        <v/>
      </c>
      <c r="W84" s="16" t="n"/>
      <c r="X84" s="12">
        <f>IFERROR(VLOOKUP(A84, AZInsight_Data!$A:$AS, 40, FALSE), 1)</f>
        <v/>
      </c>
      <c r="Y84" s="13">
        <f>IFERROR(VLOOKUP(A84, IP Qty!$D:$R, 5, FALSE), 0)</f>
        <v/>
      </c>
      <c r="Z84" s="14">
        <f>IFERROR(VLOOKUP(A84, IP Qty!$D:$R, 6, FALSE), 0)</f>
        <v/>
      </c>
      <c r="AA84">
        <f>IFERROR(VLOOKUP(A84, IP Qty!$D:$R, 7, FALSE), 0)</f>
        <v/>
      </c>
      <c r="AB84">
        <f>IFERROR(VLOOKUP(A84, IP Qty!$D:$R, 9, FALSE), 0)</f>
        <v/>
      </c>
      <c r="AC84">
        <f>IFERROR(VLOOKUP(A84, IP Qty!$D:$R, 8, FALSE), 0)</f>
        <v/>
      </c>
      <c r="AD84" s="14">
        <f>IFERROR(VLOOKUP(A84, KEEPA!$A:$AW, 34, FALSE), 0)</f>
        <v/>
      </c>
      <c r="AE84" s="15">
        <f>IF(P84&gt;1, ((((M84&gt;=$AD$2)*(L84&gt;=$AH$2)) + ((M84&lt;$AD$2)*(M84&gt;=$AE$2)*(L84&gt;=$AG$2)) + ((M84&lt;$AE$2)*(M84&gt;=$AC$2)*(L84&gt;=0)))*2 * IF($AI$2=0, 1, AI84&lt;=$AI$2) * IF($AK$2=0, 1, AK84&lt;=$AK$2) * AND(N84&gt;=$D$1, H84&lt;=$I$2, G84&gt;=$H$2)), ((((M84&gt;=$AD$2)*(L84&gt;=$AH$2)) + ((M84&lt;$AD$2)*(M84&gt;=$AE$2)*(L84&gt;=$AG$2)) + ((M84&lt;$AE$2)*(M84&gt;=$AC$2)*(L84&gt;=0))) * IF($AI$2=0, 1, AI84&lt;=$AI$2) * IF($AK$2=0, 1, AK84&lt;=$AK$2) * AND(N84&gt;=$D$1, H84&lt;=$I$2, G84&gt;=$H$2)))</f>
        <v/>
      </c>
      <c r="AF84">
        <f>IF(AE84&gt;0, 1, 0)</f>
        <v/>
      </c>
      <c r="AG84">
        <f>IFERROR(IF(ISNUMBER(W84), IF(AN84, N84*W84*$AN$2, N84*W84), NA()), NA())</f>
        <v/>
      </c>
      <c r="AH84" s="13">
        <f>IFERROR(MIN(AG84, $U$2), 0)</f>
        <v/>
      </c>
      <c r="AI84" s="14">
        <f>IFERROR(VLOOKUP(A84, KEEPA!$A:$AW, 26, FALSE), 0)</f>
        <v/>
      </c>
      <c r="AJ84" s="16">
        <f>IFERROR(IF(AI84=0, 0, (AI84-H84)/H84), 0)</f>
        <v/>
      </c>
      <c r="AK84" s="14">
        <f>IFERROR(VLOOKUP(A84, KEEPA!$A:$AW, 28, FALSE), 0)</f>
        <v/>
      </c>
      <c r="AL84" s="16">
        <f>IFERROR(IF(AK84=0, 0, (AK84-H84)/H84), 0)</f>
        <v/>
      </c>
      <c r="AM84" s="13">
        <f>IFERROR(VLOOKUP(A84, AZInsight_Data!$A:$AS, 34, FALSE), 0)</f>
        <v/>
      </c>
      <c r="AN84">
        <f>IFERROR(AND(VLOOKUP(A84, KEEPA!$A:$AW, 2, FALSE)&lt;=$AO$2, N84 &gt;= $AM$2), FALSE)</f>
        <v/>
      </c>
      <c r="AO84" s="16">
        <f>IFERROR(VLOOKUP(A84, KEEPA!$A:$AW, 24, FALSE), 0)</f>
        <v/>
      </c>
      <c r="AP84" s="16">
        <f>IFERROR(VLOOKUP(A84, KEEPA!$A:$AW, 48, FALSE), 0)</f>
        <v/>
      </c>
      <c r="AQ84">
        <f>IFERROR(VLOOKUP(A84, AZInsight_Data!$A:$AS, 5, FALSE), "SL")</f>
        <v/>
      </c>
      <c r="AR84">
        <f>IF(OR(A84="", A84=0), "", HYPERLINK("https://keepa.com/#!product/1-"&amp;A84, "Keepa"))</f>
        <v/>
      </c>
      <c r="AS84">
        <f>IF(OR(A84="", A84=0), "", HYPERLINK("https://www.amazon.com/dp/"&amp;A84, "Amazon"))</f>
        <v/>
      </c>
      <c r="AT84">
        <f>IF(OR(A84="", A84=0), "", HYPERLINK("https://sellercentral.amazon.com/product-search/search?q="&amp;A84, "Check Gated"))</f>
        <v/>
      </c>
      <c r="AU84" s="12" t="n"/>
      <c r="AV84" s="12" t="n"/>
      <c r="AW84" s="12" t="n"/>
    </row>
    <row r="85">
      <c r="A85" s="12" t="n"/>
      <c r="B85" s="12">
        <f>IFERROR(VLOOKUP(A85, AZInsight_Data!$A:$AS, 3, FALSE), "")</f>
        <v/>
      </c>
      <c r="C85" s="13">
        <f>IFERROR(VLOOKUP(A85, AZInsight_Data!$A:$AS, 9, FALSE), 0)</f>
        <v/>
      </c>
      <c r="D85">
        <f>IFERROR(VLOOKUP(A85, AZInsight_Data!$A:$AS, 17, FALSE), 0)</f>
        <v/>
      </c>
      <c r="E85">
        <f>IFERROR(VLOOKUP(A85, AZInsight_Data!$A:$AS, 18, FALSE), 0)</f>
        <v/>
      </c>
      <c r="F85" s="14">
        <f>IFERROR(VLOOKUP(A85, AZInsight_Data!$A:$AS, 7, FALSE), 0)</f>
        <v/>
      </c>
      <c r="G85" s="15">
        <f>IFERROR(VLOOKUP(A85, AZInsight_Data!$A:$AS, 14, FALSE), 0)</f>
        <v/>
      </c>
      <c r="H85" s="14">
        <f>IFERROR(VLOOKUP(A85, AZInsight_Data!$A:$AS, 8, FALSE), 0)</f>
        <v/>
      </c>
      <c r="I85" s="16">
        <f>IFERROR(VLOOKUP(A85, KEEPA!$A:$AW, 47, FALSE), 0)</f>
        <v/>
      </c>
      <c r="J85">
        <f>IFERROR(VLOOKUP(A85, AZInsight_Data!$A:$AS, 25, FALSE), 0)</f>
        <v/>
      </c>
      <c r="K85" s="15">
        <f>IFERROR(VLOOKUP(A85, AZInsight_Data!$A:$AS, 16, FALSE), 0)</f>
        <v/>
      </c>
      <c r="L85" s="15">
        <f>IFERROR(K85-T85-J85, 0)</f>
        <v/>
      </c>
      <c r="M85" s="16">
        <f>IFERROR(IF(T85=0, 0, L85/T85), 0)</f>
        <v/>
      </c>
      <c r="N85" s="14">
        <f>IFERROR(C85*($V$2/30), 0)</f>
        <v/>
      </c>
      <c r="O85">
        <f>IFERROR(VLOOKUP(A85, AZInsight_Data!$A:$AS, 40, FALSE), 1)</f>
        <v/>
      </c>
      <c r="P85" s="13">
        <f>IF(O85&gt;0, O85, 1)</f>
        <v/>
      </c>
      <c r="Q85" s="13">
        <f>IFERROR(U85/P85, 0)</f>
        <v/>
      </c>
      <c r="R85">
        <f>IFERROR(VLOOKUP(A85, AZInsight_Data!$A:$AS, 36, FALSE), "")</f>
        <v/>
      </c>
      <c r="S85">
        <f>IFERROR(VLOOKUP(A85, AZInsight_Data!$A:$AS, 3, FALSE), "")</f>
        <v/>
      </c>
      <c r="T85" s="17">
        <f>IFERROR(VLOOKUP(A85, AZInsight_Data!$A:$AS, 13, FALSE), 0)</f>
        <v/>
      </c>
      <c r="U85" s="13">
        <f>AH85</f>
        <v/>
      </c>
      <c r="V85" s="15">
        <f>T85*U85</f>
        <v/>
      </c>
      <c r="W85" s="16" t="n"/>
      <c r="X85" s="12">
        <f>IFERROR(VLOOKUP(A85, AZInsight_Data!$A:$AS, 40, FALSE), 1)</f>
        <v/>
      </c>
      <c r="Y85" s="13">
        <f>IFERROR(VLOOKUP(A85, IP Qty!$D:$R, 5, FALSE), 0)</f>
        <v/>
      </c>
      <c r="Z85" s="14">
        <f>IFERROR(VLOOKUP(A85, IP Qty!$D:$R, 6, FALSE), 0)</f>
        <v/>
      </c>
      <c r="AA85">
        <f>IFERROR(VLOOKUP(A85, IP Qty!$D:$R, 7, FALSE), 0)</f>
        <v/>
      </c>
      <c r="AB85">
        <f>IFERROR(VLOOKUP(A85, IP Qty!$D:$R, 9, FALSE), 0)</f>
        <v/>
      </c>
      <c r="AC85">
        <f>IFERROR(VLOOKUP(A85, IP Qty!$D:$R, 8, FALSE), 0)</f>
        <v/>
      </c>
      <c r="AD85" s="14">
        <f>IFERROR(VLOOKUP(A85, KEEPA!$A:$AW, 34, FALSE), 0)</f>
        <v/>
      </c>
      <c r="AE85" s="15">
        <f>IF(P85&gt;1, ((((M85&gt;=$AD$2)*(L85&gt;=$AH$2)) + ((M85&lt;$AD$2)*(M85&gt;=$AE$2)*(L85&gt;=$AG$2)) + ((M85&lt;$AE$2)*(M85&gt;=$AC$2)*(L85&gt;=0)))*2 * IF($AI$2=0, 1, AI85&lt;=$AI$2) * IF($AK$2=0, 1, AK85&lt;=$AK$2) * AND(N85&gt;=$D$1, H85&lt;=$I$2, G85&gt;=$H$2)), ((((M85&gt;=$AD$2)*(L85&gt;=$AH$2)) + ((M85&lt;$AD$2)*(M85&gt;=$AE$2)*(L85&gt;=$AG$2)) + ((M85&lt;$AE$2)*(M85&gt;=$AC$2)*(L85&gt;=0))) * IF($AI$2=0, 1, AI85&lt;=$AI$2) * IF($AK$2=0, 1, AK85&lt;=$AK$2) * AND(N85&gt;=$D$1, H85&lt;=$I$2, G85&gt;=$H$2)))</f>
        <v/>
      </c>
      <c r="AF85">
        <f>IF(AE85&gt;0, 1, 0)</f>
        <v/>
      </c>
      <c r="AG85">
        <f>IFERROR(IF(ISNUMBER(W85), IF(AN85, N85*W85*$AN$2, N85*W85), NA()), NA())</f>
        <v/>
      </c>
      <c r="AH85" s="13">
        <f>IFERROR(MIN(AG85, $U$2), 0)</f>
        <v/>
      </c>
      <c r="AI85" s="14">
        <f>IFERROR(VLOOKUP(A85, KEEPA!$A:$AW, 26, FALSE), 0)</f>
        <v/>
      </c>
      <c r="AJ85" s="16">
        <f>IFERROR(IF(AI85=0, 0, (AI85-H85)/H85), 0)</f>
        <v/>
      </c>
      <c r="AK85" s="14">
        <f>IFERROR(VLOOKUP(A85, KEEPA!$A:$AW, 28, FALSE), 0)</f>
        <v/>
      </c>
      <c r="AL85" s="16">
        <f>IFERROR(IF(AK85=0, 0, (AK85-H85)/H85), 0)</f>
        <v/>
      </c>
      <c r="AM85" s="13">
        <f>IFERROR(VLOOKUP(A85, AZInsight_Data!$A:$AS, 34, FALSE), 0)</f>
        <v/>
      </c>
      <c r="AN85">
        <f>IFERROR(AND(VLOOKUP(A85, KEEPA!$A:$AW, 2, FALSE)&lt;=$AO$2, N85 &gt;= $AM$2), FALSE)</f>
        <v/>
      </c>
      <c r="AO85" s="16">
        <f>IFERROR(VLOOKUP(A85, KEEPA!$A:$AW, 24, FALSE), 0)</f>
        <v/>
      </c>
      <c r="AP85" s="16">
        <f>IFERROR(VLOOKUP(A85, KEEPA!$A:$AW, 48, FALSE), 0)</f>
        <v/>
      </c>
      <c r="AQ85">
        <f>IFERROR(VLOOKUP(A85, AZInsight_Data!$A:$AS, 5, FALSE), "SL")</f>
        <v/>
      </c>
      <c r="AR85">
        <f>IF(OR(A85="", A85=0), "", HYPERLINK("https://keepa.com/#!product/1-"&amp;A85, "Keepa"))</f>
        <v/>
      </c>
      <c r="AS85">
        <f>IF(OR(A85="", A85=0), "", HYPERLINK("https://www.amazon.com/dp/"&amp;A85, "Amazon"))</f>
        <v/>
      </c>
      <c r="AT85">
        <f>IF(OR(A85="", A85=0), "", HYPERLINK("https://sellercentral.amazon.com/product-search/search?q="&amp;A85, "Check Gated"))</f>
        <v/>
      </c>
      <c r="AU85" s="12" t="n"/>
      <c r="AV85" s="12" t="n"/>
      <c r="AW85" s="12" t="n"/>
    </row>
    <row r="86">
      <c r="A86" s="12" t="n"/>
      <c r="B86" s="12">
        <f>IFERROR(VLOOKUP(A86, AZInsight_Data!$A:$AS, 3, FALSE), "")</f>
        <v/>
      </c>
      <c r="C86" s="13">
        <f>IFERROR(VLOOKUP(A86, AZInsight_Data!$A:$AS, 9, FALSE), 0)</f>
        <v/>
      </c>
      <c r="D86">
        <f>IFERROR(VLOOKUP(A86, AZInsight_Data!$A:$AS, 17, FALSE), 0)</f>
        <v/>
      </c>
      <c r="E86">
        <f>IFERROR(VLOOKUP(A86, AZInsight_Data!$A:$AS, 18, FALSE), 0)</f>
        <v/>
      </c>
      <c r="F86" s="14">
        <f>IFERROR(VLOOKUP(A86, AZInsight_Data!$A:$AS, 7, FALSE), 0)</f>
        <v/>
      </c>
      <c r="G86" s="15">
        <f>IFERROR(VLOOKUP(A86, AZInsight_Data!$A:$AS, 14, FALSE), 0)</f>
        <v/>
      </c>
      <c r="H86" s="14">
        <f>IFERROR(VLOOKUP(A86, AZInsight_Data!$A:$AS, 8, FALSE), 0)</f>
        <v/>
      </c>
      <c r="I86" s="16">
        <f>IFERROR(VLOOKUP(A86, KEEPA!$A:$AW, 47, FALSE), 0)</f>
        <v/>
      </c>
      <c r="J86">
        <f>IFERROR(VLOOKUP(A86, AZInsight_Data!$A:$AS, 25, FALSE), 0)</f>
        <v/>
      </c>
      <c r="K86" s="15">
        <f>IFERROR(VLOOKUP(A86, AZInsight_Data!$A:$AS, 16, FALSE), 0)</f>
        <v/>
      </c>
      <c r="L86" s="15">
        <f>IFERROR(K86-T86-J86, 0)</f>
        <v/>
      </c>
      <c r="M86" s="16">
        <f>IFERROR(IF(T86=0, 0, L86/T86), 0)</f>
        <v/>
      </c>
      <c r="N86" s="14">
        <f>IFERROR(C86*($V$2/30), 0)</f>
        <v/>
      </c>
      <c r="O86">
        <f>IFERROR(VLOOKUP(A86, AZInsight_Data!$A:$AS, 40, FALSE), 1)</f>
        <v/>
      </c>
      <c r="P86" s="13">
        <f>IF(O86&gt;0, O86, 1)</f>
        <v/>
      </c>
      <c r="Q86" s="13">
        <f>IFERROR(U86/P86, 0)</f>
        <v/>
      </c>
      <c r="R86">
        <f>IFERROR(VLOOKUP(A86, AZInsight_Data!$A:$AS, 36, FALSE), "")</f>
        <v/>
      </c>
      <c r="S86">
        <f>IFERROR(VLOOKUP(A86, AZInsight_Data!$A:$AS, 3, FALSE), "")</f>
        <v/>
      </c>
      <c r="T86" s="17">
        <f>IFERROR(VLOOKUP(A86, AZInsight_Data!$A:$AS, 13, FALSE), 0)</f>
        <v/>
      </c>
      <c r="U86" s="13">
        <f>AH86</f>
        <v/>
      </c>
      <c r="V86" s="15">
        <f>T86*U86</f>
        <v/>
      </c>
      <c r="W86" s="16" t="n"/>
      <c r="X86" s="12">
        <f>IFERROR(VLOOKUP(A86, AZInsight_Data!$A:$AS, 40, FALSE), 1)</f>
        <v/>
      </c>
      <c r="Y86" s="13">
        <f>IFERROR(VLOOKUP(A86, IP Qty!$D:$R, 5, FALSE), 0)</f>
        <v/>
      </c>
      <c r="Z86" s="14">
        <f>IFERROR(VLOOKUP(A86, IP Qty!$D:$R, 6, FALSE), 0)</f>
        <v/>
      </c>
      <c r="AA86">
        <f>IFERROR(VLOOKUP(A86, IP Qty!$D:$R, 7, FALSE), 0)</f>
        <v/>
      </c>
      <c r="AB86">
        <f>IFERROR(VLOOKUP(A86, IP Qty!$D:$R, 9, FALSE), 0)</f>
        <v/>
      </c>
      <c r="AC86">
        <f>IFERROR(VLOOKUP(A86, IP Qty!$D:$R, 8, FALSE), 0)</f>
        <v/>
      </c>
      <c r="AD86" s="14">
        <f>IFERROR(VLOOKUP(A86, KEEPA!$A:$AW, 34, FALSE), 0)</f>
        <v/>
      </c>
      <c r="AE86" s="15">
        <f>IF(P86&gt;1, ((((M86&gt;=$AD$2)*(L86&gt;=$AH$2)) + ((M86&lt;$AD$2)*(M86&gt;=$AE$2)*(L86&gt;=$AG$2)) + ((M86&lt;$AE$2)*(M86&gt;=$AC$2)*(L86&gt;=0)))*2 * IF($AI$2=0, 1, AI86&lt;=$AI$2) * IF($AK$2=0, 1, AK86&lt;=$AK$2) * AND(N86&gt;=$D$1, H86&lt;=$I$2, G86&gt;=$H$2)), ((((M86&gt;=$AD$2)*(L86&gt;=$AH$2)) + ((M86&lt;$AD$2)*(M86&gt;=$AE$2)*(L86&gt;=$AG$2)) + ((M86&lt;$AE$2)*(M86&gt;=$AC$2)*(L86&gt;=0))) * IF($AI$2=0, 1, AI86&lt;=$AI$2) * IF($AK$2=0, 1, AK86&lt;=$AK$2) * AND(N86&gt;=$D$1, H86&lt;=$I$2, G86&gt;=$H$2)))</f>
        <v/>
      </c>
      <c r="AF86">
        <f>IF(AE86&gt;0, 1, 0)</f>
        <v/>
      </c>
      <c r="AG86">
        <f>IFERROR(IF(ISNUMBER(W86), IF(AN86, N86*W86*$AN$2, N86*W86), NA()), NA())</f>
        <v/>
      </c>
      <c r="AH86" s="13">
        <f>IFERROR(MIN(AG86, $U$2), 0)</f>
        <v/>
      </c>
      <c r="AI86" s="14">
        <f>IFERROR(VLOOKUP(A86, KEEPA!$A:$AW, 26, FALSE), 0)</f>
        <v/>
      </c>
      <c r="AJ86" s="16">
        <f>IFERROR(IF(AI86=0, 0, (AI86-H86)/H86), 0)</f>
        <v/>
      </c>
      <c r="AK86" s="14">
        <f>IFERROR(VLOOKUP(A86, KEEPA!$A:$AW, 28, FALSE), 0)</f>
        <v/>
      </c>
      <c r="AL86" s="16">
        <f>IFERROR(IF(AK86=0, 0, (AK86-H86)/H86), 0)</f>
        <v/>
      </c>
      <c r="AM86" s="13">
        <f>IFERROR(VLOOKUP(A86, AZInsight_Data!$A:$AS, 34, FALSE), 0)</f>
        <v/>
      </c>
      <c r="AN86">
        <f>IFERROR(AND(VLOOKUP(A86, KEEPA!$A:$AW, 2, FALSE)&lt;=$AO$2, N86 &gt;= $AM$2), FALSE)</f>
        <v/>
      </c>
      <c r="AO86" s="16">
        <f>IFERROR(VLOOKUP(A86, KEEPA!$A:$AW, 24, FALSE), 0)</f>
        <v/>
      </c>
      <c r="AP86" s="16">
        <f>IFERROR(VLOOKUP(A86, KEEPA!$A:$AW, 48, FALSE), 0)</f>
        <v/>
      </c>
      <c r="AQ86">
        <f>IFERROR(VLOOKUP(A86, AZInsight_Data!$A:$AS, 5, FALSE), "SL")</f>
        <v/>
      </c>
      <c r="AR86">
        <f>IF(OR(A86="", A86=0), "", HYPERLINK("https://keepa.com/#!product/1-"&amp;A86, "Keepa"))</f>
        <v/>
      </c>
      <c r="AS86">
        <f>IF(OR(A86="", A86=0), "", HYPERLINK("https://www.amazon.com/dp/"&amp;A86, "Amazon"))</f>
        <v/>
      </c>
      <c r="AT86">
        <f>IF(OR(A86="", A86=0), "", HYPERLINK("https://sellercentral.amazon.com/product-search/search?q="&amp;A86, "Check Gated"))</f>
        <v/>
      </c>
      <c r="AU86" s="12" t="n"/>
      <c r="AV86" s="12" t="n"/>
      <c r="AW86" s="12" t="n"/>
    </row>
    <row r="87">
      <c r="A87" s="12" t="n"/>
      <c r="B87" s="12">
        <f>IFERROR(VLOOKUP(A87, AZInsight_Data!$A:$AS, 3, FALSE), "")</f>
        <v/>
      </c>
      <c r="C87" s="13">
        <f>IFERROR(VLOOKUP(A87, AZInsight_Data!$A:$AS, 9, FALSE), 0)</f>
        <v/>
      </c>
      <c r="D87">
        <f>IFERROR(VLOOKUP(A87, AZInsight_Data!$A:$AS, 17, FALSE), 0)</f>
        <v/>
      </c>
      <c r="E87">
        <f>IFERROR(VLOOKUP(A87, AZInsight_Data!$A:$AS, 18, FALSE), 0)</f>
        <v/>
      </c>
      <c r="F87" s="14">
        <f>IFERROR(VLOOKUP(A87, AZInsight_Data!$A:$AS, 7, FALSE), 0)</f>
        <v/>
      </c>
      <c r="G87" s="15">
        <f>IFERROR(VLOOKUP(A87, AZInsight_Data!$A:$AS, 14, FALSE), 0)</f>
        <v/>
      </c>
      <c r="H87" s="14">
        <f>IFERROR(VLOOKUP(A87, AZInsight_Data!$A:$AS, 8, FALSE), 0)</f>
        <v/>
      </c>
      <c r="I87" s="16">
        <f>IFERROR(VLOOKUP(A87, KEEPA!$A:$AW, 47, FALSE), 0)</f>
        <v/>
      </c>
      <c r="J87">
        <f>IFERROR(VLOOKUP(A87, AZInsight_Data!$A:$AS, 25, FALSE), 0)</f>
        <v/>
      </c>
      <c r="K87" s="15">
        <f>IFERROR(VLOOKUP(A87, AZInsight_Data!$A:$AS, 16, FALSE), 0)</f>
        <v/>
      </c>
      <c r="L87" s="15">
        <f>IFERROR(K87-T87-J87, 0)</f>
        <v/>
      </c>
      <c r="M87" s="16">
        <f>IFERROR(IF(T87=0, 0, L87/T87), 0)</f>
        <v/>
      </c>
      <c r="N87" s="14">
        <f>IFERROR(C87*($V$2/30), 0)</f>
        <v/>
      </c>
      <c r="O87">
        <f>IFERROR(VLOOKUP(A87, AZInsight_Data!$A:$AS, 40, FALSE), 1)</f>
        <v/>
      </c>
      <c r="P87" s="13">
        <f>IF(O87&gt;0, O87, 1)</f>
        <v/>
      </c>
      <c r="Q87" s="13">
        <f>IFERROR(U87/P87, 0)</f>
        <v/>
      </c>
      <c r="R87">
        <f>IFERROR(VLOOKUP(A87, AZInsight_Data!$A:$AS, 36, FALSE), "")</f>
        <v/>
      </c>
      <c r="S87">
        <f>IFERROR(VLOOKUP(A87, AZInsight_Data!$A:$AS, 3, FALSE), "")</f>
        <v/>
      </c>
      <c r="T87" s="17">
        <f>IFERROR(VLOOKUP(A87, AZInsight_Data!$A:$AS, 13, FALSE), 0)</f>
        <v/>
      </c>
      <c r="U87" s="13">
        <f>AH87</f>
        <v/>
      </c>
      <c r="V87" s="15">
        <f>T87*U87</f>
        <v/>
      </c>
      <c r="W87" s="16" t="n"/>
      <c r="X87" s="12">
        <f>IFERROR(VLOOKUP(A87, AZInsight_Data!$A:$AS, 40, FALSE), 1)</f>
        <v/>
      </c>
      <c r="Y87" s="13">
        <f>IFERROR(VLOOKUP(A87, IP Qty!$D:$R, 5, FALSE), 0)</f>
        <v/>
      </c>
      <c r="Z87" s="14">
        <f>IFERROR(VLOOKUP(A87, IP Qty!$D:$R, 6, FALSE), 0)</f>
        <v/>
      </c>
      <c r="AA87">
        <f>IFERROR(VLOOKUP(A87, IP Qty!$D:$R, 7, FALSE), 0)</f>
        <v/>
      </c>
      <c r="AB87">
        <f>IFERROR(VLOOKUP(A87, IP Qty!$D:$R, 9, FALSE), 0)</f>
        <v/>
      </c>
      <c r="AC87">
        <f>IFERROR(VLOOKUP(A87, IP Qty!$D:$R, 8, FALSE), 0)</f>
        <v/>
      </c>
      <c r="AD87" s="14">
        <f>IFERROR(VLOOKUP(A87, KEEPA!$A:$AW, 34, FALSE), 0)</f>
        <v/>
      </c>
      <c r="AE87" s="15">
        <f>IF(P87&gt;1, ((((M87&gt;=$AD$2)*(L87&gt;=$AH$2)) + ((M87&lt;$AD$2)*(M87&gt;=$AE$2)*(L87&gt;=$AG$2)) + ((M87&lt;$AE$2)*(M87&gt;=$AC$2)*(L87&gt;=0)))*2 * IF($AI$2=0, 1, AI87&lt;=$AI$2) * IF($AK$2=0, 1, AK87&lt;=$AK$2) * AND(N87&gt;=$D$1, H87&lt;=$I$2, G87&gt;=$H$2)), ((((M87&gt;=$AD$2)*(L87&gt;=$AH$2)) + ((M87&lt;$AD$2)*(M87&gt;=$AE$2)*(L87&gt;=$AG$2)) + ((M87&lt;$AE$2)*(M87&gt;=$AC$2)*(L87&gt;=0))) * IF($AI$2=0, 1, AI87&lt;=$AI$2) * IF($AK$2=0, 1, AK87&lt;=$AK$2) * AND(N87&gt;=$D$1, H87&lt;=$I$2, G87&gt;=$H$2)))</f>
        <v/>
      </c>
      <c r="AF87">
        <f>IF(AE87&gt;0, 1, 0)</f>
        <v/>
      </c>
      <c r="AG87">
        <f>IFERROR(IF(ISNUMBER(W87), IF(AN87, N87*W87*$AN$2, N87*W87), NA()), NA())</f>
        <v/>
      </c>
      <c r="AH87" s="13">
        <f>IFERROR(MIN(AG87, $U$2), 0)</f>
        <v/>
      </c>
      <c r="AI87" s="14">
        <f>IFERROR(VLOOKUP(A87, KEEPA!$A:$AW, 26, FALSE), 0)</f>
        <v/>
      </c>
      <c r="AJ87" s="16">
        <f>IFERROR(IF(AI87=0, 0, (AI87-H87)/H87), 0)</f>
        <v/>
      </c>
      <c r="AK87" s="14">
        <f>IFERROR(VLOOKUP(A87, KEEPA!$A:$AW, 28, FALSE), 0)</f>
        <v/>
      </c>
      <c r="AL87" s="16">
        <f>IFERROR(IF(AK87=0, 0, (AK87-H87)/H87), 0)</f>
        <v/>
      </c>
      <c r="AM87" s="13">
        <f>IFERROR(VLOOKUP(A87, AZInsight_Data!$A:$AS, 34, FALSE), 0)</f>
        <v/>
      </c>
      <c r="AN87">
        <f>IFERROR(AND(VLOOKUP(A87, KEEPA!$A:$AW, 2, FALSE)&lt;=$AO$2, N87 &gt;= $AM$2), FALSE)</f>
        <v/>
      </c>
      <c r="AO87" s="16">
        <f>IFERROR(VLOOKUP(A87, KEEPA!$A:$AW, 24, FALSE), 0)</f>
        <v/>
      </c>
      <c r="AP87" s="16">
        <f>IFERROR(VLOOKUP(A87, KEEPA!$A:$AW, 48, FALSE), 0)</f>
        <v/>
      </c>
      <c r="AQ87">
        <f>IFERROR(VLOOKUP(A87, AZInsight_Data!$A:$AS, 5, FALSE), "SL")</f>
        <v/>
      </c>
      <c r="AR87">
        <f>IF(OR(A87="", A87=0), "", HYPERLINK("https://keepa.com/#!product/1-"&amp;A87, "Keepa"))</f>
        <v/>
      </c>
      <c r="AS87">
        <f>IF(OR(A87="", A87=0), "", HYPERLINK("https://www.amazon.com/dp/"&amp;A87, "Amazon"))</f>
        <v/>
      </c>
      <c r="AT87">
        <f>IF(OR(A87="", A87=0), "", HYPERLINK("https://sellercentral.amazon.com/product-search/search?q="&amp;A87, "Check Gated"))</f>
        <v/>
      </c>
      <c r="AU87" s="12" t="n"/>
      <c r="AV87" s="12" t="n"/>
      <c r="AW87" s="12" t="n"/>
    </row>
    <row r="88">
      <c r="A88" s="12" t="n"/>
      <c r="B88" s="12">
        <f>IFERROR(VLOOKUP(A88, AZInsight_Data!$A:$AS, 3, FALSE), "")</f>
        <v/>
      </c>
      <c r="C88" s="13">
        <f>IFERROR(VLOOKUP(A88, AZInsight_Data!$A:$AS, 9, FALSE), 0)</f>
        <v/>
      </c>
      <c r="D88">
        <f>IFERROR(VLOOKUP(A88, AZInsight_Data!$A:$AS, 17, FALSE), 0)</f>
        <v/>
      </c>
      <c r="E88">
        <f>IFERROR(VLOOKUP(A88, AZInsight_Data!$A:$AS, 18, FALSE), 0)</f>
        <v/>
      </c>
      <c r="F88" s="14">
        <f>IFERROR(VLOOKUP(A88, AZInsight_Data!$A:$AS, 7, FALSE), 0)</f>
        <v/>
      </c>
      <c r="G88" s="15">
        <f>IFERROR(VLOOKUP(A88, AZInsight_Data!$A:$AS, 14, FALSE), 0)</f>
        <v/>
      </c>
      <c r="H88" s="14">
        <f>IFERROR(VLOOKUP(A88, AZInsight_Data!$A:$AS, 8, FALSE), 0)</f>
        <v/>
      </c>
      <c r="I88" s="16">
        <f>IFERROR(VLOOKUP(A88, KEEPA!$A:$AW, 47, FALSE), 0)</f>
        <v/>
      </c>
      <c r="J88">
        <f>IFERROR(VLOOKUP(A88, AZInsight_Data!$A:$AS, 25, FALSE), 0)</f>
        <v/>
      </c>
      <c r="K88" s="15">
        <f>IFERROR(VLOOKUP(A88, AZInsight_Data!$A:$AS, 16, FALSE), 0)</f>
        <v/>
      </c>
      <c r="L88" s="15">
        <f>IFERROR(K88-T88-J88, 0)</f>
        <v/>
      </c>
      <c r="M88" s="16">
        <f>IFERROR(IF(T88=0, 0, L88/T88), 0)</f>
        <v/>
      </c>
      <c r="N88" s="14">
        <f>IFERROR(C88*($V$2/30), 0)</f>
        <v/>
      </c>
      <c r="O88">
        <f>IFERROR(VLOOKUP(A88, AZInsight_Data!$A:$AS, 40, FALSE), 1)</f>
        <v/>
      </c>
      <c r="P88" s="13">
        <f>IF(O88&gt;0, O88, 1)</f>
        <v/>
      </c>
      <c r="Q88" s="13">
        <f>IFERROR(U88/P88, 0)</f>
        <v/>
      </c>
      <c r="R88">
        <f>IFERROR(VLOOKUP(A88, AZInsight_Data!$A:$AS, 36, FALSE), "")</f>
        <v/>
      </c>
      <c r="S88">
        <f>IFERROR(VLOOKUP(A88, AZInsight_Data!$A:$AS, 3, FALSE), "")</f>
        <v/>
      </c>
      <c r="T88" s="17">
        <f>IFERROR(VLOOKUP(A88, AZInsight_Data!$A:$AS, 13, FALSE), 0)</f>
        <v/>
      </c>
      <c r="U88" s="13">
        <f>AH88</f>
        <v/>
      </c>
      <c r="V88" s="15">
        <f>T88*U88</f>
        <v/>
      </c>
      <c r="W88" s="16" t="n"/>
      <c r="X88" s="12">
        <f>IFERROR(VLOOKUP(A88, AZInsight_Data!$A:$AS, 40, FALSE), 1)</f>
        <v/>
      </c>
      <c r="Y88" s="13">
        <f>IFERROR(VLOOKUP(A88, IP Qty!$D:$R, 5, FALSE), 0)</f>
        <v/>
      </c>
      <c r="Z88" s="14">
        <f>IFERROR(VLOOKUP(A88, IP Qty!$D:$R, 6, FALSE), 0)</f>
        <v/>
      </c>
      <c r="AA88">
        <f>IFERROR(VLOOKUP(A88, IP Qty!$D:$R, 7, FALSE), 0)</f>
        <v/>
      </c>
      <c r="AB88">
        <f>IFERROR(VLOOKUP(A88, IP Qty!$D:$R, 9, FALSE), 0)</f>
        <v/>
      </c>
      <c r="AC88">
        <f>IFERROR(VLOOKUP(A88, IP Qty!$D:$R, 8, FALSE), 0)</f>
        <v/>
      </c>
      <c r="AD88" s="14">
        <f>IFERROR(VLOOKUP(A88, KEEPA!$A:$AW, 34, FALSE), 0)</f>
        <v/>
      </c>
      <c r="AE88" s="15">
        <f>IF(P88&gt;1, ((((M88&gt;=$AD$2)*(L88&gt;=$AH$2)) + ((M88&lt;$AD$2)*(M88&gt;=$AE$2)*(L88&gt;=$AG$2)) + ((M88&lt;$AE$2)*(M88&gt;=$AC$2)*(L88&gt;=0)))*2 * IF($AI$2=0, 1, AI88&lt;=$AI$2) * IF($AK$2=0, 1, AK88&lt;=$AK$2) * AND(N88&gt;=$D$1, H88&lt;=$I$2, G88&gt;=$H$2)), ((((M88&gt;=$AD$2)*(L88&gt;=$AH$2)) + ((M88&lt;$AD$2)*(M88&gt;=$AE$2)*(L88&gt;=$AG$2)) + ((M88&lt;$AE$2)*(M88&gt;=$AC$2)*(L88&gt;=0))) * IF($AI$2=0, 1, AI88&lt;=$AI$2) * IF($AK$2=0, 1, AK88&lt;=$AK$2) * AND(N88&gt;=$D$1, H88&lt;=$I$2, G88&gt;=$H$2)))</f>
        <v/>
      </c>
      <c r="AF88">
        <f>IF(AE88&gt;0, 1, 0)</f>
        <v/>
      </c>
      <c r="AG88">
        <f>IFERROR(IF(ISNUMBER(W88), IF(AN88, N88*W88*$AN$2, N88*W88), NA()), NA())</f>
        <v/>
      </c>
      <c r="AH88" s="13">
        <f>IFERROR(MIN(AG88, $U$2), 0)</f>
        <v/>
      </c>
      <c r="AI88" s="14">
        <f>IFERROR(VLOOKUP(A88, KEEPA!$A:$AW, 26, FALSE), 0)</f>
        <v/>
      </c>
      <c r="AJ88" s="16">
        <f>IFERROR(IF(AI88=0, 0, (AI88-H88)/H88), 0)</f>
        <v/>
      </c>
      <c r="AK88" s="14">
        <f>IFERROR(VLOOKUP(A88, KEEPA!$A:$AW, 28, FALSE), 0)</f>
        <v/>
      </c>
      <c r="AL88" s="16">
        <f>IFERROR(IF(AK88=0, 0, (AK88-H88)/H88), 0)</f>
        <v/>
      </c>
      <c r="AM88" s="13">
        <f>IFERROR(VLOOKUP(A88, AZInsight_Data!$A:$AS, 34, FALSE), 0)</f>
        <v/>
      </c>
      <c r="AN88">
        <f>IFERROR(AND(VLOOKUP(A88, KEEPA!$A:$AW, 2, FALSE)&lt;=$AO$2, N88 &gt;= $AM$2), FALSE)</f>
        <v/>
      </c>
      <c r="AO88" s="16">
        <f>IFERROR(VLOOKUP(A88, KEEPA!$A:$AW, 24, FALSE), 0)</f>
        <v/>
      </c>
      <c r="AP88" s="16">
        <f>IFERROR(VLOOKUP(A88, KEEPA!$A:$AW, 48, FALSE), 0)</f>
        <v/>
      </c>
      <c r="AQ88">
        <f>IFERROR(VLOOKUP(A88, AZInsight_Data!$A:$AS, 5, FALSE), "SL")</f>
        <v/>
      </c>
      <c r="AR88">
        <f>IF(OR(A88="", A88=0), "", HYPERLINK("https://keepa.com/#!product/1-"&amp;A88, "Keepa"))</f>
        <v/>
      </c>
      <c r="AS88">
        <f>IF(OR(A88="", A88=0), "", HYPERLINK("https://www.amazon.com/dp/"&amp;A88, "Amazon"))</f>
        <v/>
      </c>
      <c r="AT88">
        <f>IF(OR(A88="", A88=0), "", HYPERLINK("https://sellercentral.amazon.com/product-search/search?q="&amp;A88, "Check Gated"))</f>
        <v/>
      </c>
      <c r="AU88" s="12" t="n"/>
      <c r="AV88" s="12" t="n"/>
      <c r="AW88" s="12" t="n"/>
    </row>
    <row r="89">
      <c r="A89" s="12" t="n"/>
      <c r="B89" s="12">
        <f>IFERROR(VLOOKUP(A89, AZInsight_Data!$A:$AS, 3, FALSE), "")</f>
        <v/>
      </c>
      <c r="C89" s="13">
        <f>IFERROR(VLOOKUP(A89, AZInsight_Data!$A:$AS, 9, FALSE), 0)</f>
        <v/>
      </c>
      <c r="D89">
        <f>IFERROR(VLOOKUP(A89, AZInsight_Data!$A:$AS, 17, FALSE), 0)</f>
        <v/>
      </c>
      <c r="E89">
        <f>IFERROR(VLOOKUP(A89, AZInsight_Data!$A:$AS, 18, FALSE), 0)</f>
        <v/>
      </c>
      <c r="F89" s="14">
        <f>IFERROR(VLOOKUP(A89, AZInsight_Data!$A:$AS, 7, FALSE), 0)</f>
        <v/>
      </c>
      <c r="G89" s="15">
        <f>IFERROR(VLOOKUP(A89, AZInsight_Data!$A:$AS, 14, FALSE), 0)</f>
        <v/>
      </c>
      <c r="H89" s="14">
        <f>IFERROR(VLOOKUP(A89, AZInsight_Data!$A:$AS, 8, FALSE), 0)</f>
        <v/>
      </c>
      <c r="I89" s="16">
        <f>IFERROR(VLOOKUP(A89, KEEPA!$A:$AW, 47, FALSE), 0)</f>
        <v/>
      </c>
      <c r="J89">
        <f>IFERROR(VLOOKUP(A89, AZInsight_Data!$A:$AS, 25, FALSE), 0)</f>
        <v/>
      </c>
      <c r="K89" s="15">
        <f>IFERROR(VLOOKUP(A89, AZInsight_Data!$A:$AS, 16, FALSE), 0)</f>
        <v/>
      </c>
      <c r="L89" s="15">
        <f>IFERROR(K89-T89-J89, 0)</f>
        <v/>
      </c>
      <c r="M89" s="16">
        <f>IFERROR(IF(T89=0, 0, L89/T89), 0)</f>
        <v/>
      </c>
      <c r="N89" s="14">
        <f>IFERROR(C89*($V$2/30), 0)</f>
        <v/>
      </c>
      <c r="O89">
        <f>IFERROR(VLOOKUP(A89, AZInsight_Data!$A:$AS, 40, FALSE), 1)</f>
        <v/>
      </c>
      <c r="P89" s="13">
        <f>IF(O89&gt;0, O89, 1)</f>
        <v/>
      </c>
      <c r="Q89" s="13">
        <f>IFERROR(U89/P89, 0)</f>
        <v/>
      </c>
      <c r="R89">
        <f>IFERROR(VLOOKUP(A89, AZInsight_Data!$A:$AS, 36, FALSE), "")</f>
        <v/>
      </c>
      <c r="S89">
        <f>IFERROR(VLOOKUP(A89, AZInsight_Data!$A:$AS, 3, FALSE), "")</f>
        <v/>
      </c>
      <c r="T89" s="17">
        <f>IFERROR(VLOOKUP(A89, AZInsight_Data!$A:$AS, 13, FALSE), 0)</f>
        <v/>
      </c>
      <c r="U89" s="13">
        <f>AH89</f>
        <v/>
      </c>
      <c r="V89" s="15">
        <f>T89*U89</f>
        <v/>
      </c>
      <c r="W89" s="16" t="n"/>
      <c r="X89" s="12">
        <f>IFERROR(VLOOKUP(A89, AZInsight_Data!$A:$AS, 40, FALSE), 1)</f>
        <v/>
      </c>
      <c r="Y89" s="13">
        <f>IFERROR(VLOOKUP(A89, IP Qty!$D:$R, 5, FALSE), 0)</f>
        <v/>
      </c>
      <c r="Z89" s="14">
        <f>IFERROR(VLOOKUP(A89, IP Qty!$D:$R, 6, FALSE), 0)</f>
        <v/>
      </c>
      <c r="AA89">
        <f>IFERROR(VLOOKUP(A89, IP Qty!$D:$R, 7, FALSE), 0)</f>
        <v/>
      </c>
      <c r="AB89">
        <f>IFERROR(VLOOKUP(A89, IP Qty!$D:$R, 9, FALSE), 0)</f>
        <v/>
      </c>
      <c r="AC89">
        <f>IFERROR(VLOOKUP(A89, IP Qty!$D:$R, 8, FALSE), 0)</f>
        <v/>
      </c>
      <c r="AD89" s="14">
        <f>IFERROR(VLOOKUP(A89, KEEPA!$A:$AW, 34, FALSE), 0)</f>
        <v/>
      </c>
      <c r="AE89" s="15">
        <f>IF(P89&gt;1, ((((M89&gt;=$AD$2)*(L89&gt;=$AH$2)) + ((M89&lt;$AD$2)*(M89&gt;=$AE$2)*(L89&gt;=$AG$2)) + ((M89&lt;$AE$2)*(M89&gt;=$AC$2)*(L89&gt;=0)))*2 * IF($AI$2=0, 1, AI89&lt;=$AI$2) * IF($AK$2=0, 1, AK89&lt;=$AK$2) * AND(N89&gt;=$D$1, H89&lt;=$I$2, G89&gt;=$H$2)), ((((M89&gt;=$AD$2)*(L89&gt;=$AH$2)) + ((M89&lt;$AD$2)*(M89&gt;=$AE$2)*(L89&gt;=$AG$2)) + ((M89&lt;$AE$2)*(M89&gt;=$AC$2)*(L89&gt;=0))) * IF($AI$2=0, 1, AI89&lt;=$AI$2) * IF($AK$2=0, 1, AK89&lt;=$AK$2) * AND(N89&gt;=$D$1, H89&lt;=$I$2, G89&gt;=$H$2)))</f>
        <v/>
      </c>
      <c r="AF89">
        <f>IF(AE89&gt;0, 1, 0)</f>
        <v/>
      </c>
      <c r="AG89">
        <f>IFERROR(IF(ISNUMBER(W89), IF(AN89, N89*W89*$AN$2, N89*W89), NA()), NA())</f>
        <v/>
      </c>
      <c r="AH89" s="13">
        <f>IFERROR(MIN(AG89, $U$2), 0)</f>
        <v/>
      </c>
      <c r="AI89" s="14">
        <f>IFERROR(VLOOKUP(A89, KEEPA!$A:$AW, 26, FALSE), 0)</f>
        <v/>
      </c>
      <c r="AJ89" s="16">
        <f>IFERROR(IF(AI89=0, 0, (AI89-H89)/H89), 0)</f>
        <v/>
      </c>
      <c r="AK89" s="14">
        <f>IFERROR(VLOOKUP(A89, KEEPA!$A:$AW, 28, FALSE), 0)</f>
        <v/>
      </c>
      <c r="AL89" s="16">
        <f>IFERROR(IF(AK89=0, 0, (AK89-H89)/H89), 0)</f>
        <v/>
      </c>
      <c r="AM89" s="13">
        <f>IFERROR(VLOOKUP(A89, AZInsight_Data!$A:$AS, 34, FALSE), 0)</f>
        <v/>
      </c>
      <c r="AN89">
        <f>IFERROR(AND(VLOOKUP(A89, KEEPA!$A:$AW, 2, FALSE)&lt;=$AO$2, N89 &gt;= $AM$2), FALSE)</f>
        <v/>
      </c>
      <c r="AO89" s="16">
        <f>IFERROR(VLOOKUP(A89, KEEPA!$A:$AW, 24, FALSE), 0)</f>
        <v/>
      </c>
      <c r="AP89" s="16">
        <f>IFERROR(VLOOKUP(A89, KEEPA!$A:$AW, 48, FALSE), 0)</f>
        <v/>
      </c>
      <c r="AQ89">
        <f>IFERROR(VLOOKUP(A89, AZInsight_Data!$A:$AS, 5, FALSE), "SL")</f>
        <v/>
      </c>
      <c r="AR89">
        <f>IF(OR(A89="", A89=0), "", HYPERLINK("https://keepa.com/#!product/1-"&amp;A89, "Keepa"))</f>
        <v/>
      </c>
      <c r="AS89">
        <f>IF(OR(A89="", A89=0), "", HYPERLINK("https://www.amazon.com/dp/"&amp;A89, "Amazon"))</f>
        <v/>
      </c>
      <c r="AT89">
        <f>IF(OR(A89="", A89=0), "", HYPERLINK("https://sellercentral.amazon.com/product-search/search?q="&amp;A89, "Check Gated"))</f>
        <v/>
      </c>
      <c r="AU89" s="12" t="n"/>
      <c r="AV89" s="12" t="n"/>
      <c r="AW89" s="12" t="n"/>
    </row>
    <row r="90">
      <c r="A90" s="12" t="n"/>
      <c r="B90" s="12">
        <f>IFERROR(VLOOKUP(A90, AZInsight_Data!$A:$AS, 3, FALSE), "")</f>
        <v/>
      </c>
      <c r="C90" s="13">
        <f>IFERROR(VLOOKUP(A90, AZInsight_Data!$A:$AS, 9, FALSE), 0)</f>
        <v/>
      </c>
      <c r="D90">
        <f>IFERROR(VLOOKUP(A90, AZInsight_Data!$A:$AS, 17, FALSE), 0)</f>
        <v/>
      </c>
      <c r="E90">
        <f>IFERROR(VLOOKUP(A90, AZInsight_Data!$A:$AS, 18, FALSE), 0)</f>
        <v/>
      </c>
      <c r="F90" s="14">
        <f>IFERROR(VLOOKUP(A90, AZInsight_Data!$A:$AS, 7, FALSE), 0)</f>
        <v/>
      </c>
      <c r="G90" s="15">
        <f>IFERROR(VLOOKUP(A90, AZInsight_Data!$A:$AS, 14, FALSE), 0)</f>
        <v/>
      </c>
      <c r="H90" s="14">
        <f>IFERROR(VLOOKUP(A90, AZInsight_Data!$A:$AS, 8, FALSE), 0)</f>
        <v/>
      </c>
      <c r="I90" s="16">
        <f>IFERROR(VLOOKUP(A90, KEEPA!$A:$AW, 47, FALSE), 0)</f>
        <v/>
      </c>
      <c r="J90">
        <f>IFERROR(VLOOKUP(A90, AZInsight_Data!$A:$AS, 25, FALSE), 0)</f>
        <v/>
      </c>
      <c r="K90" s="15">
        <f>IFERROR(VLOOKUP(A90, AZInsight_Data!$A:$AS, 16, FALSE), 0)</f>
        <v/>
      </c>
      <c r="L90" s="15">
        <f>IFERROR(K90-T90-J90, 0)</f>
        <v/>
      </c>
      <c r="M90" s="16">
        <f>IFERROR(IF(T90=0, 0, L90/T90), 0)</f>
        <v/>
      </c>
      <c r="N90" s="14">
        <f>IFERROR(C90*($V$2/30), 0)</f>
        <v/>
      </c>
      <c r="O90">
        <f>IFERROR(VLOOKUP(A90, AZInsight_Data!$A:$AS, 40, FALSE), 1)</f>
        <v/>
      </c>
      <c r="P90" s="13">
        <f>IF(O90&gt;0, O90, 1)</f>
        <v/>
      </c>
      <c r="Q90" s="13">
        <f>IFERROR(U90/P90, 0)</f>
        <v/>
      </c>
      <c r="R90">
        <f>IFERROR(VLOOKUP(A90, AZInsight_Data!$A:$AS, 36, FALSE), "")</f>
        <v/>
      </c>
      <c r="S90">
        <f>IFERROR(VLOOKUP(A90, AZInsight_Data!$A:$AS, 3, FALSE), "")</f>
        <v/>
      </c>
      <c r="T90" s="17">
        <f>IFERROR(VLOOKUP(A90, AZInsight_Data!$A:$AS, 13, FALSE), 0)</f>
        <v/>
      </c>
      <c r="U90" s="13">
        <f>AH90</f>
        <v/>
      </c>
      <c r="V90" s="15">
        <f>T90*U90</f>
        <v/>
      </c>
      <c r="W90" s="16" t="n"/>
      <c r="X90" s="12">
        <f>IFERROR(VLOOKUP(A90, AZInsight_Data!$A:$AS, 40, FALSE), 1)</f>
        <v/>
      </c>
      <c r="Y90" s="13">
        <f>IFERROR(VLOOKUP(A90, IP Qty!$D:$R, 5, FALSE), 0)</f>
        <v/>
      </c>
      <c r="Z90" s="14">
        <f>IFERROR(VLOOKUP(A90, IP Qty!$D:$R, 6, FALSE), 0)</f>
        <v/>
      </c>
      <c r="AA90">
        <f>IFERROR(VLOOKUP(A90, IP Qty!$D:$R, 7, FALSE), 0)</f>
        <v/>
      </c>
      <c r="AB90">
        <f>IFERROR(VLOOKUP(A90, IP Qty!$D:$R, 9, FALSE), 0)</f>
        <v/>
      </c>
      <c r="AC90">
        <f>IFERROR(VLOOKUP(A90, IP Qty!$D:$R, 8, FALSE), 0)</f>
        <v/>
      </c>
      <c r="AD90" s="14">
        <f>IFERROR(VLOOKUP(A90, KEEPA!$A:$AW, 34, FALSE), 0)</f>
        <v/>
      </c>
      <c r="AE90" s="15">
        <f>IF(P90&gt;1, ((((M90&gt;=$AD$2)*(L90&gt;=$AH$2)) + ((M90&lt;$AD$2)*(M90&gt;=$AE$2)*(L90&gt;=$AG$2)) + ((M90&lt;$AE$2)*(M90&gt;=$AC$2)*(L90&gt;=0)))*2 * IF($AI$2=0, 1, AI90&lt;=$AI$2) * IF($AK$2=0, 1, AK90&lt;=$AK$2) * AND(N90&gt;=$D$1, H90&lt;=$I$2, G90&gt;=$H$2)), ((((M90&gt;=$AD$2)*(L90&gt;=$AH$2)) + ((M90&lt;$AD$2)*(M90&gt;=$AE$2)*(L90&gt;=$AG$2)) + ((M90&lt;$AE$2)*(M90&gt;=$AC$2)*(L90&gt;=0))) * IF($AI$2=0, 1, AI90&lt;=$AI$2) * IF($AK$2=0, 1, AK90&lt;=$AK$2) * AND(N90&gt;=$D$1, H90&lt;=$I$2, G90&gt;=$H$2)))</f>
        <v/>
      </c>
      <c r="AF90">
        <f>IF(AE90&gt;0, 1, 0)</f>
        <v/>
      </c>
      <c r="AG90">
        <f>IFERROR(IF(ISNUMBER(W90), IF(AN90, N90*W90*$AN$2, N90*W90), NA()), NA())</f>
        <v/>
      </c>
      <c r="AH90" s="13">
        <f>IFERROR(MIN(AG90, $U$2), 0)</f>
        <v/>
      </c>
      <c r="AI90" s="14">
        <f>IFERROR(VLOOKUP(A90, KEEPA!$A:$AW, 26, FALSE), 0)</f>
        <v/>
      </c>
      <c r="AJ90" s="16">
        <f>IFERROR(IF(AI90=0, 0, (AI90-H90)/H90), 0)</f>
        <v/>
      </c>
      <c r="AK90" s="14">
        <f>IFERROR(VLOOKUP(A90, KEEPA!$A:$AW, 28, FALSE), 0)</f>
        <v/>
      </c>
      <c r="AL90" s="16">
        <f>IFERROR(IF(AK90=0, 0, (AK90-H90)/H90), 0)</f>
        <v/>
      </c>
      <c r="AM90" s="13">
        <f>IFERROR(VLOOKUP(A90, AZInsight_Data!$A:$AS, 34, FALSE), 0)</f>
        <v/>
      </c>
      <c r="AN90">
        <f>IFERROR(AND(VLOOKUP(A90, KEEPA!$A:$AW, 2, FALSE)&lt;=$AO$2, N90 &gt;= $AM$2), FALSE)</f>
        <v/>
      </c>
      <c r="AO90" s="16">
        <f>IFERROR(VLOOKUP(A90, KEEPA!$A:$AW, 24, FALSE), 0)</f>
        <v/>
      </c>
      <c r="AP90" s="16">
        <f>IFERROR(VLOOKUP(A90, KEEPA!$A:$AW, 48, FALSE), 0)</f>
        <v/>
      </c>
      <c r="AQ90">
        <f>IFERROR(VLOOKUP(A90, AZInsight_Data!$A:$AS, 5, FALSE), "SL")</f>
        <v/>
      </c>
      <c r="AR90">
        <f>IF(OR(A90="", A90=0), "", HYPERLINK("https://keepa.com/#!product/1-"&amp;A90, "Keepa"))</f>
        <v/>
      </c>
      <c r="AS90">
        <f>IF(OR(A90="", A90=0), "", HYPERLINK("https://www.amazon.com/dp/"&amp;A90, "Amazon"))</f>
        <v/>
      </c>
      <c r="AT90">
        <f>IF(OR(A90="", A90=0), "", HYPERLINK("https://sellercentral.amazon.com/product-search/search?q="&amp;A90, "Check Gated"))</f>
        <v/>
      </c>
      <c r="AU90" s="12" t="n"/>
      <c r="AV90" s="12" t="n"/>
      <c r="AW90" s="12" t="n"/>
    </row>
    <row r="91">
      <c r="A91" s="12" t="n"/>
      <c r="B91" s="12">
        <f>IFERROR(VLOOKUP(A91, AZInsight_Data!$A:$AS, 3, FALSE), "")</f>
        <v/>
      </c>
      <c r="C91" s="13">
        <f>IFERROR(VLOOKUP(A91, AZInsight_Data!$A:$AS, 9, FALSE), 0)</f>
        <v/>
      </c>
      <c r="D91">
        <f>IFERROR(VLOOKUP(A91, AZInsight_Data!$A:$AS, 17, FALSE), 0)</f>
        <v/>
      </c>
      <c r="E91">
        <f>IFERROR(VLOOKUP(A91, AZInsight_Data!$A:$AS, 18, FALSE), 0)</f>
        <v/>
      </c>
      <c r="F91" s="14">
        <f>IFERROR(VLOOKUP(A91, AZInsight_Data!$A:$AS, 7, FALSE), 0)</f>
        <v/>
      </c>
      <c r="G91" s="15">
        <f>IFERROR(VLOOKUP(A91, AZInsight_Data!$A:$AS, 14, FALSE), 0)</f>
        <v/>
      </c>
      <c r="H91" s="14">
        <f>IFERROR(VLOOKUP(A91, AZInsight_Data!$A:$AS, 8, FALSE), 0)</f>
        <v/>
      </c>
      <c r="I91" s="16">
        <f>IFERROR(VLOOKUP(A91, KEEPA!$A:$AW, 47, FALSE), 0)</f>
        <v/>
      </c>
      <c r="J91">
        <f>IFERROR(VLOOKUP(A91, AZInsight_Data!$A:$AS, 25, FALSE), 0)</f>
        <v/>
      </c>
      <c r="K91" s="15">
        <f>IFERROR(VLOOKUP(A91, AZInsight_Data!$A:$AS, 16, FALSE), 0)</f>
        <v/>
      </c>
      <c r="L91" s="15">
        <f>IFERROR(K91-T91-J91, 0)</f>
        <v/>
      </c>
      <c r="M91" s="16">
        <f>IFERROR(IF(T91=0, 0, L91/T91), 0)</f>
        <v/>
      </c>
      <c r="N91" s="14">
        <f>IFERROR(C91*($V$2/30), 0)</f>
        <v/>
      </c>
      <c r="O91">
        <f>IFERROR(VLOOKUP(A91, AZInsight_Data!$A:$AS, 40, FALSE), 1)</f>
        <v/>
      </c>
      <c r="P91" s="13">
        <f>IF(O91&gt;0, O91, 1)</f>
        <v/>
      </c>
      <c r="Q91" s="13">
        <f>IFERROR(U91/P91, 0)</f>
        <v/>
      </c>
      <c r="R91">
        <f>IFERROR(VLOOKUP(A91, AZInsight_Data!$A:$AS, 36, FALSE), "")</f>
        <v/>
      </c>
      <c r="S91">
        <f>IFERROR(VLOOKUP(A91, AZInsight_Data!$A:$AS, 3, FALSE), "")</f>
        <v/>
      </c>
      <c r="T91" s="17">
        <f>IFERROR(VLOOKUP(A91, AZInsight_Data!$A:$AS, 13, FALSE), 0)</f>
        <v/>
      </c>
      <c r="U91" s="13">
        <f>AH91</f>
        <v/>
      </c>
      <c r="V91" s="15">
        <f>T91*U91</f>
        <v/>
      </c>
      <c r="W91" s="16" t="n"/>
      <c r="X91" s="12">
        <f>IFERROR(VLOOKUP(A91, AZInsight_Data!$A:$AS, 40, FALSE), 1)</f>
        <v/>
      </c>
      <c r="Y91" s="13">
        <f>IFERROR(VLOOKUP(A91, IP Qty!$D:$R, 5, FALSE), 0)</f>
        <v/>
      </c>
      <c r="Z91" s="14">
        <f>IFERROR(VLOOKUP(A91, IP Qty!$D:$R, 6, FALSE), 0)</f>
        <v/>
      </c>
      <c r="AA91">
        <f>IFERROR(VLOOKUP(A91, IP Qty!$D:$R, 7, FALSE), 0)</f>
        <v/>
      </c>
      <c r="AB91">
        <f>IFERROR(VLOOKUP(A91, IP Qty!$D:$R, 9, FALSE), 0)</f>
        <v/>
      </c>
      <c r="AC91">
        <f>IFERROR(VLOOKUP(A91, IP Qty!$D:$R, 8, FALSE), 0)</f>
        <v/>
      </c>
      <c r="AD91" s="14">
        <f>IFERROR(VLOOKUP(A91, KEEPA!$A:$AW, 34, FALSE), 0)</f>
        <v/>
      </c>
      <c r="AE91" s="15">
        <f>IF(P91&gt;1, ((((M91&gt;=$AD$2)*(L91&gt;=$AH$2)) + ((M91&lt;$AD$2)*(M91&gt;=$AE$2)*(L91&gt;=$AG$2)) + ((M91&lt;$AE$2)*(M91&gt;=$AC$2)*(L91&gt;=0)))*2 * IF($AI$2=0, 1, AI91&lt;=$AI$2) * IF($AK$2=0, 1, AK91&lt;=$AK$2) * AND(N91&gt;=$D$1, H91&lt;=$I$2, G91&gt;=$H$2)), ((((M91&gt;=$AD$2)*(L91&gt;=$AH$2)) + ((M91&lt;$AD$2)*(M91&gt;=$AE$2)*(L91&gt;=$AG$2)) + ((M91&lt;$AE$2)*(M91&gt;=$AC$2)*(L91&gt;=0))) * IF($AI$2=0, 1, AI91&lt;=$AI$2) * IF($AK$2=0, 1, AK91&lt;=$AK$2) * AND(N91&gt;=$D$1, H91&lt;=$I$2, G91&gt;=$H$2)))</f>
        <v/>
      </c>
      <c r="AF91">
        <f>IF(AE91&gt;0, 1, 0)</f>
        <v/>
      </c>
      <c r="AG91">
        <f>IFERROR(IF(ISNUMBER(W91), IF(AN91, N91*W91*$AN$2, N91*W91), NA()), NA())</f>
        <v/>
      </c>
      <c r="AH91" s="13">
        <f>IFERROR(MIN(AG91, $U$2), 0)</f>
        <v/>
      </c>
      <c r="AI91" s="14">
        <f>IFERROR(VLOOKUP(A91, KEEPA!$A:$AW, 26, FALSE), 0)</f>
        <v/>
      </c>
      <c r="AJ91" s="16">
        <f>IFERROR(IF(AI91=0, 0, (AI91-H91)/H91), 0)</f>
        <v/>
      </c>
      <c r="AK91" s="14">
        <f>IFERROR(VLOOKUP(A91, KEEPA!$A:$AW, 28, FALSE), 0)</f>
        <v/>
      </c>
      <c r="AL91" s="16">
        <f>IFERROR(IF(AK91=0, 0, (AK91-H91)/H91), 0)</f>
        <v/>
      </c>
      <c r="AM91" s="13">
        <f>IFERROR(VLOOKUP(A91, AZInsight_Data!$A:$AS, 34, FALSE), 0)</f>
        <v/>
      </c>
      <c r="AN91">
        <f>IFERROR(AND(VLOOKUP(A91, KEEPA!$A:$AW, 2, FALSE)&lt;=$AO$2, N91 &gt;= $AM$2), FALSE)</f>
        <v/>
      </c>
      <c r="AO91" s="16">
        <f>IFERROR(VLOOKUP(A91, KEEPA!$A:$AW, 24, FALSE), 0)</f>
        <v/>
      </c>
      <c r="AP91" s="16">
        <f>IFERROR(VLOOKUP(A91, KEEPA!$A:$AW, 48, FALSE), 0)</f>
        <v/>
      </c>
      <c r="AQ91">
        <f>IFERROR(VLOOKUP(A91, AZInsight_Data!$A:$AS, 5, FALSE), "SL")</f>
        <v/>
      </c>
      <c r="AR91">
        <f>IF(OR(A91="", A91=0), "", HYPERLINK("https://keepa.com/#!product/1-"&amp;A91, "Keepa"))</f>
        <v/>
      </c>
      <c r="AS91">
        <f>IF(OR(A91="", A91=0), "", HYPERLINK("https://www.amazon.com/dp/"&amp;A91, "Amazon"))</f>
        <v/>
      </c>
      <c r="AT91">
        <f>IF(OR(A91="", A91=0), "", HYPERLINK("https://sellercentral.amazon.com/product-search/search?q="&amp;A91, "Check Gated"))</f>
        <v/>
      </c>
      <c r="AU91" s="12" t="n"/>
      <c r="AV91" s="12" t="n"/>
      <c r="AW91" s="12" t="n"/>
    </row>
    <row r="92">
      <c r="A92" s="12" t="n"/>
      <c r="B92" s="12">
        <f>IFERROR(VLOOKUP(A92, AZInsight_Data!$A:$AS, 3, FALSE), "")</f>
        <v/>
      </c>
      <c r="C92" s="13">
        <f>IFERROR(VLOOKUP(A92, AZInsight_Data!$A:$AS, 9, FALSE), 0)</f>
        <v/>
      </c>
      <c r="D92">
        <f>IFERROR(VLOOKUP(A92, AZInsight_Data!$A:$AS, 17, FALSE), 0)</f>
        <v/>
      </c>
      <c r="E92">
        <f>IFERROR(VLOOKUP(A92, AZInsight_Data!$A:$AS, 18, FALSE), 0)</f>
        <v/>
      </c>
      <c r="F92" s="14">
        <f>IFERROR(VLOOKUP(A92, AZInsight_Data!$A:$AS, 7, FALSE), 0)</f>
        <v/>
      </c>
      <c r="G92" s="15">
        <f>IFERROR(VLOOKUP(A92, AZInsight_Data!$A:$AS, 14, FALSE), 0)</f>
        <v/>
      </c>
      <c r="H92" s="14">
        <f>IFERROR(VLOOKUP(A92, AZInsight_Data!$A:$AS, 8, FALSE), 0)</f>
        <v/>
      </c>
      <c r="I92" s="16">
        <f>IFERROR(VLOOKUP(A92, KEEPA!$A:$AW, 47, FALSE), 0)</f>
        <v/>
      </c>
      <c r="J92">
        <f>IFERROR(VLOOKUP(A92, AZInsight_Data!$A:$AS, 25, FALSE), 0)</f>
        <v/>
      </c>
      <c r="K92" s="15">
        <f>IFERROR(VLOOKUP(A92, AZInsight_Data!$A:$AS, 16, FALSE), 0)</f>
        <v/>
      </c>
      <c r="L92" s="15">
        <f>IFERROR(K92-T92-J92, 0)</f>
        <v/>
      </c>
      <c r="M92" s="16">
        <f>IFERROR(IF(T92=0, 0, L92/T92), 0)</f>
        <v/>
      </c>
      <c r="N92" s="14">
        <f>IFERROR(C92*($V$2/30), 0)</f>
        <v/>
      </c>
      <c r="O92">
        <f>IFERROR(VLOOKUP(A92, AZInsight_Data!$A:$AS, 40, FALSE), 1)</f>
        <v/>
      </c>
      <c r="P92" s="13">
        <f>IF(O92&gt;0, O92, 1)</f>
        <v/>
      </c>
      <c r="Q92" s="13">
        <f>IFERROR(U92/P92, 0)</f>
        <v/>
      </c>
      <c r="R92">
        <f>IFERROR(VLOOKUP(A92, AZInsight_Data!$A:$AS, 36, FALSE), "")</f>
        <v/>
      </c>
      <c r="S92">
        <f>IFERROR(VLOOKUP(A92, AZInsight_Data!$A:$AS, 3, FALSE), "")</f>
        <v/>
      </c>
      <c r="T92" s="17">
        <f>IFERROR(VLOOKUP(A92, AZInsight_Data!$A:$AS, 13, FALSE), 0)</f>
        <v/>
      </c>
      <c r="U92" s="13">
        <f>AH92</f>
        <v/>
      </c>
      <c r="V92" s="15">
        <f>T92*U92</f>
        <v/>
      </c>
      <c r="W92" s="16" t="n"/>
      <c r="X92" s="12">
        <f>IFERROR(VLOOKUP(A92, AZInsight_Data!$A:$AS, 40, FALSE), 1)</f>
        <v/>
      </c>
      <c r="Y92" s="13">
        <f>IFERROR(VLOOKUP(A92, IP Qty!$D:$R, 5, FALSE), 0)</f>
        <v/>
      </c>
      <c r="Z92" s="14">
        <f>IFERROR(VLOOKUP(A92, IP Qty!$D:$R, 6, FALSE), 0)</f>
        <v/>
      </c>
      <c r="AA92">
        <f>IFERROR(VLOOKUP(A92, IP Qty!$D:$R, 7, FALSE), 0)</f>
        <v/>
      </c>
      <c r="AB92">
        <f>IFERROR(VLOOKUP(A92, IP Qty!$D:$R, 9, FALSE), 0)</f>
        <v/>
      </c>
      <c r="AC92">
        <f>IFERROR(VLOOKUP(A92, IP Qty!$D:$R, 8, FALSE), 0)</f>
        <v/>
      </c>
      <c r="AD92" s="14">
        <f>IFERROR(VLOOKUP(A92, KEEPA!$A:$AW, 34, FALSE), 0)</f>
        <v/>
      </c>
      <c r="AE92" s="15">
        <f>IF(P92&gt;1, ((((M92&gt;=$AD$2)*(L92&gt;=$AH$2)) + ((M92&lt;$AD$2)*(M92&gt;=$AE$2)*(L92&gt;=$AG$2)) + ((M92&lt;$AE$2)*(M92&gt;=$AC$2)*(L92&gt;=0)))*2 * IF($AI$2=0, 1, AI92&lt;=$AI$2) * IF($AK$2=0, 1, AK92&lt;=$AK$2) * AND(N92&gt;=$D$1, H92&lt;=$I$2, G92&gt;=$H$2)), ((((M92&gt;=$AD$2)*(L92&gt;=$AH$2)) + ((M92&lt;$AD$2)*(M92&gt;=$AE$2)*(L92&gt;=$AG$2)) + ((M92&lt;$AE$2)*(M92&gt;=$AC$2)*(L92&gt;=0))) * IF($AI$2=0, 1, AI92&lt;=$AI$2) * IF($AK$2=0, 1, AK92&lt;=$AK$2) * AND(N92&gt;=$D$1, H92&lt;=$I$2, G92&gt;=$H$2)))</f>
        <v/>
      </c>
      <c r="AF92">
        <f>IF(AE92&gt;0, 1, 0)</f>
        <v/>
      </c>
      <c r="AG92">
        <f>IFERROR(IF(ISNUMBER(W92), IF(AN92, N92*W92*$AN$2, N92*W92), NA()), NA())</f>
        <v/>
      </c>
      <c r="AH92" s="13">
        <f>IFERROR(MIN(AG92, $U$2), 0)</f>
        <v/>
      </c>
      <c r="AI92" s="14">
        <f>IFERROR(VLOOKUP(A92, KEEPA!$A:$AW, 26, FALSE), 0)</f>
        <v/>
      </c>
      <c r="AJ92" s="16">
        <f>IFERROR(IF(AI92=0, 0, (AI92-H92)/H92), 0)</f>
        <v/>
      </c>
      <c r="AK92" s="14">
        <f>IFERROR(VLOOKUP(A92, KEEPA!$A:$AW, 28, FALSE), 0)</f>
        <v/>
      </c>
      <c r="AL92" s="16">
        <f>IFERROR(IF(AK92=0, 0, (AK92-H92)/H92), 0)</f>
        <v/>
      </c>
      <c r="AM92" s="13">
        <f>IFERROR(VLOOKUP(A92, AZInsight_Data!$A:$AS, 34, FALSE), 0)</f>
        <v/>
      </c>
      <c r="AN92">
        <f>IFERROR(AND(VLOOKUP(A92, KEEPA!$A:$AW, 2, FALSE)&lt;=$AO$2, N92 &gt;= $AM$2), FALSE)</f>
        <v/>
      </c>
      <c r="AO92" s="16">
        <f>IFERROR(VLOOKUP(A92, KEEPA!$A:$AW, 24, FALSE), 0)</f>
        <v/>
      </c>
      <c r="AP92" s="16">
        <f>IFERROR(VLOOKUP(A92, KEEPA!$A:$AW, 48, FALSE), 0)</f>
        <v/>
      </c>
      <c r="AQ92">
        <f>IFERROR(VLOOKUP(A92, AZInsight_Data!$A:$AS, 5, FALSE), "SL")</f>
        <v/>
      </c>
      <c r="AR92">
        <f>IF(OR(A92="", A92=0), "", HYPERLINK("https://keepa.com/#!product/1-"&amp;A92, "Keepa"))</f>
        <v/>
      </c>
      <c r="AS92">
        <f>IF(OR(A92="", A92=0), "", HYPERLINK("https://www.amazon.com/dp/"&amp;A92, "Amazon"))</f>
        <v/>
      </c>
      <c r="AT92">
        <f>IF(OR(A92="", A92=0), "", HYPERLINK("https://sellercentral.amazon.com/product-search/search?q="&amp;A92, "Check Gated"))</f>
        <v/>
      </c>
      <c r="AU92" s="12" t="n"/>
      <c r="AV92" s="12" t="n"/>
      <c r="AW92" s="12" t="n"/>
    </row>
    <row r="93">
      <c r="A93" s="12" t="n"/>
      <c r="B93" s="12">
        <f>IFERROR(VLOOKUP(A93, AZInsight_Data!$A:$AS, 3, FALSE), "")</f>
        <v/>
      </c>
      <c r="C93" s="13">
        <f>IFERROR(VLOOKUP(A93, AZInsight_Data!$A:$AS, 9, FALSE), 0)</f>
        <v/>
      </c>
      <c r="D93">
        <f>IFERROR(VLOOKUP(A93, AZInsight_Data!$A:$AS, 17, FALSE), 0)</f>
        <v/>
      </c>
      <c r="E93">
        <f>IFERROR(VLOOKUP(A93, AZInsight_Data!$A:$AS, 18, FALSE), 0)</f>
        <v/>
      </c>
      <c r="F93" s="14">
        <f>IFERROR(VLOOKUP(A93, AZInsight_Data!$A:$AS, 7, FALSE), 0)</f>
        <v/>
      </c>
      <c r="G93" s="15">
        <f>IFERROR(VLOOKUP(A93, AZInsight_Data!$A:$AS, 14, FALSE), 0)</f>
        <v/>
      </c>
      <c r="H93" s="14">
        <f>IFERROR(VLOOKUP(A93, AZInsight_Data!$A:$AS, 8, FALSE), 0)</f>
        <v/>
      </c>
      <c r="I93" s="16">
        <f>IFERROR(VLOOKUP(A93, KEEPA!$A:$AW, 47, FALSE), 0)</f>
        <v/>
      </c>
      <c r="J93">
        <f>IFERROR(VLOOKUP(A93, AZInsight_Data!$A:$AS, 25, FALSE), 0)</f>
        <v/>
      </c>
      <c r="K93" s="15">
        <f>IFERROR(VLOOKUP(A93, AZInsight_Data!$A:$AS, 16, FALSE), 0)</f>
        <v/>
      </c>
      <c r="L93" s="15">
        <f>IFERROR(K93-T93-J93, 0)</f>
        <v/>
      </c>
      <c r="M93" s="16">
        <f>IFERROR(IF(T93=0, 0, L93/T93), 0)</f>
        <v/>
      </c>
      <c r="N93" s="14">
        <f>IFERROR(C93*($V$2/30), 0)</f>
        <v/>
      </c>
      <c r="O93">
        <f>IFERROR(VLOOKUP(A93, AZInsight_Data!$A:$AS, 40, FALSE), 1)</f>
        <v/>
      </c>
      <c r="P93" s="13">
        <f>IF(O93&gt;0, O93, 1)</f>
        <v/>
      </c>
      <c r="Q93" s="13">
        <f>IFERROR(U93/P93, 0)</f>
        <v/>
      </c>
      <c r="R93">
        <f>IFERROR(VLOOKUP(A93, AZInsight_Data!$A:$AS, 36, FALSE), "")</f>
        <v/>
      </c>
      <c r="S93">
        <f>IFERROR(VLOOKUP(A93, AZInsight_Data!$A:$AS, 3, FALSE), "")</f>
        <v/>
      </c>
      <c r="T93" s="17">
        <f>IFERROR(VLOOKUP(A93, AZInsight_Data!$A:$AS, 13, FALSE), 0)</f>
        <v/>
      </c>
      <c r="U93" s="13">
        <f>AH93</f>
        <v/>
      </c>
      <c r="V93" s="15">
        <f>T93*U93</f>
        <v/>
      </c>
      <c r="W93" s="16" t="n"/>
      <c r="X93" s="12">
        <f>IFERROR(VLOOKUP(A93, AZInsight_Data!$A:$AS, 40, FALSE), 1)</f>
        <v/>
      </c>
      <c r="Y93" s="13">
        <f>IFERROR(VLOOKUP(A93, IP Qty!$D:$R, 5, FALSE), 0)</f>
        <v/>
      </c>
      <c r="Z93" s="14">
        <f>IFERROR(VLOOKUP(A93, IP Qty!$D:$R, 6, FALSE), 0)</f>
        <v/>
      </c>
      <c r="AA93">
        <f>IFERROR(VLOOKUP(A93, IP Qty!$D:$R, 7, FALSE), 0)</f>
        <v/>
      </c>
      <c r="AB93">
        <f>IFERROR(VLOOKUP(A93, IP Qty!$D:$R, 9, FALSE), 0)</f>
        <v/>
      </c>
      <c r="AC93">
        <f>IFERROR(VLOOKUP(A93, IP Qty!$D:$R, 8, FALSE), 0)</f>
        <v/>
      </c>
      <c r="AD93" s="14">
        <f>IFERROR(VLOOKUP(A93, KEEPA!$A:$AW, 34, FALSE), 0)</f>
        <v/>
      </c>
      <c r="AE93" s="15">
        <f>IF(P93&gt;1, ((((M93&gt;=$AD$2)*(L93&gt;=$AH$2)) + ((M93&lt;$AD$2)*(M93&gt;=$AE$2)*(L93&gt;=$AG$2)) + ((M93&lt;$AE$2)*(M93&gt;=$AC$2)*(L93&gt;=0)))*2 * IF($AI$2=0, 1, AI93&lt;=$AI$2) * IF($AK$2=0, 1, AK93&lt;=$AK$2) * AND(N93&gt;=$D$1, H93&lt;=$I$2, G93&gt;=$H$2)), ((((M93&gt;=$AD$2)*(L93&gt;=$AH$2)) + ((M93&lt;$AD$2)*(M93&gt;=$AE$2)*(L93&gt;=$AG$2)) + ((M93&lt;$AE$2)*(M93&gt;=$AC$2)*(L93&gt;=0))) * IF($AI$2=0, 1, AI93&lt;=$AI$2) * IF($AK$2=0, 1, AK93&lt;=$AK$2) * AND(N93&gt;=$D$1, H93&lt;=$I$2, G93&gt;=$H$2)))</f>
        <v/>
      </c>
      <c r="AF93">
        <f>IF(AE93&gt;0, 1, 0)</f>
        <v/>
      </c>
      <c r="AG93">
        <f>IFERROR(IF(ISNUMBER(W93), IF(AN93, N93*W93*$AN$2, N93*W93), NA()), NA())</f>
        <v/>
      </c>
      <c r="AH93" s="13">
        <f>IFERROR(MIN(AG93, $U$2), 0)</f>
        <v/>
      </c>
      <c r="AI93" s="14">
        <f>IFERROR(VLOOKUP(A93, KEEPA!$A:$AW, 26, FALSE), 0)</f>
        <v/>
      </c>
      <c r="AJ93" s="16">
        <f>IFERROR(IF(AI93=0, 0, (AI93-H93)/H93), 0)</f>
        <v/>
      </c>
      <c r="AK93" s="14">
        <f>IFERROR(VLOOKUP(A93, KEEPA!$A:$AW, 28, FALSE), 0)</f>
        <v/>
      </c>
      <c r="AL93" s="16">
        <f>IFERROR(IF(AK93=0, 0, (AK93-H93)/H93), 0)</f>
        <v/>
      </c>
      <c r="AM93" s="13">
        <f>IFERROR(VLOOKUP(A93, AZInsight_Data!$A:$AS, 34, FALSE), 0)</f>
        <v/>
      </c>
      <c r="AN93">
        <f>IFERROR(AND(VLOOKUP(A93, KEEPA!$A:$AW, 2, FALSE)&lt;=$AO$2, N93 &gt;= $AM$2), FALSE)</f>
        <v/>
      </c>
      <c r="AO93" s="16">
        <f>IFERROR(VLOOKUP(A93, KEEPA!$A:$AW, 24, FALSE), 0)</f>
        <v/>
      </c>
      <c r="AP93" s="16">
        <f>IFERROR(VLOOKUP(A93, KEEPA!$A:$AW, 48, FALSE), 0)</f>
        <v/>
      </c>
      <c r="AQ93">
        <f>IFERROR(VLOOKUP(A93, AZInsight_Data!$A:$AS, 5, FALSE), "SL")</f>
        <v/>
      </c>
      <c r="AR93">
        <f>IF(OR(A93="", A93=0), "", HYPERLINK("https://keepa.com/#!product/1-"&amp;A93, "Keepa"))</f>
        <v/>
      </c>
      <c r="AS93">
        <f>IF(OR(A93="", A93=0), "", HYPERLINK("https://www.amazon.com/dp/"&amp;A93, "Amazon"))</f>
        <v/>
      </c>
      <c r="AT93">
        <f>IF(OR(A93="", A93=0), "", HYPERLINK("https://sellercentral.amazon.com/product-search/search?q="&amp;A93, "Check Gated"))</f>
        <v/>
      </c>
      <c r="AU93" s="12" t="n"/>
      <c r="AV93" s="12" t="n"/>
      <c r="AW93" s="12" t="n"/>
    </row>
    <row r="94">
      <c r="A94" s="12" t="n"/>
      <c r="B94" s="12">
        <f>IFERROR(VLOOKUP(A94, AZInsight_Data!$A:$AS, 3, FALSE), "")</f>
        <v/>
      </c>
      <c r="C94" s="13">
        <f>IFERROR(VLOOKUP(A94, AZInsight_Data!$A:$AS, 9, FALSE), 0)</f>
        <v/>
      </c>
      <c r="D94">
        <f>IFERROR(VLOOKUP(A94, AZInsight_Data!$A:$AS, 17, FALSE), 0)</f>
        <v/>
      </c>
      <c r="E94">
        <f>IFERROR(VLOOKUP(A94, AZInsight_Data!$A:$AS, 18, FALSE), 0)</f>
        <v/>
      </c>
      <c r="F94" s="14">
        <f>IFERROR(VLOOKUP(A94, AZInsight_Data!$A:$AS, 7, FALSE), 0)</f>
        <v/>
      </c>
      <c r="G94" s="15">
        <f>IFERROR(VLOOKUP(A94, AZInsight_Data!$A:$AS, 14, FALSE), 0)</f>
        <v/>
      </c>
      <c r="H94" s="14">
        <f>IFERROR(VLOOKUP(A94, AZInsight_Data!$A:$AS, 8, FALSE), 0)</f>
        <v/>
      </c>
      <c r="I94" s="16">
        <f>IFERROR(VLOOKUP(A94, KEEPA!$A:$AW, 47, FALSE), 0)</f>
        <v/>
      </c>
      <c r="J94">
        <f>IFERROR(VLOOKUP(A94, AZInsight_Data!$A:$AS, 25, FALSE), 0)</f>
        <v/>
      </c>
      <c r="K94" s="15">
        <f>IFERROR(VLOOKUP(A94, AZInsight_Data!$A:$AS, 16, FALSE), 0)</f>
        <v/>
      </c>
      <c r="L94" s="15">
        <f>IFERROR(K94-T94-J94, 0)</f>
        <v/>
      </c>
      <c r="M94" s="16">
        <f>IFERROR(IF(T94=0, 0, L94/T94), 0)</f>
        <v/>
      </c>
      <c r="N94" s="14">
        <f>IFERROR(C94*($V$2/30), 0)</f>
        <v/>
      </c>
      <c r="O94">
        <f>IFERROR(VLOOKUP(A94, AZInsight_Data!$A:$AS, 40, FALSE), 1)</f>
        <v/>
      </c>
      <c r="P94" s="13">
        <f>IF(O94&gt;0, O94, 1)</f>
        <v/>
      </c>
      <c r="Q94" s="13">
        <f>IFERROR(U94/P94, 0)</f>
        <v/>
      </c>
      <c r="R94">
        <f>IFERROR(VLOOKUP(A94, AZInsight_Data!$A:$AS, 36, FALSE), "")</f>
        <v/>
      </c>
      <c r="S94">
        <f>IFERROR(VLOOKUP(A94, AZInsight_Data!$A:$AS, 3, FALSE), "")</f>
        <v/>
      </c>
      <c r="T94" s="17">
        <f>IFERROR(VLOOKUP(A94, AZInsight_Data!$A:$AS, 13, FALSE), 0)</f>
        <v/>
      </c>
      <c r="U94" s="13">
        <f>AH94</f>
        <v/>
      </c>
      <c r="V94" s="15">
        <f>T94*U94</f>
        <v/>
      </c>
      <c r="W94" s="16" t="n"/>
      <c r="X94" s="12">
        <f>IFERROR(VLOOKUP(A94, AZInsight_Data!$A:$AS, 40, FALSE), 1)</f>
        <v/>
      </c>
      <c r="Y94" s="13">
        <f>IFERROR(VLOOKUP(A94, IP Qty!$D:$R, 5, FALSE), 0)</f>
        <v/>
      </c>
      <c r="Z94" s="14">
        <f>IFERROR(VLOOKUP(A94, IP Qty!$D:$R, 6, FALSE), 0)</f>
        <v/>
      </c>
      <c r="AA94">
        <f>IFERROR(VLOOKUP(A94, IP Qty!$D:$R, 7, FALSE), 0)</f>
        <v/>
      </c>
      <c r="AB94">
        <f>IFERROR(VLOOKUP(A94, IP Qty!$D:$R, 9, FALSE), 0)</f>
        <v/>
      </c>
      <c r="AC94">
        <f>IFERROR(VLOOKUP(A94, IP Qty!$D:$R, 8, FALSE), 0)</f>
        <v/>
      </c>
      <c r="AD94" s="14">
        <f>IFERROR(VLOOKUP(A94, KEEPA!$A:$AW, 34, FALSE), 0)</f>
        <v/>
      </c>
      <c r="AE94" s="15">
        <f>IF(P94&gt;1, ((((M94&gt;=$AD$2)*(L94&gt;=$AH$2)) + ((M94&lt;$AD$2)*(M94&gt;=$AE$2)*(L94&gt;=$AG$2)) + ((M94&lt;$AE$2)*(M94&gt;=$AC$2)*(L94&gt;=0)))*2 * IF($AI$2=0, 1, AI94&lt;=$AI$2) * IF($AK$2=0, 1, AK94&lt;=$AK$2) * AND(N94&gt;=$D$1, H94&lt;=$I$2, G94&gt;=$H$2)), ((((M94&gt;=$AD$2)*(L94&gt;=$AH$2)) + ((M94&lt;$AD$2)*(M94&gt;=$AE$2)*(L94&gt;=$AG$2)) + ((M94&lt;$AE$2)*(M94&gt;=$AC$2)*(L94&gt;=0))) * IF($AI$2=0, 1, AI94&lt;=$AI$2) * IF($AK$2=0, 1, AK94&lt;=$AK$2) * AND(N94&gt;=$D$1, H94&lt;=$I$2, G94&gt;=$H$2)))</f>
        <v/>
      </c>
      <c r="AF94">
        <f>IF(AE94&gt;0, 1, 0)</f>
        <v/>
      </c>
      <c r="AG94">
        <f>IFERROR(IF(ISNUMBER(W94), IF(AN94, N94*W94*$AN$2, N94*W94), NA()), NA())</f>
        <v/>
      </c>
      <c r="AH94" s="13">
        <f>IFERROR(MIN(AG94, $U$2), 0)</f>
        <v/>
      </c>
      <c r="AI94" s="14">
        <f>IFERROR(VLOOKUP(A94, KEEPA!$A:$AW, 26, FALSE), 0)</f>
        <v/>
      </c>
      <c r="AJ94" s="16">
        <f>IFERROR(IF(AI94=0, 0, (AI94-H94)/H94), 0)</f>
        <v/>
      </c>
      <c r="AK94" s="14">
        <f>IFERROR(VLOOKUP(A94, KEEPA!$A:$AW, 28, FALSE), 0)</f>
        <v/>
      </c>
      <c r="AL94" s="16">
        <f>IFERROR(IF(AK94=0, 0, (AK94-H94)/H94), 0)</f>
        <v/>
      </c>
      <c r="AM94" s="13">
        <f>IFERROR(VLOOKUP(A94, AZInsight_Data!$A:$AS, 34, FALSE), 0)</f>
        <v/>
      </c>
      <c r="AN94">
        <f>IFERROR(AND(VLOOKUP(A94, KEEPA!$A:$AW, 2, FALSE)&lt;=$AO$2, N94 &gt;= $AM$2), FALSE)</f>
        <v/>
      </c>
      <c r="AO94" s="16">
        <f>IFERROR(VLOOKUP(A94, KEEPA!$A:$AW, 24, FALSE), 0)</f>
        <v/>
      </c>
      <c r="AP94" s="16">
        <f>IFERROR(VLOOKUP(A94, KEEPA!$A:$AW, 48, FALSE), 0)</f>
        <v/>
      </c>
      <c r="AQ94">
        <f>IFERROR(VLOOKUP(A94, AZInsight_Data!$A:$AS, 5, FALSE), "SL")</f>
        <v/>
      </c>
      <c r="AR94">
        <f>IF(OR(A94="", A94=0), "", HYPERLINK("https://keepa.com/#!product/1-"&amp;A94, "Keepa"))</f>
        <v/>
      </c>
      <c r="AS94">
        <f>IF(OR(A94="", A94=0), "", HYPERLINK("https://www.amazon.com/dp/"&amp;A94, "Amazon"))</f>
        <v/>
      </c>
      <c r="AT94">
        <f>IF(OR(A94="", A94=0), "", HYPERLINK("https://sellercentral.amazon.com/product-search/search?q="&amp;A94, "Check Gated"))</f>
        <v/>
      </c>
      <c r="AU94" s="12" t="n"/>
      <c r="AV94" s="12" t="n"/>
      <c r="AW94" s="12" t="n"/>
    </row>
    <row r="95">
      <c r="A95" s="12" t="n"/>
      <c r="B95" s="12">
        <f>IFERROR(VLOOKUP(A95, AZInsight_Data!$A:$AS, 3, FALSE), "")</f>
        <v/>
      </c>
      <c r="C95" s="13">
        <f>IFERROR(VLOOKUP(A95, AZInsight_Data!$A:$AS, 9, FALSE), 0)</f>
        <v/>
      </c>
      <c r="D95">
        <f>IFERROR(VLOOKUP(A95, AZInsight_Data!$A:$AS, 17, FALSE), 0)</f>
        <v/>
      </c>
      <c r="E95">
        <f>IFERROR(VLOOKUP(A95, AZInsight_Data!$A:$AS, 18, FALSE), 0)</f>
        <v/>
      </c>
      <c r="F95" s="14">
        <f>IFERROR(VLOOKUP(A95, AZInsight_Data!$A:$AS, 7, FALSE), 0)</f>
        <v/>
      </c>
      <c r="G95" s="15">
        <f>IFERROR(VLOOKUP(A95, AZInsight_Data!$A:$AS, 14, FALSE), 0)</f>
        <v/>
      </c>
      <c r="H95" s="14">
        <f>IFERROR(VLOOKUP(A95, AZInsight_Data!$A:$AS, 8, FALSE), 0)</f>
        <v/>
      </c>
      <c r="I95" s="16">
        <f>IFERROR(VLOOKUP(A95, KEEPA!$A:$AW, 47, FALSE), 0)</f>
        <v/>
      </c>
      <c r="J95">
        <f>IFERROR(VLOOKUP(A95, AZInsight_Data!$A:$AS, 25, FALSE), 0)</f>
        <v/>
      </c>
      <c r="K95" s="15">
        <f>IFERROR(VLOOKUP(A95, AZInsight_Data!$A:$AS, 16, FALSE), 0)</f>
        <v/>
      </c>
      <c r="L95" s="15">
        <f>IFERROR(K95-T95-J95, 0)</f>
        <v/>
      </c>
      <c r="M95" s="16">
        <f>IFERROR(IF(T95=0, 0, L95/T95), 0)</f>
        <v/>
      </c>
      <c r="N95" s="14">
        <f>IFERROR(C95*($V$2/30), 0)</f>
        <v/>
      </c>
      <c r="O95">
        <f>IFERROR(VLOOKUP(A95, AZInsight_Data!$A:$AS, 40, FALSE), 1)</f>
        <v/>
      </c>
      <c r="P95" s="13">
        <f>IF(O95&gt;0, O95, 1)</f>
        <v/>
      </c>
      <c r="Q95" s="13">
        <f>IFERROR(U95/P95, 0)</f>
        <v/>
      </c>
      <c r="R95">
        <f>IFERROR(VLOOKUP(A95, AZInsight_Data!$A:$AS, 36, FALSE), "")</f>
        <v/>
      </c>
      <c r="S95">
        <f>IFERROR(VLOOKUP(A95, AZInsight_Data!$A:$AS, 3, FALSE), "")</f>
        <v/>
      </c>
      <c r="T95" s="17">
        <f>IFERROR(VLOOKUP(A95, AZInsight_Data!$A:$AS, 13, FALSE), 0)</f>
        <v/>
      </c>
      <c r="U95" s="13">
        <f>AH95</f>
        <v/>
      </c>
      <c r="V95" s="15">
        <f>T95*U95</f>
        <v/>
      </c>
      <c r="W95" s="16" t="n"/>
      <c r="X95" s="12">
        <f>IFERROR(VLOOKUP(A95, AZInsight_Data!$A:$AS, 40, FALSE), 1)</f>
        <v/>
      </c>
      <c r="Y95" s="13">
        <f>IFERROR(VLOOKUP(A95, IP Qty!$D:$R, 5, FALSE), 0)</f>
        <v/>
      </c>
      <c r="Z95" s="14">
        <f>IFERROR(VLOOKUP(A95, IP Qty!$D:$R, 6, FALSE), 0)</f>
        <v/>
      </c>
      <c r="AA95">
        <f>IFERROR(VLOOKUP(A95, IP Qty!$D:$R, 7, FALSE), 0)</f>
        <v/>
      </c>
      <c r="AB95">
        <f>IFERROR(VLOOKUP(A95, IP Qty!$D:$R, 9, FALSE), 0)</f>
        <v/>
      </c>
      <c r="AC95">
        <f>IFERROR(VLOOKUP(A95, IP Qty!$D:$R, 8, FALSE), 0)</f>
        <v/>
      </c>
      <c r="AD95" s="14">
        <f>IFERROR(VLOOKUP(A95, KEEPA!$A:$AW, 34, FALSE), 0)</f>
        <v/>
      </c>
      <c r="AE95" s="15">
        <f>IF(P95&gt;1, ((((M95&gt;=$AD$2)*(L95&gt;=$AH$2)) + ((M95&lt;$AD$2)*(M95&gt;=$AE$2)*(L95&gt;=$AG$2)) + ((M95&lt;$AE$2)*(M95&gt;=$AC$2)*(L95&gt;=0)))*2 * IF($AI$2=0, 1, AI95&lt;=$AI$2) * IF($AK$2=0, 1, AK95&lt;=$AK$2) * AND(N95&gt;=$D$1, H95&lt;=$I$2, G95&gt;=$H$2)), ((((M95&gt;=$AD$2)*(L95&gt;=$AH$2)) + ((M95&lt;$AD$2)*(M95&gt;=$AE$2)*(L95&gt;=$AG$2)) + ((M95&lt;$AE$2)*(M95&gt;=$AC$2)*(L95&gt;=0))) * IF($AI$2=0, 1, AI95&lt;=$AI$2) * IF($AK$2=0, 1, AK95&lt;=$AK$2) * AND(N95&gt;=$D$1, H95&lt;=$I$2, G95&gt;=$H$2)))</f>
        <v/>
      </c>
      <c r="AF95">
        <f>IF(AE95&gt;0, 1, 0)</f>
        <v/>
      </c>
      <c r="AG95">
        <f>IFERROR(IF(ISNUMBER(W95), IF(AN95, N95*W95*$AN$2, N95*W95), NA()), NA())</f>
        <v/>
      </c>
      <c r="AH95" s="13">
        <f>IFERROR(MIN(AG95, $U$2), 0)</f>
        <v/>
      </c>
      <c r="AI95" s="14">
        <f>IFERROR(VLOOKUP(A95, KEEPA!$A:$AW, 26, FALSE), 0)</f>
        <v/>
      </c>
      <c r="AJ95" s="16">
        <f>IFERROR(IF(AI95=0, 0, (AI95-H95)/H95), 0)</f>
        <v/>
      </c>
      <c r="AK95" s="14">
        <f>IFERROR(VLOOKUP(A95, KEEPA!$A:$AW, 28, FALSE), 0)</f>
        <v/>
      </c>
      <c r="AL95" s="16">
        <f>IFERROR(IF(AK95=0, 0, (AK95-H95)/H95), 0)</f>
        <v/>
      </c>
      <c r="AM95" s="13">
        <f>IFERROR(VLOOKUP(A95, AZInsight_Data!$A:$AS, 34, FALSE), 0)</f>
        <v/>
      </c>
      <c r="AN95">
        <f>IFERROR(AND(VLOOKUP(A95, KEEPA!$A:$AW, 2, FALSE)&lt;=$AO$2, N95 &gt;= $AM$2), FALSE)</f>
        <v/>
      </c>
      <c r="AO95" s="16">
        <f>IFERROR(VLOOKUP(A95, KEEPA!$A:$AW, 24, FALSE), 0)</f>
        <v/>
      </c>
      <c r="AP95" s="16">
        <f>IFERROR(VLOOKUP(A95, KEEPA!$A:$AW, 48, FALSE), 0)</f>
        <v/>
      </c>
      <c r="AQ95">
        <f>IFERROR(VLOOKUP(A95, AZInsight_Data!$A:$AS, 5, FALSE), "SL")</f>
        <v/>
      </c>
      <c r="AR95">
        <f>IF(OR(A95="", A95=0), "", HYPERLINK("https://keepa.com/#!product/1-"&amp;A95, "Keepa"))</f>
        <v/>
      </c>
      <c r="AS95">
        <f>IF(OR(A95="", A95=0), "", HYPERLINK("https://www.amazon.com/dp/"&amp;A95, "Amazon"))</f>
        <v/>
      </c>
      <c r="AT95">
        <f>IF(OR(A95="", A95=0), "", HYPERLINK("https://sellercentral.amazon.com/product-search/search?q="&amp;A95, "Check Gated"))</f>
        <v/>
      </c>
      <c r="AU95" s="12" t="n"/>
      <c r="AV95" s="12" t="n"/>
      <c r="AW95" s="12" t="n"/>
    </row>
    <row r="96">
      <c r="A96" s="12" t="n"/>
      <c r="B96" s="12">
        <f>IFERROR(VLOOKUP(A96, AZInsight_Data!$A:$AS, 3, FALSE), "")</f>
        <v/>
      </c>
      <c r="C96" s="13">
        <f>IFERROR(VLOOKUP(A96, AZInsight_Data!$A:$AS, 9, FALSE), 0)</f>
        <v/>
      </c>
      <c r="D96">
        <f>IFERROR(VLOOKUP(A96, AZInsight_Data!$A:$AS, 17, FALSE), 0)</f>
        <v/>
      </c>
      <c r="E96">
        <f>IFERROR(VLOOKUP(A96, AZInsight_Data!$A:$AS, 18, FALSE), 0)</f>
        <v/>
      </c>
      <c r="F96" s="14">
        <f>IFERROR(VLOOKUP(A96, AZInsight_Data!$A:$AS, 7, FALSE), 0)</f>
        <v/>
      </c>
      <c r="G96" s="15">
        <f>IFERROR(VLOOKUP(A96, AZInsight_Data!$A:$AS, 14, FALSE), 0)</f>
        <v/>
      </c>
      <c r="H96" s="14">
        <f>IFERROR(VLOOKUP(A96, AZInsight_Data!$A:$AS, 8, FALSE), 0)</f>
        <v/>
      </c>
      <c r="I96" s="16">
        <f>IFERROR(VLOOKUP(A96, KEEPA!$A:$AW, 47, FALSE), 0)</f>
        <v/>
      </c>
      <c r="J96">
        <f>IFERROR(VLOOKUP(A96, AZInsight_Data!$A:$AS, 25, FALSE), 0)</f>
        <v/>
      </c>
      <c r="K96" s="15">
        <f>IFERROR(VLOOKUP(A96, AZInsight_Data!$A:$AS, 16, FALSE), 0)</f>
        <v/>
      </c>
      <c r="L96" s="15">
        <f>IFERROR(K96-T96-J96, 0)</f>
        <v/>
      </c>
      <c r="M96" s="16">
        <f>IFERROR(IF(T96=0, 0, L96/T96), 0)</f>
        <v/>
      </c>
      <c r="N96" s="14">
        <f>IFERROR(C96*($V$2/30), 0)</f>
        <v/>
      </c>
      <c r="O96">
        <f>IFERROR(VLOOKUP(A96, AZInsight_Data!$A:$AS, 40, FALSE), 1)</f>
        <v/>
      </c>
      <c r="P96" s="13">
        <f>IF(O96&gt;0, O96, 1)</f>
        <v/>
      </c>
      <c r="Q96" s="13">
        <f>IFERROR(U96/P96, 0)</f>
        <v/>
      </c>
      <c r="R96">
        <f>IFERROR(VLOOKUP(A96, AZInsight_Data!$A:$AS, 36, FALSE), "")</f>
        <v/>
      </c>
      <c r="S96">
        <f>IFERROR(VLOOKUP(A96, AZInsight_Data!$A:$AS, 3, FALSE), "")</f>
        <v/>
      </c>
      <c r="T96" s="17">
        <f>IFERROR(VLOOKUP(A96, AZInsight_Data!$A:$AS, 13, FALSE), 0)</f>
        <v/>
      </c>
      <c r="U96" s="13">
        <f>AH96</f>
        <v/>
      </c>
      <c r="V96" s="15">
        <f>T96*U96</f>
        <v/>
      </c>
      <c r="W96" s="16" t="n"/>
      <c r="X96" s="12">
        <f>IFERROR(VLOOKUP(A96, AZInsight_Data!$A:$AS, 40, FALSE), 1)</f>
        <v/>
      </c>
      <c r="Y96" s="13">
        <f>IFERROR(VLOOKUP(A96, IP Qty!$D:$R, 5, FALSE), 0)</f>
        <v/>
      </c>
      <c r="Z96" s="14">
        <f>IFERROR(VLOOKUP(A96, IP Qty!$D:$R, 6, FALSE), 0)</f>
        <v/>
      </c>
      <c r="AA96">
        <f>IFERROR(VLOOKUP(A96, IP Qty!$D:$R, 7, FALSE), 0)</f>
        <v/>
      </c>
      <c r="AB96">
        <f>IFERROR(VLOOKUP(A96, IP Qty!$D:$R, 9, FALSE), 0)</f>
        <v/>
      </c>
      <c r="AC96">
        <f>IFERROR(VLOOKUP(A96, IP Qty!$D:$R, 8, FALSE), 0)</f>
        <v/>
      </c>
      <c r="AD96" s="14">
        <f>IFERROR(VLOOKUP(A96, KEEPA!$A:$AW, 34, FALSE), 0)</f>
        <v/>
      </c>
      <c r="AE96" s="15">
        <f>IF(P96&gt;1, ((((M96&gt;=$AD$2)*(L96&gt;=$AH$2)) + ((M96&lt;$AD$2)*(M96&gt;=$AE$2)*(L96&gt;=$AG$2)) + ((M96&lt;$AE$2)*(M96&gt;=$AC$2)*(L96&gt;=0)))*2 * IF($AI$2=0, 1, AI96&lt;=$AI$2) * IF($AK$2=0, 1, AK96&lt;=$AK$2) * AND(N96&gt;=$D$1, H96&lt;=$I$2, G96&gt;=$H$2)), ((((M96&gt;=$AD$2)*(L96&gt;=$AH$2)) + ((M96&lt;$AD$2)*(M96&gt;=$AE$2)*(L96&gt;=$AG$2)) + ((M96&lt;$AE$2)*(M96&gt;=$AC$2)*(L96&gt;=0))) * IF($AI$2=0, 1, AI96&lt;=$AI$2) * IF($AK$2=0, 1, AK96&lt;=$AK$2) * AND(N96&gt;=$D$1, H96&lt;=$I$2, G96&gt;=$H$2)))</f>
        <v/>
      </c>
      <c r="AF96">
        <f>IF(AE96&gt;0, 1, 0)</f>
        <v/>
      </c>
      <c r="AG96">
        <f>IFERROR(IF(ISNUMBER(W96), IF(AN96, N96*W96*$AN$2, N96*W96), NA()), NA())</f>
        <v/>
      </c>
      <c r="AH96" s="13">
        <f>IFERROR(MIN(AG96, $U$2), 0)</f>
        <v/>
      </c>
      <c r="AI96" s="14">
        <f>IFERROR(VLOOKUP(A96, KEEPA!$A:$AW, 26, FALSE), 0)</f>
        <v/>
      </c>
      <c r="AJ96" s="16">
        <f>IFERROR(IF(AI96=0, 0, (AI96-H96)/H96), 0)</f>
        <v/>
      </c>
      <c r="AK96" s="14">
        <f>IFERROR(VLOOKUP(A96, KEEPA!$A:$AW, 28, FALSE), 0)</f>
        <v/>
      </c>
      <c r="AL96" s="16">
        <f>IFERROR(IF(AK96=0, 0, (AK96-H96)/H96), 0)</f>
        <v/>
      </c>
      <c r="AM96" s="13">
        <f>IFERROR(VLOOKUP(A96, AZInsight_Data!$A:$AS, 34, FALSE), 0)</f>
        <v/>
      </c>
      <c r="AN96">
        <f>IFERROR(AND(VLOOKUP(A96, KEEPA!$A:$AW, 2, FALSE)&lt;=$AO$2, N96 &gt;= $AM$2), FALSE)</f>
        <v/>
      </c>
      <c r="AO96" s="16">
        <f>IFERROR(VLOOKUP(A96, KEEPA!$A:$AW, 24, FALSE), 0)</f>
        <v/>
      </c>
      <c r="AP96" s="16">
        <f>IFERROR(VLOOKUP(A96, KEEPA!$A:$AW, 48, FALSE), 0)</f>
        <v/>
      </c>
      <c r="AQ96">
        <f>IFERROR(VLOOKUP(A96, AZInsight_Data!$A:$AS, 5, FALSE), "SL")</f>
        <v/>
      </c>
      <c r="AR96">
        <f>IF(OR(A96="", A96=0), "", HYPERLINK("https://keepa.com/#!product/1-"&amp;A96, "Keepa"))</f>
        <v/>
      </c>
      <c r="AS96">
        <f>IF(OR(A96="", A96=0), "", HYPERLINK("https://www.amazon.com/dp/"&amp;A96, "Amazon"))</f>
        <v/>
      </c>
      <c r="AT96">
        <f>IF(OR(A96="", A96=0), "", HYPERLINK("https://sellercentral.amazon.com/product-search/search?q="&amp;A96, "Check Gated"))</f>
        <v/>
      </c>
      <c r="AU96" s="12" t="n"/>
      <c r="AV96" s="12" t="n"/>
      <c r="AW96" s="12" t="n"/>
    </row>
    <row r="97">
      <c r="A97" s="12" t="n"/>
      <c r="B97" s="12">
        <f>IFERROR(VLOOKUP(A97, AZInsight_Data!$A:$AS, 3, FALSE), "")</f>
        <v/>
      </c>
      <c r="C97" s="13">
        <f>IFERROR(VLOOKUP(A97, AZInsight_Data!$A:$AS, 9, FALSE), 0)</f>
        <v/>
      </c>
      <c r="D97">
        <f>IFERROR(VLOOKUP(A97, AZInsight_Data!$A:$AS, 17, FALSE), 0)</f>
        <v/>
      </c>
      <c r="E97">
        <f>IFERROR(VLOOKUP(A97, AZInsight_Data!$A:$AS, 18, FALSE), 0)</f>
        <v/>
      </c>
      <c r="F97" s="14">
        <f>IFERROR(VLOOKUP(A97, AZInsight_Data!$A:$AS, 7, FALSE), 0)</f>
        <v/>
      </c>
      <c r="G97" s="15">
        <f>IFERROR(VLOOKUP(A97, AZInsight_Data!$A:$AS, 14, FALSE), 0)</f>
        <v/>
      </c>
      <c r="H97" s="14">
        <f>IFERROR(VLOOKUP(A97, AZInsight_Data!$A:$AS, 8, FALSE), 0)</f>
        <v/>
      </c>
      <c r="I97" s="16">
        <f>IFERROR(VLOOKUP(A97, KEEPA!$A:$AW, 47, FALSE), 0)</f>
        <v/>
      </c>
      <c r="J97">
        <f>IFERROR(VLOOKUP(A97, AZInsight_Data!$A:$AS, 25, FALSE), 0)</f>
        <v/>
      </c>
      <c r="K97" s="15">
        <f>IFERROR(VLOOKUP(A97, AZInsight_Data!$A:$AS, 16, FALSE), 0)</f>
        <v/>
      </c>
      <c r="L97" s="15">
        <f>IFERROR(K97-T97-J97, 0)</f>
        <v/>
      </c>
      <c r="M97" s="16">
        <f>IFERROR(IF(T97=0, 0, L97/T97), 0)</f>
        <v/>
      </c>
      <c r="N97" s="14">
        <f>IFERROR(C97*($V$2/30), 0)</f>
        <v/>
      </c>
      <c r="O97">
        <f>IFERROR(VLOOKUP(A97, AZInsight_Data!$A:$AS, 40, FALSE), 1)</f>
        <v/>
      </c>
      <c r="P97" s="13">
        <f>IF(O97&gt;0, O97, 1)</f>
        <v/>
      </c>
      <c r="Q97" s="13">
        <f>IFERROR(U97/P97, 0)</f>
        <v/>
      </c>
      <c r="R97">
        <f>IFERROR(VLOOKUP(A97, AZInsight_Data!$A:$AS, 36, FALSE), "")</f>
        <v/>
      </c>
      <c r="S97">
        <f>IFERROR(VLOOKUP(A97, AZInsight_Data!$A:$AS, 3, FALSE), "")</f>
        <v/>
      </c>
      <c r="T97" s="17">
        <f>IFERROR(VLOOKUP(A97, AZInsight_Data!$A:$AS, 13, FALSE), 0)</f>
        <v/>
      </c>
      <c r="U97" s="13">
        <f>AH97</f>
        <v/>
      </c>
      <c r="V97" s="15">
        <f>T97*U97</f>
        <v/>
      </c>
      <c r="W97" s="16" t="n"/>
      <c r="X97" s="12">
        <f>IFERROR(VLOOKUP(A97, AZInsight_Data!$A:$AS, 40, FALSE), 1)</f>
        <v/>
      </c>
      <c r="Y97" s="13">
        <f>IFERROR(VLOOKUP(A97, IP Qty!$D:$R, 5, FALSE), 0)</f>
        <v/>
      </c>
      <c r="Z97" s="14">
        <f>IFERROR(VLOOKUP(A97, IP Qty!$D:$R, 6, FALSE), 0)</f>
        <v/>
      </c>
      <c r="AA97">
        <f>IFERROR(VLOOKUP(A97, IP Qty!$D:$R, 7, FALSE), 0)</f>
        <v/>
      </c>
      <c r="AB97">
        <f>IFERROR(VLOOKUP(A97, IP Qty!$D:$R, 9, FALSE), 0)</f>
        <v/>
      </c>
      <c r="AC97">
        <f>IFERROR(VLOOKUP(A97, IP Qty!$D:$R, 8, FALSE), 0)</f>
        <v/>
      </c>
      <c r="AD97" s="14">
        <f>IFERROR(VLOOKUP(A97, KEEPA!$A:$AW, 34, FALSE), 0)</f>
        <v/>
      </c>
      <c r="AE97" s="15">
        <f>IF(P97&gt;1, ((((M97&gt;=$AD$2)*(L97&gt;=$AH$2)) + ((M97&lt;$AD$2)*(M97&gt;=$AE$2)*(L97&gt;=$AG$2)) + ((M97&lt;$AE$2)*(M97&gt;=$AC$2)*(L97&gt;=0)))*2 * IF($AI$2=0, 1, AI97&lt;=$AI$2) * IF($AK$2=0, 1, AK97&lt;=$AK$2) * AND(N97&gt;=$D$1, H97&lt;=$I$2, G97&gt;=$H$2)), ((((M97&gt;=$AD$2)*(L97&gt;=$AH$2)) + ((M97&lt;$AD$2)*(M97&gt;=$AE$2)*(L97&gt;=$AG$2)) + ((M97&lt;$AE$2)*(M97&gt;=$AC$2)*(L97&gt;=0))) * IF($AI$2=0, 1, AI97&lt;=$AI$2) * IF($AK$2=0, 1, AK97&lt;=$AK$2) * AND(N97&gt;=$D$1, H97&lt;=$I$2, G97&gt;=$H$2)))</f>
        <v/>
      </c>
      <c r="AF97">
        <f>IF(AE97&gt;0, 1, 0)</f>
        <v/>
      </c>
      <c r="AG97">
        <f>IFERROR(IF(ISNUMBER(W97), IF(AN97, N97*W97*$AN$2, N97*W97), NA()), NA())</f>
        <v/>
      </c>
      <c r="AH97" s="13">
        <f>IFERROR(MIN(AG97, $U$2), 0)</f>
        <v/>
      </c>
      <c r="AI97" s="14">
        <f>IFERROR(VLOOKUP(A97, KEEPA!$A:$AW, 26, FALSE), 0)</f>
        <v/>
      </c>
      <c r="AJ97" s="16">
        <f>IFERROR(IF(AI97=0, 0, (AI97-H97)/H97), 0)</f>
        <v/>
      </c>
      <c r="AK97" s="14">
        <f>IFERROR(VLOOKUP(A97, KEEPA!$A:$AW, 28, FALSE), 0)</f>
        <v/>
      </c>
      <c r="AL97" s="16">
        <f>IFERROR(IF(AK97=0, 0, (AK97-H97)/H97), 0)</f>
        <v/>
      </c>
      <c r="AM97" s="13">
        <f>IFERROR(VLOOKUP(A97, AZInsight_Data!$A:$AS, 34, FALSE), 0)</f>
        <v/>
      </c>
      <c r="AN97">
        <f>IFERROR(AND(VLOOKUP(A97, KEEPA!$A:$AW, 2, FALSE)&lt;=$AO$2, N97 &gt;= $AM$2), FALSE)</f>
        <v/>
      </c>
      <c r="AO97" s="16">
        <f>IFERROR(VLOOKUP(A97, KEEPA!$A:$AW, 24, FALSE), 0)</f>
        <v/>
      </c>
      <c r="AP97" s="16">
        <f>IFERROR(VLOOKUP(A97, KEEPA!$A:$AW, 48, FALSE), 0)</f>
        <v/>
      </c>
      <c r="AQ97">
        <f>IFERROR(VLOOKUP(A97, AZInsight_Data!$A:$AS, 5, FALSE), "SL")</f>
        <v/>
      </c>
      <c r="AR97">
        <f>IF(OR(A97="", A97=0), "", HYPERLINK("https://keepa.com/#!product/1-"&amp;A97, "Keepa"))</f>
        <v/>
      </c>
      <c r="AS97">
        <f>IF(OR(A97="", A97=0), "", HYPERLINK("https://www.amazon.com/dp/"&amp;A97, "Amazon"))</f>
        <v/>
      </c>
      <c r="AT97">
        <f>IF(OR(A97="", A97=0), "", HYPERLINK("https://sellercentral.amazon.com/product-search/search?q="&amp;A97, "Check Gated"))</f>
        <v/>
      </c>
      <c r="AU97" s="12" t="n"/>
      <c r="AV97" s="12" t="n"/>
      <c r="AW97" s="12" t="n"/>
    </row>
    <row r="98">
      <c r="A98" s="12" t="n"/>
      <c r="B98" s="12">
        <f>IFERROR(VLOOKUP(A98, AZInsight_Data!$A:$AS, 3, FALSE), "")</f>
        <v/>
      </c>
      <c r="C98" s="13">
        <f>IFERROR(VLOOKUP(A98, AZInsight_Data!$A:$AS, 9, FALSE), 0)</f>
        <v/>
      </c>
      <c r="D98">
        <f>IFERROR(VLOOKUP(A98, AZInsight_Data!$A:$AS, 17, FALSE), 0)</f>
        <v/>
      </c>
      <c r="E98">
        <f>IFERROR(VLOOKUP(A98, AZInsight_Data!$A:$AS, 18, FALSE), 0)</f>
        <v/>
      </c>
      <c r="F98" s="14">
        <f>IFERROR(VLOOKUP(A98, AZInsight_Data!$A:$AS, 7, FALSE), 0)</f>
        <v/>
      </c>
      <c r="G98" s="15">
        <f>IFERROR(VLOOKUP(A98, AZInsight_Data!$A:$AS, 14, FALSE), 0)</f>
        <v/>
      </c>
      <c r="H98" s="14">
        <f>IFERROR(VLOOKUP(A98, AZInsight_Data!$A:$AS, 8, FALSE), 0)</f>
        <v/>
      </c>
      <c r="I98" s="16">
        <f>IFERROR(VLOOKUP(A98, KEEPA!$A:$AW, 47, FALSE), 0)</f>
        <v/>
      </c>
      <c r="J98">
        <f>IFERROR(VLOOKUP(A98, AZInsight_Data!$A:$AS, 25, FALSE), 0)</f>
        <v/>
      </c>
      <c r="K98" s="15">
        <f>IFERROR(VLOOKUP(A98, AZInsight_Data!$A:$AS, 16, FALSE), 0)</f>
        <v/>
      </c>
      <c r="L98" s="15">
        <f>IFERROR(K98-T98-J98, 0)</f>
        <v/>
      </c>
      <c r="M98" s="16">
        <f>IFERROR(IF(T98=0, 0, L98/T98), 0)</f>
        <v/>
      </c>
      <c r="N98" s="14">
        <f>IFERROR(C98*($V$2/30), 0)</f>
        <v/>
      </c>
      <c r="O98">
        <f>IFERROR(VLOOKUP(A98, AZInsight_Data!$A:$AS, 40, FALSE), 1)</f>
        <v/>
      </c>
      <c r="P98" s="13">
        <f>IF(O98&gt;0, O98, 1)</f>
        <v/>
      </c>
      <c r="Q98" s="13">
        <f>IFERROR(U98/P98, 0)</f>
        <v/>
      </c>
      <c r="R98">
        <f>IFERROR(VLOOKUP(A98, AZInsight_Data!$A:$AS, 36, FALSE), "")</f>
        <v/>
      </c>
      <c r="S98">
        <f>IFERROR(VLOOKUP(A98, AZInsight_Data!$A:$AS, 3, FALSE), "")</f>
        <v/>
      </c>
      <c r="T98" s="17">
        <f>IFERROR(VLOOKUP(A98, AZInsight_Data!$A:$AS, 13, FALSE), 0)</f>
        <v/>
      </c>
      <c r="U98" s="13">
        <f>AH98</f>
        <v/>
      </c>
      <c r="V98" s="15">
        <f>T98*U98</f>
        <v/>
      </c>
      <c r="W98" s="16" t="n"/>
      <c r="X98" s="12">
        <f>IFERROR(VLOOKUP(A98, AZInsight_Data!$A:$AS, 40, FALSE), 1)</f>
        <v/>
      </c>
      <c r="Y98" s="13">
        <f>IFERROR(VLOOKUP(A98, IP Qty!$D:$R, 5, FALSE), 0)</f>
        <v/>
      </c>
      <c r="Z98" s="14">
        <f>IFERROR(VLOOKUP(A98, IP Qty!$D:$R, 6, FALSE), 0)</f>
        <v/>
      </c>
      <c r="AA98">
        <f>IFERROR(VLOOKUP(A98, IP Qty!$D:$R, 7, FALSE), 0)</f>
        <v/>
      </c>
      <c r="AB98">
        <f>IFERROR(VLOOKUP(A98, IP Qty!$D:$R, 9, FALSE), 0)</f>
        <v/>
      </c>
      <c r="AC98">
        <f>IFERROR(VLOOKUP(A98, IP Qty!$D:$R, 8, FALSE), 0)</f>
        <v/>
      </c>
      <c r="AD98" s="14">
        <f>IFERROR(VLOOKUP(A98, KEEPA!$A:$AW, 34, FALSE), 0)</f>
        <v/>
      </c>
      <c r="AE98" s="15">
        <f>IF(P98&gt;1, ((((M98&gt;=$AD$2)*(L98&gt;=$AH$2)) + ((M98&lt;$AD$2)*(M98&gt;=$AE$2)*(L98&gt;=$AG$2)) + ((M98&lt;$AE$2)*(M98&gt;=$AC$2)*(L98&gt;=0)))*2 * IF($AI$2=0, 1, AI98&lt;=$AI$2) * IF($AK$2=0, 1, AK98&lt;=$AK$2) * AND(N98&gt;=$D$1, H98&lt;=$I$2, G98&gt;=$H$2)), ((((M98&gt;=$AD$2)*(L98&gt;=$AH$2)) + ((M98&lt;$AD$2)*(M98&gt;=$AE$2)*(L98&gt;=$AG$2)) + ((M98&lt;$AE$2)*(M98&gt;=$AC$2)*(L98&gt;=0))) * IF($AI$2=0, 1, AI98&lt;=$AI$2) * IF($AK$2=0, 1, AK98&lt;=$AK$2) * AND(N98&gt;=$D$1, H98&lt;=$I$2, G98&gt;=$H$2)))</f>
        <v/>
      </c>
      <c r="AF98">
        <f>IF(AE98&gt;0, 1, 0)</f>
        <v/>
      </c>
      <c r="AG98">
        <f>IFERROR(IF(ISNUMBER(W98), IF(AN98, N98*W98*$AN$2, N98*W98), NA()), NA())</f>
        <v/>
      </c>
      <c r="AH98" s="13">
        <f>IFERROR(MIN(AG98, $U$2), 0)</f>
        <v/>
      </c>
      <c r="AI98" s="14">
        <f>IFERROR(VLOOKUP(A98, KEEPA!$A:$AW, 26, FALSE), 0)</f>
        <v/>
      </c>
      <c r="AJ98" s="16">
        <f>IFERROR(IF(AI98=0, 0, (AI98-H98)/H98), 0)</f>
        <v/>
      </c>
      <c r="AK98" s="14">
        <f>IFERROR(VLOOKUP(A98, KEEPA!$A:$AW, 28, FALSE), 0)</f>
        <v/>
      </c>
      <c r="AL98" s="16">
        <f>IFERROR(IF(AK98=0, 0, (AK98-H98)/H98), 0)</f>
        <v/>
      </c>
      <c r="AM98" s="13">
        <f>IFERROR(VLOOKUP(A98, AZInsight_Data!$A:$AS, 34, FALSE), 0)</f>
        <v/>
      </c>
      <c r="AN98">
        <f>IFERROR(AND(VLOOKUP(A98, KEEPA!$A:$AW, 2, FALSE)&lt;=$AO$2, N98 &gt;= $AM$2), FALSE)</f>
        <v/>
      </c>
      <c r="AO98" s="16">
        <f>IFERROR(VLOOKUP(A98, KEEPA!$A:$AW, 24, FALSE), 0)</f>
        <v/>
      </c>
      <c r="AP98" s="16">
        <f>IFERROR(VLOOKUP(A98, KEEPA!$A:$AW, 48, FALSE), 0)</f>
        <v/>
      </c>
      <c r="AQ98">
        <f>IFERROR(VLOOKUP(A98, AZInsight_Data!$A:$AS, 5, FALSE), "SL")</f>
        <v/>
      </c>
      <c r="AR98">
        <f>IF(OR(A98="", A98=0), "", HYPERLINK("https://keepa.com/#!product/1-"&amp;A98, "Keepa"))</f>
        <v/>
      </c>
      <c r="AS98">
        <f>IF(OR(A98="", A98=0), "", HYPERLINK("https://www.amazon.com/dp/"&amp;A98, "Amazon"))</f>
        <v/>
      </c>
      <c r="AT98">
        <f>IF(OR(A98="", A98=0), "", HYPERLINK("https://sellercentral.amazon.com/product-search/search?q="&amp;A98, "Check Gated"))</f>
        <v/>
      </c>
      <c r="AU98" s="12" t="n"/>
      <c r="AV98" s="12" t="n"/>
      <c r="AW98" s="12" t="n"/>
    </row>
    <row r="99">
      <c r="A99" s="12" t="n"/>
      <c r="B99" s="12">
        <f>IFERROR(VLOOKUP(A99, AZInsight_Data!$A:$AS, 3, FALSE), "")</f>
        <v/>
      </c>
      <c r="C99" s="13">
        <f>IFERROR(VLOOKUP(A99, AZInsight_Data!$A:$AS, 9, FALSE), 0)</f>
        <v/>
      </c>
      <c r="D99">
        <f>IFERROR(VLOOKUP(A99, AZInsight_Data!$A:$AS, 17, FALSE), 0)</f>
        <v/>
      </c>
      <c r="E99">
        <f>IFERROR(VLOOKUP(A99, AZInsight_Data!$A:$AS, 18, FALSE), 0)</f>
        <v/>
      </c>
      <c r="F99" s="14">
        <f>IFERROR(VLOOKUP(A99, AZInsight_Data!$A:$AS, 7, FALSE), 0)</f>
        <v/>
      </c>
      <c r="G99" s="15">
        <f>IFERROR(VLOOKUP(A99, AZInsight_Data!$A:$AS, 14, FALSE), 0)</f>
        <v/>
      </c>
      <c r="H99" s="14">
        <f>IFERROR(VLOOKUP(A99, AZInsight_Data!$A:$AS, 8, FALSE), 0)</f>
        <v/>
      </c>
      <c r="I99" s="16">
        <f>IFERROR(VLOOKUP(A99, KEEPA!$A:$AW, 47, FALSE), 0)</f>
        <v/>
      </c>
      <c r="J99">
        <f>IFERROR(VLOOKUP(A99, AZInsight_Data!$A:$AS, 25, FALSE), 0)</f>
        <v/>
      </c>
      <c r="K99" s="15">
        <f>IFERROR(VLOOKUP(A99, AZInsight_Data!$A:$AS, 16, FALSE), 0)</f>
        <v/>
      </c>
      <c r="L99" s="15">
        <f>IFERROR(K99-T99-J99, 0)</f>
        <v/>
      </c>
      <c r="M99" s="16">
        <f>IFERROR(IF(T99=0, 0, L99/T99), 0)</f>
        <v/>
      </c>
      <c r="N99" s="14">
        <f>IFERROR(C99*($V$2/30), 0)</f>
        <v/>
      </c>
      <c r="O99">
        <f>IFERROR(VLOOKUP(A99, AZInsight_Data!$A:$AS, 40, FALSE), 1)</f>
        <v/>
      </c>
      <c r="P99" s="13">
        <f>IF(O99&gt;0, O99, 1)</f>
        <v/>
      </c>
      <c r="Q99" s="13">
        <f>IFERROR(U99/P99, 0)</f>
        <v/>
      </c>
      <c r="R99">
        <f>IFERROR(VLOOKUP(A99, AZInsight_Data!$A:$AS, 36, FALSE), "")</f>
        <v/>
      </c>
      <c r="S99">
        <f>IFERROR(VLOOKUP(A99, AZInsight_Data!$A:$AS, 3, FALSE), "")</f>
        <v/>
      </c>
      <c r="T99" s="17">
        <f>IFERROR(VLOOKUP(A99, AZInsight_Data!$A:$AS, 13, FALSE), 0)</f>
        <v/>
      </c>
      <c r="U99" s="13">
        <f>AH99</f>
        <v/>
      </c>
      <c r="V99" s="15">
        <f>T99*U99</f>
        <v/>
      </c>
      <c r="W99" s="16" t="n"/>
      <c r="X99" s="12">
        <f>IFERROR(VLOOKUP(A99, AZInsight_Data!$A:$AS, 40, FALSE), 1)</f>
        <v/>
      </c>
      <c r="Y99" s="13">
        <f>IFERROR(VLOOKUP(A99, IP Qty!$D:$R, 5, FALSE), 0)</f>
        <v/>
      </c>
      <c r="Z99" s="14">
        <f>IFERROR(VLOOKUP(A99, IP Qty!$D:$R, 6, FALSE), 0)</f>
        <v/>
      </c>
      <c r="AA99">
        <f>IFERROR(VLOOKUP(A99, IP Qty!$D:$R, 7, FALSE), 0)</f>
        <v/>
      </c>
      <c r="AB99">
        <f>IFERROR(VLOOKUP(A99, IP Qty!$D:$R, 9, FALSE), 0)</f>
        <v/>
      </c>
      <c r="AC99">
        <f>IFERROR(VLOOKUP(A99, IP Qty!$D:$R, 8, FALSE), 0)</f>
        <v/>
      </c>
      <c r="AD99" s="14">
        <f>IFERROR(VLOOKUP(A99, KEEPA!$A:$AW, 34, FALSE), 0)</f>
        <v/>
      </c>
      <c r="AE99" s="15">
        <f>IF(P99&gt;1, ((((M99&gt;=$AD$2)*(L99&gt;=$AH$2)) + ((M99&lt;$AD$2)*(M99&gt;=$AE$2)*(L99&gt;=$AG$2)) + ((M99&lt;$AE$2)*(M99&gt;=$AC$2)*(L99&gt;=0)))*2 * IF($AI$2=0, 1, AI99&lt;=$AI$2) * IF($AK$2=0, 1, AK99&lt;=$AK$2) * AND(N99&gt;=$D$1, H99&lt;=$I$2, G99&gt;=$H$2)), ((((M99&gt;=$AD$2)*(L99&gt;=$AH$2)) + ((M99&lt;$AD$2)*(M99&gt;=$AE$2)*(L99&gt;=$AG$2)) + ((M99&lt;$AE$2)*(M99&gt;=$AC$2)*(L99&gt;=0))) * IF($AI$2=0, 1, AI99&lt;=$AI$2) * IF($AK$2=0, 1, AK99&lt;=$AK$2) * AND(N99&gt;=$D$1, H99&lt;=$I$2, G99&gt;=$H$2)))</f>
        <v/>
      </c>
      <c r="AF99">
        <f>IF(AE99&gt;0, 1, 0)</f>
        <v/>
      </c>
      <c r="AG99">
        <f>IFERROR(IF(ISNUMBER(W99), IF(AN99, N99*W99*$AN$2, N99*W99), NA()), NA())</f>
        <v/>
      </c>
      <c r="AH99" s="13">
        <f>IFERROR(MIN(AG99, $U$2), 0)</f>
        <v/>
      </c>
      <c r="AI99" s="14">
        <f>IFERROR(VLOOKUP(A99, KEEPA!$A:$AW, 26, FALSE), 0)</f>
        <v/>
      </c>
      <c r="AJ99" s="16">
        <f>IFERROR(IF(AI99=0, 0, (AI99-H99)/H99), 0)</f>
        <v/>
      </c>
      <c r="AK99" s="14">
        <f>IFERROR(VLOOKUP(A99, KEEPA!$A:$AW, 28, FALSE), 0)</f>
        <v/>
      </c>
      <c r="AL99" s="16">
        <f>IFERROR(IF(AK99=0, 0, (AK99-H99)/H99), 0)</f>
        <v/>
      </c>
      <c r="AM99" s="13">
        <f>IFERROR(VLOOKUP(A99, AZInsight_Data!$A:$AS, 34, FALSE), 0)</f>
        <v/>
      </c>
      <c r="AN99">
        <f>IFERROR(AND(VLOOKUP(A99, KEEPA!$A:$AW, 2, FALSE)&lt;=$AO$2, N99 &gt;= $AM$2), FALSE)</f>
        <v/>
      </c>
      <c r="AO99" s="16">
        <f>IFERROR(VLOOKUP(A99, KEEPA!$A:$AW, 24, FALSE), 0)</f>
        <v/>
      </c>
      <c r="AP99" s="16">
        <f>IFERROR(VLOOKUP(A99, KEEPA!$A:$AW, 48, FALSE), 0)</f>
        <v/>
      </c>
      <c r="AQ99">
        <f>IFERROR(VLOOKUP(A99, AZInsight_Data!$A:$AS, 5, FALSE), "SL")</f>
        <v/>
      </c>
      <c r="AR99">
        <f>IF(OR(A99="", A99=0), "", HYPERLINK("https://keepa.com/#!product/1-"&amp;A99, "Keepa"))</f>
        <v/>
      </c>
      <c r="AS99">
        <f>IF(OR(A99="", A99=0), "", HYPERLINK("https://www.amazon.com/dp/"&amp;A99, "Amazon"))</f>
        <v/>
      </c>
      <c r="AT99">
        <f>IF(OR(A99="", A99=0), "", HYPERLINK("https://sellercentral.amazon.com/product-search/search?q="&amp;A99, "Check Gated"))</f>
        <v/>
      </c>
      <c r="AU99" s="12" t="n"/>
      <c r="AV99" s="12" t="n"/>
      <c r="AW99" s="12" t="n"/>
    </row>
    <row r="100">
      <c r="A100" s="12" t="n"/>
      <c r="B100" s="12">
        <f>IFERROR(VLOOKUP(A100, AZInsight_Data!$A:$AS, 3, FALSE), "")</f>
        <v/>
      </c>
      <c r="C100" s="13">
        <f>IFERROR(VLOOKUP(A100, AZInsight_Data!$A:$AS, 9, FALSE), 0)</f>
        <v/>
      </c>
      <c r="D100">
        <f>IFERROR(VLOOKUP(A100, AZInsight_Data!$A:$AS, 17, FALSE), 0)</f>
        <v/>
      </c>
      <c r="E100">
        <f>IFERROR(VLOOKUP(A100, AZInsight_Data!$A:$AS, 18, FALSE), 0)</f>
        <v/>
      </c>
      <c r="F100" s="14">
        <f>IFERROR(VLOOKUP(A100, AZInsight_Data!$A:$AS, 7, FALSE), 0)</f>
        <v/>
      </c>
      <c r="G100" s="15">
        <f>IFERROR(VLOOKUP(A100, AZInsight_Data!$A:$AS, 14, FALSE), 0)</f>
        <v/>
      </c>
      <c r="H100" s="14">
        <f>IFERROR(VLOOKUP(A100, AZInsight_Data!$A:$AS, 8, FALSE), 0)</f>
        <v/>
      </c>
      <c r="I100" s="16">
        <f>IFERROR(VLOOKUP(A100, KEEPA!$A:$AW, 47, FALSE), 0)</f>
        <v/>
      </c>
      <c r="J100">
        <f>IFERROR(VLOOKUP(A100, AZInsight_Data!$A:$AS, 25, FALSE), 0)</f>
        <v/>
      </c>
      <c r="K100" s="15">
        <f>IFERROR(VLOOKUP(A100, AZInsight_Data!$A:$AS, 16, FALSE), 0)</f>
        <v/>
      </c>
      <c r="L100" s="15">
        <f>IFERROR(K100-T100-J100, 0)</f>
        <v/>
      </c>
      <c r="M100" s="16">
        <f>IFERROR(IF(T100=0, 0, L100/T100), 0)</f>
        <v/>
      </c>
      <c r="N100" s="14">
        <f>IFERROR(C100*($V$2/30), 0)</f>
        <v/>
      </c>
      <c r="O100">
        <f>IFERROR(VLOOKUP(A100, AZInsight_Data!$A:$AS, 40, FALSE), 1)</f>
        <v/>
      </c>
      <c r="P100" s="13">
        <f>IF(O100&gt;0, O100, 1)</f>
        <v/>
      </c>
      <c r="Q100" s="13">
        <f>IFERROR(U100/P100, 0)</f>
        <v/>
      </c>
      <c r="R100">
        <f>IFERROR(VLOOKUP(A100, AZInsight_Data!$A:$AS, 36, FALSE), "")</f>
        <v/>
      </c>
      <c r="S100">
        <f>IFERROR(VLOOKUP(A100, AZInsight_Data!$A:$AS, 3, FALSE), "")</f>
        <v/>
      </c>
      <c r="T100" s="17">
        <f>IFERROR(VLOOKUP(A100, AZInsight_Data!$A:$AS, 13, FALSE), 0)</f>
        <v/>
      </c>
      <c r="U100" s="13">
        <f>AH100</f>
        <v/>
      </c>
      <c r="V100" s="15">
        <f>T100*U100</f>
        <v/>
      </c>
      <c r="W100" s="16" t="n"/>
      <c r="X100" s="12">
        <f>IFERROR(VLOOKUP(A100, AZInsight_Data!$A:$AS, 40, FALSE), 1)</f>
        <v/>
      </c>
      <c r="Y100" s="13">
        <f>IFERROR(VLOOKUP(A100, IP Qty!$D:$R, 5, FALSE), 0)</f>
        <v/>
      </c>
      <c r="Z100" s="14">
        <f>IFERROR(VLOOKUP(A100, IP Qty!$D:$R, 6, FALSE), 0)</f>
        <v/>
      </c>
      <c r="AA100">
        <f>IFERROR(VLOOKUP(A100, IP Qty!$D:$R, 7, FALSE), 0)</f>
        <v/>
      </c>
      <c r="AB100">
        <f>IFERROR(VLOOKUP(A100, IP Qty!$D:$R, 9, FALSE), 0)</f>
        <v/>
      </c>
      <c r="AC100">
        <f>IFERROR(VLOOKUP(A100, IP Qty!$D:$R, 8, FALSE), 0)</f>
        <v/>
      </c>
      <c r="AD100" s="14">
        <f>IFERROR(VLOOKUP(A100, KEEPA!$A:$AW, 34, FALSE), 0)</f>
        <v/>
      </c>
      <c r="AE100" s="15">
        <f>IF(P100&gt;1, ((((M100&gt;=$AD$2)*(L100&gt;=$AH$2)) + ((M100&lt;$AD$2)*(M100&gt;=$AE$2)*(L100&gt;=$AG$2)) + ((M100&lt;$AE$2)*(M100&gt;=$AC$2)*(L100&gt;=0)))*2 * IF($AI$2=0, 1, AI100&lt;=$AI$2) * IF($AK$2=0, 1, AK100&lt;=$AK$2) * AND(N100&gt;=$D$1, H100&lt;=$I$2, G100&gt;=$H$2)), ((((M100&gt;=$AD$2)*(L100&gt;=$AH$2)) + ((M100&lt;$AD$2)*(M100&gt;=$AE$2)*(L100&gt;=$AG$2)) + ((M100&lt;$AE$2)*(M100&gt;=$AC$2)*(L100&gt;=0))) * IF($AI$2=0, 1, AI100&lt;=$AI$2) * IF($AK$2=0, 1, AK100&lt;=$AK$2) * AND(N100&gt;=$D$1, H100&lt;=$I$2, G100&gt;=$H$2)))</f>
        <v/>
      </c>
      <c r="AF100">
        <f>IF(AE100&gt;0, 1, 0)</f>
        <v/>
      </c>
      <c r="AG100">
        <f>IFERROR(IF(ISNUMBER(W100), IF(AN100, N100*W100*$AN$2, N100*W100), NA()), NA())</f>
        <v/>
      </c>
      <c r="AH100" s="13">
        <f>IFERROR(MIN(AG100, $U$2), 0)</f>
        <v/>
      </c>
      <c r="AI100" s="14">
        <f>IFERROR(VLOOKUP(A100, KEEPA!$A:$AW, 26, FALSE), 0)</f>
        <v/>
      </c>
      <c r="AJ100" s="16">
        <f>IFERROR(IF(AI100=0, 0, (AI100-H100)/H100), 0)</f>
        <v/>
      </c>
      <c r="AK100" s="14">
        <f>IFERROR(VLOOKUP(A100, KEEPA!$A:$AW, 28, FALSE), 0)</f>
        <v/>
      </c>
      <c r="AL100" s="16">
        <f>IFERROR(IF(AK100=0, 0, (AK100-H100)/H100), 0)</f>
        <v/>
      </c>
      <c r="AM100" s="13">
        <f>IFERROR(VLOOKUP(A100, AZInsight_Data!$A:$AS, 34, FALSE), 0)</f>
        <v/>
      </c>
      <c r="AN100">
        <f>IFERROR(AND(VLOOKUP(A100, KEEPA!$A:$AW, 2, FALSE)&lt;=$AO$2, N100 &gt;= $AM$2), FALSE)</f>
        <v/>
      </c>
      <c r="AO100" s="16">
        <f>IFERROR(VLOOKUP(A100, KEEPA!$A:$AW, 24, FALSE), 0)</f>
        <v/>
      </c>
      <c r="AP100" s="16">
        <f>IFERROR(VLOOKUP(A100, KEEPA!$A:$AW, 48, FALSE), 0)</f>
        <v/>
      </c>
      <c r="AQ100">
        <f>IFERROR(VLOOKUP(A100, AZInsight_Data!$A:$AS, 5, FALSE), "SL")</f>
        <v/>
      </c>
      <c r="AR100">
        <f>IF(OR(A100="", A100=0), "", HYPERLINK("https://keepa.com/#!product/1-"&amp;A100, "Keepa"))</f>
        <v/>
      </c>
      <c r="AS100">
        <f>IF(OR(A100="", A100=0), "", HYPERLINK("https://www.amazon.com/dp/"&amp;A100, "Amazon"))</f>
        <v/>
      </c>
      <c r="AT100">
        <f>IF(OR(A100="", A100=0), "", HYPERLINK("https://sellercentral.amazon.com/product-search/search?q="&amp;A100, "Check Gated"))</f>
        <v/>
      </c>
      <c r="AU100" s="12" t="n"/>
      <c r="AV100" s="12" t="n"/>
      <c r="AW100" s="12" t="n"/>
    </row>
    <row r="101">
      <c r="A101" s="12" t="n"/>
      <c r="B101" s="12">
        <f>IFERROR(VLOOKUP(A101, AZInsight_Data!$A:$AS, 3, FALSE), "")</f>
        <v/>
      </c>
      <c r="C101" s="13">
        <f>IFERROR(VLOOKUP(A101, AZInsight_Data!$A:$AS, 9, FALSE), 0)</f>
        <v/>
      </c>
      <c r="D101">
        <f>IFERROR(VLOOKUP(A101, AZInsight_Data!$A:$AS, 17, FALSE), 0)</f>
        <v/>
      </c>
      <c r="E101">
        <f>IFERROR(VLOOKUP(A101, AZInsight_Data!$A:$AS, 18, FALSE), 0)</f>
        <v/>
      </c>
      <c r="F101" s="14">
        <f>IFERROR(VLOOKUP(A101, AZInsight_Data!$A:$AS, 7, FALSE), 0)</f>
        <v/>
      </c>
      <c r="G101" s="15">
        <f>IFERROR(VLOOKUP(A101, AZInsight_Data!$A:$AS, 14, FALSE), 0)</f>
        <v/>
      </c>
      <c r="H101" s="14">
        <f>IFERROR(VLOOKUP(A101, AZInsight_Data!$A:$AS, 8, FALSE), 0)</f>
        <v/>
      </c>
      <c r="I101" s="16">
        <f>IFERROR(VLOOKUP(A101, KEEPA!$A:$AW, 47, FALSE), 0)</f>
        <v/>
      </c>
      <c r="J101">
        <f>IFERROR(VLOOKUP(A101, AZInsight_Data!$A:$AS, 25, FALSE), 0)</f>
        <v/>
      </c>
      <c r="K101" s="15">
        <f>IFERROR(VLOOKUP(A101, AZInsight_Data!$A:$AS, 16, FALSE), 0)</f>
        <v/>
      </c>
      <c r="L101" s="15">
        <f>IFERROR(K101-T101-J101, 0)</f>
        <v/>
      </c>
      <c r="M101" s="16">
        <f>IFERROR(IF(T101=0, 0, L101/T101), 0)</f>
        <v/>
      </c>
      <c r="N101" s="14">
        <f>IFERROR(C101*($V$2/30), 0)</f>
        <v/>
      </c>
      <c r="O101">
        <f>IFERROR(VLOOKUP(A101, AZInsight_Data!$A:$AS, 40, FALSE), 1)</f>
        <v/>
      </c>
      <c r="P101" s="13">
        <f>IF(O101&gt;0, O101, 1)</f>
        <v/>
      </c>
      <c r="Q101" s="13">
        <f>IFERROR(U101/P101, 0)</f>
        <v/>
      </c>
      <c r="R101">
        <f>IFERROR(VLOOKUP(A101, AZInsight_Data!$A:$AS, 36, FALSE), "")</f>
        <v/>
      </c>
      <c r="S101">
        <f>IFERROR(VLOOKUP(A101, AZInsight_Data!$A:$AS, 3, FALSE), "")</f>
        <v/>
      </c>
      <c r="T101" s="17">
        <f>IFERROR(VLOOKUP(A101, AZInsight_Data!$A:$AS, 13, FALSE), 0)</f>
        <v/>
      </c>
      <c r="U101" s="13">
        <f>AH101</f>
        <v/>
      </c>
      <c r="V101" s="15">
        <f>T101*U101</f>
        <v/>
      </c>
      <c r="W101" s="16" t="n"/>
      <c r="X101" s="12">
        <f>IFERROR(VLOOKUP(A101, AZInsight_Data!$A:$AS, 40, FALSE), 1)</f>
        <v/>
      </c>
      <c r="Y101" s="13">
        <f>IFERROR(VLOOKUP(A101, IP Qty!$D:$R, 5, FALSE), 0)</f>
        <v/>
      </c>
      <c r="Z101" s="14">
        <f>IFERROR(VLOOKUP(A101, IP Qty!$D:$R, 6, FALSE), 0)</f>
        <v/>
      </c>
      <c r="AA101">
        <f>IFERROR(VLOOKUP(A101, IP Qty!$D:$R, 7, FALSE), 0)</f>
        <v/>
      </c>
      <c r="AB101">
        <f>IFERROR(VLOOKUP(A101, IP Qty!$D:$R, 9, FALSE), 0)</f>
        <v/>
      </c>
      <c r="AC101">
        <f>IFERROR(VLOOKUP(A101, IP Qty!$D:$R, 8, FALSE), 0)</f>
        <v/>
      </c>
      <c r="AD101" s="14">
        <f>IFERROR(VLOOKUP(A101, KEEPA!$A:$AW, 34, FALSE), 0)</f>
        <v/>
      </c>
      <c r="AE101" s="15">
        <f>IF(P101&gt;1, ((((M101&gt;=$AD$2)*(L101&gt;=$AH$2)) + ((M101&lt;$AD$2)*(M101&gt;=$AE$2)*(L101&gt;=$AG$2)) + ((M101&lt;$AE$2)*(M101&gt;=$AC$2)*(L101&gt;=0)))*2 * IF($AI$2=0, 1, AI101&lt;=$AI$2) * IF($AK$2=0, 1, AK101&lt;=$AK$2) * AND(N101&gt;=$D$1, H101&lt;=$I$2, G101&gt;=$H$2)), ((((M101&gt;=$AD$2)*(L101&gt;=$AH$2)) + ((M101&lt;$AD$2)*(M101&gt;=$AE$2)*(L101&gt;=$AG$2)) + ((M101&lt;$AE$2)*(M101&gt;=$AC$2)*(L101&gt;=0))) * IF($AI$2=0, 1, AI101&lt;=$AI$2) * IF($AK$2=0, 1, AK101&lt;=$AK$2) * AND(N101&gt;=$D$1, H101&lt;=$I$2, G101&gt;=$H$2)))</f>
        <v/>
      </c>
      <c r="AF101">
        <f>IF(AE101&gt;0, 1, 0)</f>
        <v/>
      </c>
      <c r="AG101">
        <f>IFERROR(IF(ISNUMBER(W101), IF(AN101, N101*W101*$AN$2, N101*W101), NA()), NA())</f>
        <v/>
      </c>
      <c r="AH101" s="13">
        <f>IFERROR(MIN(AG101, $U$2), 0)</f>
        <v/>
      </c>
      <c r="AI101" s="14">
        <f>IFERROR(VLOOKUP(A101, KEEPA!$A:$AW, 26, FALSE), 0)</f>
        <v/>
      </c>
      <c r="AJ101" s="16">
        <f>IFERROR(IF(AI101=0, 0, (AI101-H101)/H101), 0)</f>
        <v/>
      </c>
      <c r="AK101" s="14">
        <f>IFERROR(VLOOKUP(A101, KEEPA!$A:$AW, 28, FALSE), 0)</f>
        <v/>
      </c>
      <c r="AL101" s="16">
        <f>IFERROR(IF(AK101=0, 0, (AK101-H101)/H101), 0)</f>
        <v/>
      </c>
      <c r="AM101" s="13">
        <f>IFERROR(VLOOKUP(A101, AZInsight_Data!$A:$AS, 34, FALSE), 0)</f>
        <v/>
      </c>
      <c r="AN101">
        <f>IFERROR(AND(VLOOKUP(A101, KEEPA!$A:$AW, 2, FALSE)&lt;=$AO$2, N101 &gt;= $AM$2), FALSE)</f>
        <v/>
      </c>
      <c r="AO101" s="16">
        <f>IFERROR(VLOOKUP(A101, KEEPA!$A:$AW, 24, FALSE), 0)</f>
        <v/>
      </c>
      <c r="AP101" s="16">
        <f>IFERROR(VLOOKUP(A101, KEEPA!$A:$AW, 48, FALSE), 0)</f>
        <v/>
      </c>
      <c r="AQ101">
        <f>IFERROR(VLOOKUP(A101, AZInsight_Data!$A:$AS, 5, FALSE), "SL")</f>
        <v/>
      </c>
      <c r="AR101">
        <f>IF(OR(A101="", A101=0), "", HYPERLINK("https://keepa.com/#!product/1-"&amp;A101, "Keepa"))</f>
        <v/>
      </c>
      <c r="AS101">
        <f>IF(OR(A101="", A101=0), "", HYPERLINK("https://www.amazon.com/dp/"&amp;A101, "Amazon"))</f>
        <v/>
      </c>
      <c r="AT101">
        <f>IF(OR(A101="", A101=0), "", HYPERLINK("https://sellercentral.amazon.com/product-search/search?q="&amp;A101, "Check Gated"))</f>
        <v/>
      </c>
      <c r="AU101" s="12" t="n"/>
      <c r="AV101" s="12" t="n"/>
      <c r="AW101" s="12" t="n"/>
    </row>
    <row r="102">
      <c r="A102" s="12" t="n"/>
      <c r="B102" s="12">
        <f>IFERROR(VLOOKUP(A102, AZInsight_Data!$A:$AS, 3, FALSE), "")</f>
        <v/>
      </c>
      <c r="C102" s="13">
        <f>IFERROR(VLOOKUP(A102, AZInsight_Data!$A:$AS, 9, FALSE), 0)</f>
        <v/>
      </c>
      <c r="D102">
        <f>IFERROR(VLOOKUP(A102, AZInsight_Data!$A:$AS, 17, FALSE), 0)</f>
        <v/>
      </c>
      <c r="E102">
        <f>IFERROR(VLOOKUP(A102, AZInsight_Data!$A:$AS, 18, FALSE), 0)</f>
        <v/>
      </c>
      <c r="F102" s="14">
        <f>IFERROR(VLOOKUP(A102, AZInsight_Data!$A:$AS, 7, FALSE), 0)</f>
        <v/>
      </c>
      <c r="G102" s="15">
        <f>IFERROR(VLOOKUP(A102, AZInsight_Data!$A:$AS, 14, FALSE), 0)</f>
        <v/>
      </c>
      <c r="H102" s="14">
        <f>IFERROR(VLOOKUP(A102, AZInsight_Data!$A:$AS, 8, FALSE), 0)</f>
        <v/>
      </c>
      <c r="I102" s="16">
        <f>IFERROR(VLOOKUP(A102, KEEPA!$A:$AW, 47, FALSE), 0)</f>
        <v/>
      </c>
      <c r="J102">
        <f>IFERROR(VLOOKUP(A102, AZInsight_Data!$A:$AS, 25, FALSE), 0)</f>
        <v/>
      </c>
      <c r="K102" s="15">
        <f>IFERROR(VLOOKUP(A102, AZInsight_Data!$A:$AS, 16, FALSE), 0)</f>
        <v/>
      </c>
      <c r="L102" s="15">
        <f>IFERROR(K102-T102-J102, 0)</f>
        <v/>
      </c>
      <c r="M102" s="16">
        <f>IFERROR(IF(T102=0, 0, L102/T102), 0)</f>
        <v/>
      </c>
      <c r="N102" s="14">
        <f>IFERROR(C102*($V$2/30), 0)</f>
        <v/>
      </c>
      <c r="O102">
        <f>IFERROR(VLOOKUP(A102, AZInsight_Data!$A:$AS, 40, FALSE), 1)</f>
        <v/>
      </c>
      <c r="P102" s="13">
        <f>IF(O102&gt;0, O102, 1)</f>
        <v/>
      </c>
      <c r="Q102" s="13">
        <f>IFERROR(U102/P102, 0)</f>
        <v/>
      </c>
      <c r="R102">
        <f>IFERROR(VLOOKUP(A102, AZInsight_Data!$A:$AS, 36, FALSE), "")</f>
        <v/>
      </c>
      <c r="S102">
        <f>IFERROR(VLOOKUP(A102, AZInsight_Data!$A:$AS, 3, FALSE), "")</f>
        <v/>
      </c>
      <c r="T102" s="17">
        <f>IFERROR(VLOOKUP(A102, AZInsight_Data!$A:$AS, 13, FALSE), 0)</f>
        <v/>
      </c>
      <c r="U102" s="13">
        <f>AH102</f>
        <v/>
      </c>
      <c r="V102" s="15">
        <f>T102*U102</f>
        <v/>
      </c>
      <c r="W102" s="16" t="n"/>
      <c r="X102" s="12">
        <f>IFERROR(VLOOKUP(A102, AZInsight_Data!$A:$AS, 40, FALSE), 1)</f>
        <v/>
      </c>
      <c r="Y102" s="13">
        <f>IFERROR(VLOOKUP(A102, IP Qty!$D:$R, 5, FALSE), 0)</f>
        <v/>
      </c>
      <c r="Z102" s="14">
        <f>IFERROR(VLOOKUP(A102, IP Qty!$D:$R, 6, FALSE), 0)</f>
        <v/>
      </c>
      <c r="AA102">
        <f>IFERROR(VLOOKUP(A102, IP Qty!$D:$R, 7, FALSE), 0)</f>
        <v/>
      </c>
      <c r="AB102">
        <f>IFERROR(VLOOKUP(A102, IP Qty!$D:$R, 9, FALSE), 0)</f>
        <v/>
      </c>
      <c r="AC102">
        <f>IFERROR(VLOOKUP(A102, IP Qty!$D:$R, 8, FALSE), 0)</f>
        <v/>
      </c>
      <c r="AD102" s="14">
        <f>IFERROR(VLOOKUP(A102, KEEPA!$A:$AW, 34, FALSE), 0)</f>
        <v/>
      </c>
      <c r="AE102" s="15">
        <f>IF(P102&gt;1, ((((M102&gt;=$AD$2)*(L102&gt;=$AH$2)) + ((M102&lt;$AD$2)*(M102&gt;=$AE$2)*(L102&gt;=$AG$2)) + ((M102&lt;$AE$2)*(M102&gt;=$AC$2)*(L102&gt;=0)))*2 * IF($AI$2=0, 1, AI102&lt;=$AI$2) * IF($AK$2=0, 1, AK102&lt;=$AK$2) * AND(N102&gt;=$D$1, H102&lt;=$I$2, G102&gt;=$H$2)), ((((M102&gt;=$AD$2)*(L102&gt;=$AH$2)) + ((M102&lt;$AD$2)*(M102&gt;=$AE$2)*(L102&gt;=$AG$2)) + ((M102&lt;$AE$2)*(M102&gt;=$AC$2)*(L102&gt;=0))) * IF($AI$2=0, 1, AI102&lt;=$AI$2) * IF($AK$2=0, 1, AK102&lt;=$AK$2) * AND(N102&gt;=$D$1, H102&lt;=$I$2, G102&gt;=$H$2)))</f>
        <v/>
      </c>
      <c r="AF102">
        <f>IF(AE102&gt;0, 1, 0)</f>
        <v/>
      </c>
      <c r="AG102">
        <f>IFERROR(IF(ISNUMBER(W102), IF(AN102, N102*W102*$AN$2, N102*W102), NA()), NA())</f>
        <v/>
      </c>
      <c r="AH102" s="13">
        <f>IFERROR(MIN(AG102, $U$2), 0)</f>
        <v/>
      </c>
      <c r="AI102" s="14">
        <f>IFERROR(VLOOKUP(A102, KEEPA!$A:$AW, 26, FALSE), 0)</f>
        <v/>
      </c>
      <c r="AJ102" s="16">
        <f>IFERROR(IF(AI102=0, 0, (AI102-H102)/H102), 0)</f>
        <v/>
      </c>
      <c r="AK102" s="14">
        <f>IFERROR(VLOOKUP(A102, KEEPA!$A:$AW, 28, FALSE), 0)</f>
        <v/>
      </c>
      <c r="AL102" s="16">
        <f>IFERROR(IF(AK102=0, 0, (AK102-H102)/H102), 0)</f>
        <v/>
      </c>
      <c r="AM102" s="13">
        <f>IFERROR(VLOOKUP(A102, AZInsight_Data!$A:$AS, 34, FALSE), 0)</f>
        <v/>
      </c>
      <c r="AN102">
        <f>IFERROR(AND(VLOOKUP(A102, KEEPA!$A:$AW, 2, FALSE)&lt;=$AO$2, N102 &gt;= $AM$2), FALSE)</f>
        <v/>
      </c>
      <c r="AO102" s="16">
        <f>IFERROR(VLOOKUP(A102, KEEPA!$A:$AW, 24, FALSE), 0)</f>
        <v/>
      </c>
      <c r="AP102" s="16">
        <f>IFERROR(VLOOKUP(A102, KEEPA!$A:$AW, 48, FALSE), 0)</f>
        <v/>
      </c>
      <c r="AQ102">
        <f>IFERROR(VLOOKUP(A102, AZInsight_Data!$A:$AS, 5, FALSE), "SL")</f>
        <v/>
      </c>
      <c r="AR102">
        <f>IF(OR(A102="", A102=0), "", HYPERLINK("https://keepa.com/#!product/1-"&amp;A102, "Keepa"))</f>
        <v/>
      </c>
      <c r="AS102">
        <f>IF(OR(A102="", A102=0), "", HYPERLINK("https://www.amazon.com/dp/"&amp;A102, "Amazon"))</f>
        <v/>
      </c>
      <c r="AT102">
        <f>IF(OR(A102="", A102=0), "", HYPERLINK("https://sellercentral.amazon.com/product-search/search?q="&amp;A102, "Check Gated"))</f>
        <v/>
      </c>
      <c r="AU102" s="12" t="n"/>
      <c r="AV102" s="12" t="n"/>
      <c r="AW102" s="12" t="n"/>
    </row>
    <row r="103">
      <c r="A103" s="12" t="n"/>
      <c r="B103" s="12">
        <f>IFERROR(VLOOKUP(A103, AZInsight_Data!$A:$AS, 3, FALSE), "")</f>
        <v/>
      </c>
      <c r="C103" s="13">
        <f>IFERROR(VLOOKUP(A103, AZInsight_Data!$A:$AS, 9, FALSE), 0)</f>
        <v/>
      </c>
      <c r="D103">
        <f>IFERROR(VLOOKUP(A103, AZInsight_Data!$A:$AS, 17, FALSE), 0)</f>
        <v/>
      </c>
      <c r="E103">
        <f>IFERROR(VLOOKUP(A103, AZInsight_Data!$A:$AS, 18, FALSE), 0)</f>
        <v/>
      </c>
      <c r="F103" s="14">
        <f>IFERROR(VLOOKUP(A103, AZInsight_Data!$A:$AS, 7, FALSE), 0)</f>
        <v/>
      </c>
      <c r="G103" s="15">
        <f>IFERROR(VLOOKUP(A103, AZInsight_Data!$A:$AS, 14, FALSE), 0)</f>
        <v/>
      </c>
      <c r="H103" s="14">
        <f>IFERROR(VLOOKUP(A103, AZInsight_Data!$A:$AS, 8, FALSE), 0)</f>
        <v/>
      </c>
      <c r="I103" s="16">
        <f>IFERROR(VLOOKUP(A103, KEEPA!$A:$AW, 47, FALSE), 0)</f>
        <v/>
      </c>
      <c r="J103">
        <f>IFERROR(VLOOKUP(A103, AZInsight_Data!$A:$AS, 25, FALSE), 0)</f>
        <v/>
      </c>
      <c r="K103" s="15">
        <f>IFERROR(VLOOKUP(A103, AZInsight_Data!$A:$AS, 16, FALSE), 0)</f>
        <v/>
      </c>
      <c r="L103" s="15">
        <f>IFERROR(K103-T103-J103, 0)</f>
        <v/>
      </c>
      <c r="M103" s="16">
        <f>IFERROR(IF(T103=0, 0, L103/T103), 0)</f>
        <v/>
      </c>
      <c r="N103" s="14">
        <f>IFERROR(C103*($V$2/30), 0)</f>
        <v/>
      </c>
      <c r="O103">
        <f>IFERROR(VLOOKUP(A103, AZInsight_Data!$A:$AS, 40, FALSE), 1)</f>
        <v/>
      </c>
      <c r="P103" s="13">
        <f>IF(O103&gt;0, O103, 1)</f>
        <v/>
      </c>
      <c r="Q103" s="13">
        <f>IFERROR(U103/P103, 0)</f>
        <v/>
      </c>
      <c r="R103">
        <f>IFERROR(VLOOKUP(A103, AZInsight_Data!$A:$AS, 36, FALSE), "")</f>
        <v/>
      </c>
      <c r="S103">
        <f>IFERROR(VLOOKUP(A103, AZInsight_Data!$A:$AS, 3, FALSE), "")</f>
        <v/>
      </c>
      <c r="T103" s="17">
        <f>IFERROR(VLOOKUP(A103, AZInsight_Data!$A:$AS, 13, FALSE), 0)</f>
        <v/>
      </c>
      <c r="U103" s="13">
        <f>AH103</f>
        <v/>
      </c>
      <c r="V103" s="15">
        <f>T103*U103</f>
        <v/>
      </c>
      <c r="W103" s="16" t="n"/>
      <c r="X103" s="12">
        <f>IFERROR(VLOOKUP(A103, AZInsight_Data!$A:$AS, 40, FALSE), 1)</f>
        <v/>
      </c>
      <c r="Y103" s="13">
        <f>IFERROR(VLOOKUP(A103, IP Qty!$D:$R, 5, FALSE), 0)</f>
        <v/>
      </c>
      <c r="Z103" s="14">
        <f>IFERROR(VLOOKUP(A103, IP Qty!$D:$R, 6, FALSE), 0)</f>
        <v/>
      </c>
      <c r="AA103">
        <f>IFERROR(VLOOKUP(A103, IP Qty!$D:$R, 7, FALSE), 0)</f>
        <v/>
      </c>
      <c r="AB103">
        <f>IFERROR(VLOOKUP(A103, IP Qty!$D:$R, 9, FALSE), 0)</f>
        <v/>
      </c>
      <c r="AC103">
        <f>IFERROR(VLOOKUP(A103, IP Qty!$D:$R, 8, FALSE), 0)</f>
        <v/>
      </c>
      <c r="AD103" s="14">
        <f>IFERROR(VLOOKUP(A103, KEEPA!$A:$AW, 34, FALSE), 0)</f>
        <v/>
      </c>
      <c r="AE103" s="15">
        <f>IF(P103&gt;1, ((((M103&gt;=$AD$2)*(L103&gt;=$AH$2)) + ((M103&lt;$AD$2)*(M103&gt;=$AE$2)*(L103&gt;=$AG$2)) + ((M103&lt;$AE$2)*(M103&gt;=$AC$2)*(L103&gt;=0)))*2 * IF($AI$2=0, 1, AI103&lt;=$AI$2) * IF($AK$2=0, 1, AK103&lt;=$AK$2) * AND(N103&gt;=$D$1, H103&lt;=$I$2, G103&gt;=$H$2)), ((((M103&gt;=$AD$2)*(L103&gt;=$AH$2)) + ((M103&lt;$AD$2)*(M103&gt;=$AE$2)*(L103&gt;=$AG$2)) + ((M103&lt;$AE$2)*(M103&gt;=$AC$2)*(L103&gt;=0))) * IF($AI$2=0, 1, AI103&lt;=$AI$2) * IF($AK$2=0, 1, AK103&lt;=$AK$2) * AND(N103&gt;=$D$1, H103&lt;=$I$2, G103&gt;=$H$2)))</f>
        <v/>
      </c>
      <c r="AF103">
        <f>IF(AE103&gt;0, 1, 0)</f>
        <v/>
      </c>
      <c r="AG103">
        <f>IFERROR(IF(ISNUMBER(W103), IF(AN103, N103*W103*$AN$2, N103*W103), NA()), NA())</f>
        <v/>
      </c>
      <c r="AH103" s="13">
        <f>IFERROR(MIN(AG103, $U$2), 0)</f>
        <v/>
      </c>
      <c r="AI103" s="14">
        <f>IFERROR(VLOOKUP(A103, KEEPA!$A:$AW, 26, FALSE), 0)</f>
        <v/>
      </c>
      <c r="AJ103" s="16">
        <f>IFERROR(IF(AI103=0, 0, (AI103-H103)/H103), 0)</f>
        <v/>
      </c>
      <c r="AK103" s="14">
        <f>IFERROR(VLOOKUP(A103, KEEPA!$A:$AW, 28, FALSE), 0)</f>
        <v/>
      </c>
      <c r="AL103" s="16">
        <f>IFERROR(IF(AK103=0, 0, (AK103-H103)/H103), 0)</f>
        <v/>
      </c>
      <c r="AM103" s="13">
        <f>IFERROR(VLOOKUP(A103, AZInsight_Data!$A:$AS, 34, FALSE), 0)</f>
        <v/>
      </c>
      <c r="AN103">
        <f>IFERROR(AND(VLOOKUP(A103, KEEPA!$A:$AW, 2, FALSE)&lt;=$AO$2, N103 &gt;= $AM$2), FALSE)</f>
        <v/>
      </c>
      <c r="AO103" s="16">
        <f>IFERROR(VLOOKUP(A103, KEEPA!$A:$AW, 24, FALSE), 0)</f>
        <v/>
      </c>
      <c r="AP103" s="16">
        <f>IFERROR(VLOOKUP(A103, KEEPA!$A:$AW, 48, FALSE), 0)</f>
        <v/>
      </c>
      <c r="AQ103">
        <f>IFERROR(VLOOKUP(A103, AZInsight_Data!$A:$AS, 5, FALSE), "SL")</f>
        <v/>
      </c>
      <c r="AR103">
        <f>IF(OR(A103="", A103=0), "", HYPERLINK("https://keepa.com/#!product/1-"&amp;A103, "Keepa"))</f>
        <v/>
      </c>
      <c r="AS103">
        <f>IF(OR(A103="", A103=0), "", HYPERLINK("https://www.amazon.com/dp/"&amp;A103, "Amazon"))</f>
        <v/>
      </c>
      <c r="AT103">
        <f>IF(OR(A103="", A103=0), "", HYPERLINK("https://sellercentral.amazon.com/product-search/search?q="&amp;A103, "Check Gated"))</f>
        <v/>
      </c>
      <c r="AU103" s="12" t="n"/>
      <c r="AV103" s="12" t="n"/>
      <c r="AW103" s="12" t="n"/>
    </row>
    <row r="104">
      <c r="A104" s="12" t="n"/>
      <c r="B104" s="12">
        <f>IFERROR(VLOOKUP(A104, AZInsight_Data!$A:$AS, 3, FALSE), "")</f>
        <v/>
      </c>
      <c r="C104" s="13">
        <f>IFERROR(VLOOKUP(A104, AZInsight_Data!$A:$AS, 9, FALSE), 0)</f>
        <v/>
      </c>
      <c r="D104">
        <f>IFERROR(VLOOKUP(A104, AZInsight_Data!$A:$AS, 17, FALSE), 0)</f>
        <v/>
      </c>
      <c r="E104">
        <f>IFERROR(VLOOKUP(A104, AZInsight_Data!$A:$AS, 18, FALSE), 0)</f>
        <v/>
      </c>
      <c r="F104" s="14">
        <f>IFERROR(VLOOKUP(A104, AZInsight_Data!$A:$AS, 7, FALSE), 0)</f>
        <v/>
      </c>
      <c r="G104" s="15">
        <f>IFERROR(VLOOKUP(A104, AZInsight_Data!$A:$AS, 14, FALSE), 0)</f>
        <v/>
      </c>
      <c r="H104" s="14">
        <f>IFERROR(VLOOKUP(A104, AZInsight_Data!$A:$AS, 8, FALSE), 0)</f>
        <v/>
      </c>
      <c r="I104" s="16">
        <f>IFERROR(VLOOKUP(A104, KEEPA!$A:$AW, 47, FALSE), 0)</f>
        <v/>
      </c>
      <c r="J104">
        <f>IFERROR(VLOOKUP(A104, AZInsight_Data!$A:$AS, 25, FALSE), 0)</f>
        <v/>
      </c>
      <c r="K104" s="15">
        <f>IFERROR(VLOOKUP(A104, AZInsight_Data!$A:$AS, 16, FALSE), 0)</f>
        <v/>
      </c>
      <c r="L104" s="15">
        <f>IFERROR(K104-T104-J104, 0)</f>
        <v/>
      </c>
      <c r="M104" s="16">
        <f>IFERROR(IF(T104=0, 0, L104/T104), 0)</f>
        <v/>
      </c>
      <c r="N104" s="14">
        <f>IFERROR(C104*($V$2/30), 0)</f>
        <v/>
      </c>
      <c r="O104">
        <f>IFERROR(VLOOKUP(A104, AZInsight_Data!$A:$AS, 40, FALSE), 1)</f>
        <v/>
      </c>
      <c r="P104" s="13">
        <f>IF(O104&gt;0, O104, 1)</f>
        <v/>
      </c>
      <c r="Q104" s="13">
        <f>IFERROR(U104/P104, 0)</f>
        <v/>
      </c>
      <c r="R104">
        <f>IFERROR(VLOOKUP(A104, AZInsight_Data!$A:$AS, 36, FALSE), "")</f>
        <v/>
      </c>
      <c r="S104">
        <f>IFERROR(VLOOKUP(A104, AZInsight_Data!$A:$AS, 3, FALSE), "")</f>
        <v/>
      </c>
      <c r="T104" s="17">
        <f>IFERROR(VLOOKUP(A104, AZInsight_Data!$A:$AS, 13, FALSE), 0)</f>
        <v/>
      </c>
      <c r="U104" s="13">
        <f>AH104</f>
        <v/>
      </c>
      <c r="V104" s="15">
        <f>T104*U104</f>
        <v/>
      </c>
      <c r="W104" s="16" t="n"/>
      <c r="X104" s="12">
        <f>IFERROR(VLOOKUP(A104, AZInsight_Data!$A:$AS, 40, FALSE), 1)</f>
        <v/>
      </c>
      <c r="Y104" s="13">
        <f>IFERROR(VLOOKUP(A104, IP Qty!$D:$R, 5, FALSE), 0)</f>
        <v/>
      </c>
      <c r="Z104" s="14">
        <f>IFERROR(VLOOKUP(A104, IP Qty!$D:$R, 6, FALSE), 0)</f>
        <v/>
      </c>
      <c r="AA104">
        <f>IFERROR(VLOOKUP(A104, IP Qty!$D:$R, 7, FALSE), 0)</f>
        <v/>
      </c>
      <c r="AB104">
        <f>IFERROR(VLOOKUP(A104, IP Qty!$D:$R, 9, FALSE), 0)</f>
        <v/>
      </c>
      <c r="AC104">
        <f>IFERROR(VLOOKUP(A104, IP Qty!$D:$R, 8, FALSE), 0)</f>
        <v/>
      </c>
      <c r="AD104" s="14">
        <f>IFERROR(VLOOKUP(A104, KEEPA!$A:$AW, 34, FALSE), 0)</f>
        <v/>
      </c>
      <c r="AE104" s="15">
        <f>IF(P104&gt;1, ((((M104&gt;=$AD$2)*(L104&gt;=$AH$2)) + ((M104&lt;$AD$2)*(M104&gt;=$AE$2)*(L104&gt;=$AG$2)) + ((M104&lt;$AE$2)*(M104&gt;=$AC$2)*(L104&gt;=0)))*2 * IF($AI$2=0, 1, AI104&lt;=$AI$2) * IF($AK$2=0, 1, AK104&lt;=$AK$2) * AND(N104&gt;=$D$1, H104&lt;=$I$2, G104&gt;=$H$2)), ((((M104&gt;=$AD$2)*(L104&gt;=$AH$2)) + ((M104&lt;$AD$2)*(M104&gt;=$AE$2)*(L104&gt;=$AG$2)) + ((M104&lt;$AE$2)*(M104&gt;=$AC$2)*(L104&gt;=0))) * IF($AI$2=0, 1, AI104&lt;=$AI$2) * IF($AK$2=0, 1, AK104&lt;=$AK$2) * AND(N104&gt;=$D$1, H104&lt;=$I$2, G104&gt;=$H$2)))</f>
        <v/>
      </c>
      <c r="AF104">
        <f>IF(AE104&gt;0, 1, 0)</f>
        <v/>
      </c>
      <c r="AG104">
        <f>IFERROR(IF(ISNUMBER(W104), IF(AN104, N104*W104*$AN$2, N104*W104), NA()), NA())</f>
        <v/>
      </c>
      <c r="AH104" s="13">
        <f>IFERROR(MIN(AG104, $U$2), 0)</f>
        <v/>
      </c>
      <c r="AI104" s="14">
        <f>IFERROR(VLOOKUP(A104, KEEPA!$A:$AW, 26, FALSE), 0)</f>
        <v/>
      </c>
      <c r="AJ104" s="16">
        <f>IFERROR(IF(AI104=0, 0, (AI104-H104)/H104), 0)</f>
        <v/>
      </c>
      <c r="AK104" s="14">
        <f>IFERROR(VLOOKUP(A104, KEEPA!$A:$AW, 28, FALSE), 0)</f>
        <v/>
      </c>
      <c r="AL104" s="16">
        <f>IFERROR(IF(AK104=0, 0, (AK104-H104)/H104), 0)</f>
        <v/>
      </c>
      <c r="AM104" s="13">
        <f>IFERROR(VLOOKUP(A104, AZInsight_Data!$A:$AS, 34, FALSE), 0)</f>
        <v/>
      </c>
      <c r="AN104">
        <f>IFERROR(AND(VLOOKUP(A104, KEEPA!$A:$AW, 2, FALSE)&lt;=$AO$2, N104 &gt;= $AM$2), FALSE)</f>
        <v/>
      </c>
      <c r="AO104" s="16">
        <f>IFERROR(VLOOKUP(A104, KEEPA!$A:$AW, 24, FALSE), 0)</f>
        <v/>
      </c>
      <c r="AP104" s="16">
        <f>IFERROR(VLOOKUP(A104, KEEPA!$A:$AW, 48, FALSE), 0)</f>
        <v/>
      </c>
      <c r="AQ104">
        <f>IFERROR(VLOOKUP(A104, AZInsight_Data!$A:$AS, 5, FALSE), "SL")</f>
        <v/>
      </c>
      <c r="AR104">
        <f>IF(OR(A104="", A104=0), "", HYPERLINK("https://keepa.com/#!product/1-"&amp;A104, "Keepa"))</f>
        <v/>
      </c>
      <c r="AS104">
        <f>IF(OR(A104="", A104=0), "", HYPERLINK("https://www.amazon.com/dp/"&amp;A104, "Amazon"))</f>
        <v/>
      </c>
      <c r="AT104">
        <f>IF(OR(A104="", A104=0), "", HYPERLINK("https://sellercentral.amazon.com/product-search/search?q="&amp;A104, "Check Gated"))</f>
        <v/>
      </c>
      <c r="AU104" s="12" t="n"/>
      <c r="AV104" s="12" t="n"/>
      <c r="AW104" s="12" t="n"/>
    </row>
    <row r="105">
      <c r="A105" s="12" t="n"/>
      <c r="B105" s="12">
        <f>IFERROR(VLOOKUP(A105, AZInsight_Data!$A:$AS, 3, FALSE), "")</f>
        <v/>
      </c>
      <c r="C105" s="13">
        <f>IFERROR(VLOOKUP(A105, AZInsight_Data!$A:$AS, 9, FALSE), 0)</f>
        <v/>
      </c>
      <c r="D105">
        <f>IFERROR(VLOOKUP(A105, AZInsight_Data!$A:$AS, 17, FALSE), 0)</f>
        <v/>
      </c>
      <c r="E105">
        <f>IFERROR(VLOOKUP(A105, AZInsight_Data!$A:$AS, 18, FALSE), 0)</f>
        <v/>
      </c>
      <c r="F105" s="14">
        <f>IFERROR(VLOOKUP(A105, AZInsight_Data!$A:$AS, 7, FALSE), 0)</f>
        <v/>
      </c>
      <c r="G105" s="15">
        <f>IFERROR(VLOOKUP(A105, AZInsight_Data!$A:$AS, 14, FALSE), 0)</f>
        <v/>
      </c>
      <c r="H105" s="14">
        <f>IFERROR(VLOOKUP(A105, AZInsight_Data!$A:$AS, 8, FALSE), 0)</f>
        <v/>
      </c>
      <c r="I105" s="16">
        <f>IFERROR(VLOOKUP(A105, KEEPA!$A:$AW, 47, FALSE), 0)</f>
        <v/>
      </c>
      <c r="J105">
        <f>IFERROR(VLOOKUP(A105, AZInsight_Data!$A:$AS, 25, FALSE), 0)</f>
        <v/>
      </c>
      <c r="K105" s="15">
        <f>IFERROR(VLOOKUP(A105, AZInsight_Data!$A:$AS, 16, FALSE), 0)</f>
        <v/>
      </c>
      <c r="L105" s="15">
        <f>IFERROR(K105-T105-J105, 0)</f>
        <v/>
      </c>
      <c r="M105" s="16">
        <f>IFERROR(IF(T105=0, 0, L105/T105), 0)</f>
        <v/>
      </c>
      <c r="N105" s="14">
        <f>IFERROR(C105*($V$2/30), 0)</f>
        <v/>
      </c>
      <c r="O105">
        <f>IFERROR(VLOOKUP(A105, AZInsight_Data!$A:$AS, 40, FALSE), 1)</f>
        <v/>
      </c>
      <c r="P105" s="13">
        <f>IF(O105&gt;0, O105, 1)</f>
        <v/>
      </c>
      <c r="Q105" s="13">
        <f>IFERROR(U105/P105, 0)</f>
        <v/>
      </c>
      <c r="R105">
        <f>IFERROR(VLOOKUP(A105, AZInsight_Data!$A:$AS, 36, FALSE), "")</f>
        <v/>
      </c>
      <c r="S105">
        <f>IFERROR(VLOOKUP(A105, AZInsight_Data!$A:$AS, 3, FALSE), "")</f>
        <v/>
      </c>
      <c r="T105" s="17">
        <f>IFERROR(VLOOKUP(A105, AZInsight_Data!$A:$AS, 13, FALSE), 0)</f>
        <v/>
      </c>
      <c r="U105" s="13">
        <f>AH105</f>
        <v/>
      </c>
      <c r="V105" s="15">
        <f>T105*U105</f>
        <v/>
      </c>
      <c r="W105" s="16" t="n"/>
      <c r="X105" s="12">
        <f>IFERROR(VLOOKUP(A105, AZInsight_Data!$A:$AS, 40, FALSE), 1)</f>
        <v/>
      </c>
      <c r="Y105" s="13">
        <f>IFERROR(VLOOKUP(A105, IP Qty!$D:$R, 5, FALSE), 0)</f>
        <v/>
      </c>
      <c r="Z105" s="14">
        <f>IFERROR(VLOOKUP(A105, IP Qty!$D:$R, 6, FALSE), 0)</f>
        <v/>
      </c>
      <c r="AA105">
        <f>IFERROR(VLOOKUP(A105, IP Qty!$D:$R, 7, FALSE), 0)</f>
        <v/>
      </c>
      <c r="AB105">
        <f>IFERROR(VLOOKUP(A105, IP Qty!$D:$R, 9, FALSE), 0)</f>
        <v/>
      </c>
      <c r="AC105">
        <f>IFERROR(VLOOKUP(A105, IP Qty!$D:$R, 8, FALSE), 0)</f>
        <v/>
      </c>
      <c r="AD105" s="14">
        <f>IFERROR(VLOOKUP(A105, KEEPA!$A:$AW, 34, FALSE), 0)</f>
        <v/>
      </c>
      <c r="AE105" s="15">
        <f>IF(P105&gt;1, ((((M105&gt;=$AD$2)*(L105&gt;=$AH$2)) + ((M105&lt;$AD$2)*(M105&gt;=$AE$2)*(L105&gt;=$AG$2)) + ((M105&lt;$AE$2)*(M105&gt;=$AC$2)*(L105&gt;=0)))*2 * IF($AI$2=0, 1, AI105&lt;=$AI$2) * IF($AK$2=0, 1, AK105&lt;=$AK$2) * AND(N105&gt;=$D$1, H105&lt;=$I$2, G105&gt;=$H$2)), ((((M105&gt;=$AD$2)*(L105&gt;=$AH$2)) + ((M105&lt;$AD$2)*(M105&gt;=$AE$2)*(L105&gt;=$AG$2)) + ((M105&lt;$AE$2)*(M105&gt;=$AC$2)*(L105&gt;=0))) * IF($AI$2=0, 1, AI105&lt;=$AI$2) * IF($AK$2=0, 1, AK105&lt;=$AK$2) * AND(N105&gt;=$D$1, H105&lt;=$I$2, G105&gt;=$H$2)))</f>
        <v/>
      </c>
      <c r="AF105">
        <f>IF(AE105&gt;0, 1, 0)</f>
        <v/>
      </c>
      <c r="AG105">
        <f>IFERROR(IF(ISNUMBER(W105), IF(AN105, N105*W105*$AN$2, N105*W105), NA()), NA())</f>
        <v/>
      </c>
      <c r="AH105" s="13">
        <f>IFERROR(MIN(AG105, $U$2), 0)</f>
        <v/>
      </c>
      <c r="AI105" s="14">
        <f>IFERROR(VLOOKUP(A105, KEEPA!$A:$AW, 26, FALSE), 0)</f>
        <v/>
      </c>
      <c r="AJ105" s="16">
        <f>IFERROR(IF(AI105=0, 0, (AI105-H105)/H105), 0)</f>
        <v/>
      </c>
      <c r="AK105" s="14">
        <f>IFERROR(VLOOKUP(A105, KEEPA!$A:$AW, 28, FALSE), 0)</f>
        <v/>
      </c>
      <c r="AL105" s="16">
        <f>IFERROR(IF(AK105=0, 0, (AK105-H105)/H105), 0)</f>
        <v/>
      </c>
      <c r="AM105" s="13">
        <f>IFERROR(VLOOKUP(A105, AZInsight_Data!$A:$AS, 34, FALSE), 0)</f>
        <v/>
      </c>
      <c r="AN105">
        <f>IFERROR(AND(VLOOKUP(A105, KEEPA!$A:$AW, 2, FALSE)&lt;=$AO$2, N105 &gt;= $AM$2), FALSE)</f>
        <v/>
      </c>
      <c r="AO105" s="16">
        <f>IFERROR(VLOOKUP(A105, KEEPA!$A:$AW, 24, FALSE), 0)</f>
        <v/>
      </c>
      <c r="AP105" s="16">
        <f>IFERROR(VLOOKUP(A105, KEEPA!$A:$AW, 48, FALSE), 0)</f>
        <v/>
      </c>
      <c r="AQ105">
        <f>IFERROR(VLOOKUP(A105, AZInsight_Data!$A:$AS, 5, FALSE), "SL")</f>
        <v/>
      </c>
      <c r="AR105">
        <f>IF(OR(A105="", A105=0), "", HYPERLINK("https://keepa.com/#!product/1-"&amp;A105, "Keepa"))</f>
        <v/>
      </c>
      <c r="AS105">
        <f>IF(OR(A105="", A105=0), "", HYPERLINK("https://www.amazon.com/dp/"&amp;A105, "Amazon"))</f>
        <v/>
      </c>
      <c r="AT105">
        <f>IF(OR(A105="", A105=0), "", HYPERLINK("https://sellercentral.amazon.com/product-search/search?q="&amp;A105, "Check Gated"))</f>
        <v/>
      </c>
      <c r="AU105" s="12" t="n"/>
      <c r="AV105" s="12" t="n"/>
      <c r="AW105" s="12" t="n"/>
    </row>
    <row r="106">
      <c r="A106" s="12" t="n"/>
      <c r="B106" s="12">
        <f>IFERROR(VLOOKUP(A106, AZInsight_Data!$A:$AS, 3, FALSE), "")</f>
        <v/>
      </c>
      <c r="C106" s="13">
        <f>IFERROR(VLOOKUP(A106, AZInsight_Data!$A:$AS, 9, FALSE), 0)</f>
        <v/>
      </c>
      <c r="D106">
        <f>IFERROR(VLOOKUP(A106, AZInsight_Data!$A:$AS, 17, FALSE), 0)</f>
        <v/>
      </c>
      <c r="E106">
        <f>IFERROR(VLOOKUP(A106, AZInsight_Data!$A:$AS, 18, FALSE), 0)</f>
        <v/>
      </c>
      <c r="F106" s="14">
        <f>IFERROR(VLOOKUP(A106, AZInsight_Data!$A:$AS, 7, FALSE), 0)</f>
        <v/>
      </c>
      <c r="G106" s="15">
        <f>IFERROR(VLOOKUP(A106, AZInsight_Data!$A:$AS, 14, FALSE), 0)</f>
        <v/>
      </c>
      <c r="H106" s="14">
        <f>IFERROR(VLOOKUP(A106, AZInsight_Data!$A:$AS, 8, FALSE), 0)</f>
        <v/>
      </c>
      <c r="I106" s="16">
        <f>IFERROR(VLOOKUP(A106, KEEPA!$A:$AW, 47, FALSE), 0)</f>
        <v/>
      </c>
      <c r="J106">
        <f>IFERROR(VLOOKUP(A106, AZInsight_Data!$A:$AS, 25, FALSE), 0)</f>
        <v/>
      </c>
      <c r="K106" s="15">
        <f>IFERROR(VLOOKUP(A106, AZInsight_Data!$A:$AS, 16, FALSE), 0)</f>
        <v/>
      </c>
      <c r="L106" s="15">
        <f>IFERROR(K106-T106-J106, 0)</f>
        <v/>
      </c>
      <c r="M106" s="16">
        <f>IFERROR(IF(T106=0, 0, L106/T106), 0)</f>
        <v/>
      </c>
      <c r="N106" s="14">
        <f>IFERROR(C106*($V$2/30), 0)</f>
        <v/>
      </c>
      <c r="O106">
        <f>IFERROR(VLOOKUP(A106, AZInsight_Data!$A:$AS, 40, FALSE), 1)</f>
        <v/>
      </c>
      <c r="P106" s="13">
        <f>IF(O106&gt;0, O106, 1)</f>
        <v/>
      </c>
      <c r="Q106" s="13">
        <f>IFERROR(U106/P106, 0)</f>
        <v/>
      </c>
      <c r="R106">
        <f>IFERROR(VLOOKUP(A106, AZInsight_Data!$A:$AS, 36, FALSE), "")</f>
        <v/>
      </c>
      <c r="S106">
        <f>IFERROR(VLOOKUP(A106, AZInsight_Data!$A:$AS, 3, FALSE), "")</f>
        <v/>
      </c>
      <c r="T106" s="17">
        <f>IFERROR(VLOOKUP(A106, AZInsight_Data!$A:$AS, 13, FALSE), 0)</f>
        <v/>
      </c>
      <c r="U106" s="13">
        <f>AH106</f>
        <v/>
      </c>
      <c r="V106" s="15">
        <f>T106*U106</f>
        <v/>
      </c>
      <c r="W106" s="16" t="n"/>
      <c r="X106" s="12">
        <f>IFERROR(VLOOKUP(A106, AZInsight_Data!$A:$AS, 40, FALSE), 1)</f>
        <v/>
      </c>
      <c r="Y106" s="13">
        <f>IFERROR(VLOOKUP(A106, IP Qty!$D:$R, 5, FALSE), 0)</f>
        <v/>
      </c>
      <c r="Z106" s="14">
        <f>IFERROR(VLOOKUP(A106, IP Qty!$D:$R, 6, FALSE), 0)</f>
        <v/>
      </c>
      <c r="AA106">
        <f>IFERROR(VLOOKUP(A106, IP Qty!$D:$R, 7, FALSE), 0)</f>
        <v/>
      </c>
      <c r="AB106">
        <f>IFERROR(VLOOKUP(A106, IP Qty!$D:$R, 9, FALSE), 0)</f>
        <v/>
      </c>
      <c r="AC106">
        <f>IFERROR(VLOOKUP(A106, IP Qty!$D:$R, 8, FALSE), 0)</f>
        <v/>
      </c>
      <c r="AD106" s="14">
        <f>IFERROR(VLOOKUP(A106, KEEPA!$A:$AW, 34, FALSE), 0)</f>
        <v/>
      </c>
      <c r="AE106" s="15">
        <f>IF(P106&gt;1, ((((M106&gt;=$AD$2)*(L106&gt;=$AH$2)) + ((M106&lt;$AD$2)*(M106&gt;=$AE$2)*(L106&gt;=$AG$2)) + ((M106&lt;$AE$2)*(M106&gt;=$AC$2)*(L106&gt;=0)))*2 * IF($AI$2=0, 1, AI106&lt;=$AI$2) * IF($AK$2=0, 1, AK106&lt;=$AK$2) * AND(N106&gt;=$D$1, H106&lt;=$I$2, G106&gt;=$H$2)), ((((M106&gt;=$AD$2)*(L106&gt;=$AH$2)) + ((M106&lt;$AD$2)*(M106&gt;=$AE$2)*(L106&gt;=$AG$2)) + ((M106&lt;$AE$2)*(M106&gt;=$AC$2)*(L106&gt;=0))) * IF($AI$2=0, 1, AI106&lt;=$AI$2) * IF($AK$2=0, 1, AK106&lt;=$AK$2) * AND(N106&gt;=$D$1, H106&lt;=$I$2, G106&gt;=$H$2)))</f>
        <v/>
      </c>
      <c r="AF106">
        <f>IF(AE106&gt;0, 1, 0)</f>
        <v/>
      </c>
      <c r="AG106">
        <f>IFERROR(IF(ISNUMBER(W106), IF(AN106, N106*W106*$AN$2, N106*W106), NA()), NA())</f>
        <v/>
      </c>
      <c r="AH106" s="13">
        <f>IFERROR(MIN(AG106, $U$2), 0)</f>
        <v/>
      </c>
      <c r="AI106" s="14">
        <f>IFERROR(VLOOKUP(A106, KEEPA!$A:$AW, 26, FALSE), 0)</f>
        <v/>
      </c>
      <c r="AJ106" s="16">
        <f>IFERROR(IF(AI106=0, 0, (AI106-H106)/H106), 0)</f>
        <v/>
      </c>
      <c r="AK106" s="14">
        <f>IFERROR(VLOOKUP(A106, KEEPA!$A:$AW, 28, FALSE), 0)</f>
        <v/>
      </c>
      <c r="AL106" s="16">
        <f>IFERROR(IF(AK106=0, 0, (AK106-H106)/H106), 0)</f>
        <v/>
      </c>
      <c r="AM106" s="13">
        <f>IFERROR(VLOOKUP(A106, AZInsight_Data!$A:$AS, 34, FALSE), 0)</f>
        <v/>
      </c>
      <c r="AN106">
        <f>IFERROR(AND(VLOOKUP(A106, KEEPA!$A:$AW, 2, FALSE)&lt;=$AO$2, N106 &gt;= $AM$2), FALSE)</f>
        <v/>
      </c>
      <c r="AO106" s="16">
        <f>IFERROR(VLOOKUP(A106, KEEPA!$A:$AW, 24, FALSE), 0)</f>
        <v/>
      </c>
      <c r="AP106" s="16">
        <f>IFERROR(VLOOKUP(A106, KEEPA!$A:$AW, 48, FALSE), 0)</f>
        <v/>
      </c>
      <c r="AQ106">
        <f>IFERROR(VLOOKUP(A106, AZInsight_Data!$A:$AS, 5, FALSE), "SL")</f>
        <v/>
      </c>
      <c r="AR106">
        <f>IF(OR(A106="", A106=0), "", HYPERLINK("https://keepa.com/#!product/1-"&amp;A106, "Keepa"))</f>
        <v/>
      </c>
      <c r="AS106">
        <f>IF(OR(A106="", A106=0), "", HYPERLINK("https://www.amazon.com/dp/"&amp;A106, "Amazon"))</f>
        <v/>
      </c>
      <c r="AT106">
        <f>IF(OR(A106="", A106=0), "", HYPERLINK("https://sellercentral.amazon.com/product-search/search?q="&amp;A106, "Check Gated"))</f>
        <v/>
      </c>
      <c r="AU106" s="12" t="n"/>
      <c r="AV106" s="12" t="n"/>
      <c r="AW106" s="12" t="n"/>
    </row>
    <row r="107">
      <c r="A107" s="12" t="n"/>
      <c r="B107" s="12">
        <f>IFERROR(VLOOKUP(A107, AZInsight_Data!$A:$AS, 3, FALSE), "")</f>
        <v/>
      </c>
      <c r="C107" s="13">
        <f>IFERROR(VLOOKUP(A107, AZInsight_Data!$A:$AS, 9, FALSE), 0)</f>
        <v/>
      </c>
      <c r="D107">
        <f>IFERROR(VLOOKUP(A107, AZInsight_Data!$A:$AS, 17, FALSE), 0)</f>
        <v/>
      </c>
      <c r="E107">
        <f>IFERROR(VLOOKUP(A107, AZInsight_Data!$A:$AS, 18, FALSE), 0)</f>
        <v/>
      </c>
      <c r="F107" s="14">
        <f>IFERROR(VLOOKUP(A107, AZInsight_Data!$A:$AS, 7, FALSE), 0)</f>
        <v/>
      </c>
      <c r="G107" s="15">
        <f>IFERROR(VLOOKUP(A107, AZInsight_Data!$A:$AS, 14, FALSE), 0)</f>
        <v/>
      </c>
      <c r="H107" s="14">
        <f>IFERROR(VLOOKUP(A107, AZInsight_Data!$A:$AS, 8, FALSE), 0)</f>
        <v/>
      </c>
      <c r="I107" s="16">
        <f>IFERROR(VLOOKUP(A107, KEEPA!$A:$AW, 47, FALSE), 0)</f>
        <v/>
      </c>
      <c r="J107">
        <f>IFERROR(VLOOKUP(A107, AZInsight_Data!$A:$AS, 25, FALSE), 0)</f>
        <v/>
      </c>
      <c r="K107" s="15">
        <f>IFERROR(VLOOKUP(A107, AZInsight_Data!$A:$AS, 16, FALSE), 0)</f>
        <v/>
      </c>
      <c r="L107" s="15">
        <f>IFERROR(K107-T107-J107, 0)</f>
        <v/>
      </c>
      <c r="M107" s="16">
        <f>IFERROR(IF(T107=0, 0, L107/T107), 0)</f>
        <v/>
      </c>
      <c r="N107" s="14">
        <f>IFERROR(C107*($V$2/30), 0)</f>
        <v/>
      </c>
      <c r="O107">
        <f>IFERROR(VLOOKUP(A107, AZInsight_Data!$A:$AS, 40, FALSE), 1)</f>
        <v/>
      </c>
      <c r="P107" s="13">
        <f>IF(O107&gt;0, O107, 1)</f>
        <v/>
      </c>
      <c r="Q107" s="13">
        <f>IFERROR(U107/P107, 0)</f>
        <v/>
      </c>
      <c r="R107">
        <f>IFERROR(VLOOKUP(A107, AZInsight_Data!$A:$AS, 36, FALSE), "")</f>
        <v/>
      </c>
      <c r="S107">
        <f>IFERROR(VLOOKUP(A107, AZInsight_Data!$A:$AS, 3, FALSE), "")</f>
        <v/>
      </c>
      <c r="T107" s="17">
        <f>IFERROR(VLOOKUP(A107, AZInsight_Data!$A:$AS, 13, FALSE), 0)</f>
        <v/>
      </c>
      <c r="U107" s="13">
        <f>AH107</f>
        <v/>
      </c>
      <c r="V107" s="15">
        <f>T107*U107</f>
        <v/>
      </c>
      <c r="W107" s="16" t="n"/>
      <c r="X107" s="12">
        <f>IFERROR(VLOOKUP(A107, AZInsight_Data!$A:$AS, 40, FALSE), 1)</f>
        <v/>
      </c>
      <c r="Y107" s="13">
        <f>IFERROR(VLOOKUP(A107, IP Qty!$D:$R, 5, FALSE), 0)</f>
        <v/>
      </c>
      <c r="Z107" s="14">
        <f>IFERROR(VLOOKUP(A107, IP Qty!$D:$R, 6, FALSE), 0)</f>
        <v/>
      </c>
      <c r="AA107">
        <f>IFERROR(VLOOKUP(A107, IP Qty!$D:$R, 7, FALSE), 0)</f>
        <v/>
      </c>
      <c r="AB107">
        <f>IFERROR(VLOOKUP(A107, IP Qty!$D:$R, 9, FALSE), 0)</f>
        <v/>
      </c>
      <c r="AC107">
        <f>IFERROR(VLOOKUP(A107, IP Qty!$D:$R, 8, FALSE), 0)</f>
        <v/>
      </c>
      <c r="AD107" s="14">
        <f>IFERROR(VLOOKUP(A107, KEEPA!$A:$AW, 34, FALSE), 0)</f>
        <v/>
      </c>
      <c r="AE107" s="15">
        <f>IF(P107&gt;1, ((((M107&gt;=$AD$2)*(L107&gt;=$AH$2)) + ((M107&lt;$AD$2)*(M107&gt;=$AE$2)*(L107&gt;=$AG$2)) + ((M107&lt;$AE$2)*(M107&gt;=$AC$2)*(L107&gt;=0)))*2 * IF($AI$2=0, 1, AI107&lt;=$AI$2) * IF($AK$2=0, 1, AK107&lt;=$AK$2) * AND(N107&gt;=$D$1, H107&lt;=$I$2, G107&gt;=$H$2)), ((((M107&gt;=$AD$2)*(L107&gt;=$AH$2)) + ((M107&lt;$AD$2)*(M107&gt;=$AE$2)*(L107&gt;=$AG$2)) + ((M107&lt;$AE$2)*(M107&gt;=$AC$2)*(L107&gt;=0))) * IF($AI$2=0, 1, AI107&lt;=$AI$2) * IF($AK$2=0, 1, AK107&lt;=$AK$2) * AND(N107&gt;=$D$1, H107&lt;=$I$2, G107&gt;=$H$2)))</f>
        <v/>
      </c>
      <c r="AF107">
        <f>IF(AE107&gt;0, 1, 0)</f>
        <v/>
      </c>
      <c r="AG107">
        <f>IFERROR(IF(ISNUMBER(W107), IF(AN107, N107*W107*$AN$2, N107*W107), NA()), NA())</f>
        <v/>
      </c>
      <c r="AH107" s="13">
        <f>IFERROR(MIN(AG107, $U$2), 0)</f>
        <v/>
      </c>
      <c r="AI107" s="14">
        <f>IFERROR(VLOOKUP(A107, KEEPA!$A:$AW, 26, FALSE), 0)</f>
        <v/>
      </c>
      <c r="AJ107" s="16">
        <f>IFERROR(IF(AI107=0, 0, (AI107-H107)/H107), 0)</f>
        <v/>
      </c>
      <c r="AK107" s="14">
        <f>IFERROR(VLOOKUP(A107, KEEPA!$A:$AW, 28, FALSE), 0)</f>
        <v/>
      </c>
      <c r="AL107" s="16">
        <f>IFERROR(IF(AK107=0, 0, (AK107-H107)/H107), 0)</f>
        <v/>
      </c>
      <c r="AM107" s="13">
        <f>IFERROR(VLOOKUP(A107, AZInsight_Data!$A:$AS, 34, FALSE), 0)</f>
        <v/>
      </c>
      <c r="AN107">
        <f>IFERROR(AND(VLOOKUP(A107, KEEPA!$A:$AW, 2, FALSE)&lt;=$AO$2, N107 &gt;= $AM$2), FALSE)</f>
        <v/>
      </c>
      <c r="AO107" s="16">
        <f>IFERROR(VLOOKUP(A107, KEEPA!$A:$AW, 24, FALSE), 0)</f>
        <v/>
      </c>
      <c r="AP107" s="16">
        <f>IFERROR(VLOOKUP(A107, KEEPA!$A:$AW, 48, FALSE), 0)</f>
        <v/>
      </c>
      <c r="AQ107">
        <f>IFERROR(VLOOKUP(A107, AZInsight_Data!$A:$AS, 5, FALSE), "SL")</f>
        <v/>
      </c>
      <c r="AR107">
        <f>IF(OR(A107="", A107=0), "", HYPERLINK("https://keepa.com/#!product/1-"&amp;A107, "Keepa"))</f>
        <v/>
      </c>
      <c r="AS107">
        <f>IF(OR(A107="", A107=0), "", HYPERLINK("https://www.amazon.com/dp/"&amp;A107, "Amazon"))</f>
        <v/>
      </c>
      <c r="AT107">
        <f>IF(OR(A107="", A107=0), "", HYPERLINK("https://sellercentral.amazon.com/product-search/search?q="&amp;A107, "Check Gated"))</f>
        <v/>
      </c>
      <c r="AU107" s="12" t="n"/>
      <c r="AV107" s="12" t="n"/>
      <c r="AW107" s="12" t="n"/>
    </row>
    <row r="108">
      <c r="A108" s="12" t="n"/>
      <c r="B108" s="12">
        <f>IFERROR(VLOOKUP(A108, AZInsight_Data!$A:$AS, 3, FALSE), "")</f>
        <v/>
      </c>
      <c r="C108" s="13">
        <f>IFERROR(VLOOKUP(A108, AZInsight_Data!$A:$AS, 9, FALSE), 0)</f>
        <v/>
      </c>
      <c r="D108">
        <f>IFERROR(VLOOKUP(A108, AZInsight_Data!$A:$AS, 17, FALSE), 0)</f>
        <v/>
      </c>
      <c r="E108">
        <f>IFERROR(VLOOKUP(A108, AZInsight_Data!$A:$AS, 18, FALSE), 0)</f>
        <v/>
      </c>
      <c r="F108" s="14">
        <f>IFERROR(VLOOKUP(A108, AZInsight_Data!$A:$AS, 7, FALSE), 0)</f>
        <v/>
      </c>
      <c r="G108" s="15">
        <f>IFERROR(VLOOKUP(A108, AZInsight_Data!$A:$AS, 14, FALSE), 0)</f>
        <v/>
      </c>
      <c r="H108" s="14">
        <f>IFERROR(VLOOKUP(A108, AZInsight_Data!$A:$AS, 8, FALSE), 0)</f>
        <v/>
      </c>
      <c r="I108" s="16">
        <f>IFERROR(VLOOKUP(A108, KEEPA!$A:$AW, 47, FALSE), 0)</f>
        <v/>
      </c>
      <c r="J108">
        <f>IFERROR(VLOOKUP(A108, AZInsight_Data!$A:$AS, 25, FALSE), 0)</f>
        <v/>
      </c>
      <c r="K108" s="15">
        <f>IFERROR(VLOOKUP(A108, AZInsight_Data!$A:$AS, 16, FALSE), 0)</f>
        <v/>
      </c>
      <c r="L108" s="15">
        <f>IFERROR(K108-T108-J108, 0)</f>
        <v/>
      </c>
      <c r="M108" s="16">
        <f>IFERROR(IF(T108=0, 0, L108/T108), 0)</f>
        <v/>
      </c>
      <c r="N108" s="14">
        <f>IFERROR(C108*($V$2/30), 0)</f>
        <v/>
      </c>
      <c r="O108">
        <f>IFERROR(VLOOKUP(A108, AZInsight_Data!$A:$AS, 40, FALSE), 1)</f>
        <v/>
      </c>
      <c r="P108" s="13">
        <f>IF(O108&gt;0, O108, 1)</f>
        <v/>
      </c>
      <c r="Q108" s="13">
        <f>IFERROR(U108/P108, 0)</f>
        <v/>
      </c>
      <c r="R108">
        <f>IFERROR(VLOOKUP(A108, AZInsight_Data!$A:$AS, 36, FALSE), "")</f>
        <v/>
      </c>
      <c r="S108">
        <f>IFERROR(VLOOKUP(A108, AZInsight_Data!$A:$AS, 3, FALSE), "")</f>
        <v/>
      </c>
      <c r="T108" s="17">
        <f>IFERROR(VLOOKUP(A108, AZInsight_Data!$A:$AS, 13, FALSE), 0)</f>
        <v/>
      </c>
      <c r="U108" s="13">
        <f>AH108</f>
        <v/>
      </c>
      <c r="V108" s="15">
        <f>T108*U108</f>
        <v/>
      </c>
      <c r="W108" s="16" t="n"/>
      <c r="X108" s="12">
        <f>IFERROR(VLOOKUP(A108, AZInsight_Data!$A:$AS, 40, FALSE), 1)</f>
        <v/>
      </c>
      <c r="Y108" s="13">
        <f>IFERROR(VLOOKUP(A108, IP Qty!$D:$R, 5, FALSE), 0)</f>
        <v/>
      </c>
      <c r="Z108" s="14">
        <f>IFERROR(VLOOKUP(A108, IP Qty!$D:$R, 6, FALSE), 0)</f>
        <v/>
      </c>
      <c r="AA108">
        <f>IFERROR(VLOOKUP(A108, IP Qty!$D:$R, 7, FALSE), 0)</f>
        <v/>
      </c>
      <c r="AB108">
        <f>IFERROR(VLOOKUP(A108, IP Qty!$D:$R, 9, FALSE), 0)</f>
        <v/>
      </c>
      <c r="AC108">
        <f>IFERROR(VLOOKUP(A108, IP Qty!$D:$R, 8, FALSE), 0)</f>
        <v/>
      </c>
      <c r="AD108" s="14">
        <f>IFERROR(VLOOKUP(A108, KEEPA!$A:$AW, 34, FALSE), 0)</f>
        <v/>
      </c>
      <c r="AE108" s="15">
        <f>IF(P108&gt;1, ((((M108&gt;=$AD$2)*(L108&gt;=$AH$2)) + ((M108&lt;$AD$2)*(M108&gt;=$AE$2)*(L108&gt;=$AG$2)) + ((M108&lt;$AE$2)*(M108&gt;=$AC$2)*(L108&gt;=0)))*2 * IF($AI$2=0, 1, AI108&lt;=$AI$2) * IF($AK$2=0, 1, AK108&lt;=$AK$2) * AND(N108&gt;=$D$1, H108&lt;=$I$2, G108&gt;=$H$2)), ((((M108&gt;=$AD$2)*(L108&gt;=$AH$2)) + ((M108&lt;$AD$2)*(M108&gt;=$AE$2)*(L108&gt;=$AG$2)) + ((M108&lt;$AE$2)*(M108&gt;=$AC$2)*(L108&gt;=0))) * IF($AI$2=0, 1, AI108&lt;=$AI$2) * IF($AK$2=0, 1, AK108&lt;=$AK$2) * AND(N108&gt;=$D$1, H108&lt;=$I$2, G108&gt;=$H$2)))</f>
        <v/>
      </c>
      <c r="AF108">
        <f>IF(AE108&gt;0, 1, 0)</f>
        <v/>
      </c>
      <c r="AG108">
        <f>IFERROR(IF(ISNUMBER(W108), IF(AN108, N108*W108*$AN$2, N108*W108), NA()), NA())</f>
        <v/>
      </c>
      <c r="AH108" s="13">
        <f>IFERROR(MIN(AG108, $U$2), 0)</f>
        <v/>
      </c>
      <c r="AI108" s="14">
        <f>IFERROR(VLOOKUP(A108, KEEPA!$A:$AW, 26, FALSE), 0)</f>
        <v/>
      </c>
      <c r="AJ108" s="16">
        <f>IFERROR(IF(AI108=0, 0, (AI108-H108)/H108), 0)</f>
        <v/>
      </c>
      <c r="AK108" s="14">
        <f>IFERROR(VLOOKUP(A108, KEEPA!$A:$AW, 28, FALSE), 0)</f>
        <v/>
      </c>
      <c r="AL108" s="16">
        <f>IFERROR(IF(AK108=0, 0, (AK108-H108)/H108), 0)</f>
        <v/>
      </c>
      <c r="AM108" s="13">
        <f>IFERROR(VLOOKUP(A108, AZInsight_Data!$A:$AS, 34, FALSE), 0)</f>
        <v/>
      </c>
      <c r="AN108">
        <f>IFERROR(AND(VLOOKUP(A108, KEEPA!$A:$AW, 2, FALSE)&lt;=$AO$2, N108 &gt;= $AM$2), FALSE)</f>
        <v/>
      </c>
      <c r="AO108" s="16">
        <f>IFERROR(VLOOKUP(A108, KEEPA!$A:$AW, 24, FALSE), 0)</f>
        <v/>
      </c>
      <c r="AP108" s="16">
        <f>IFERROR(VLOOKUP(A108, KEEPA!$A:$AW, 48, FALSE), 0)</f>
        <v/>
      </c>
      <c r="AQ108">
        <f>IFERROR(VLOOKUP(A108, AZInsight_Data!$A:$AS, 5, FALSE), "SL")</f>
        <v/>
      </c>
      <c r="AR108">
        <f>IF(OR(A108="", A108=0), "", HYPERLINK("https://keepa.com/#!product/1-"&amp;A108, "Keepa"))</f>
        <v/>
      </c>
      <c r="AS108">
        <f>IF(OR(A108="", A108=0), "", HYPERLINK("https://www.amazon.com/dp/"&amp;A108, "Amazon"))</f>
        <v/>
      </c>
      <c r="AT108">
        <f>IF(OR(A108="", A108=0), "", HYPERLINK("https://sellercentral.amazon.com/product-search/search?q="&amp;A108, "Check Gated"))</f>
        <v/>
      </c>
      <c r="AU108" s="12" t="n"/>
      <c r="AV108" s="12" t="n"/>
      <c r="AW108" s="12" t="n"/>
    </row>
    <row r="109">
      <c r="A109" s="12" t="n"/>
      <c r="B109" s="12">
        <f>IFERROR(VLOOKUP(A109, AZInsight_Data!$A:$AS, 3, FALSE), "")</f>
        <v/>
      </c>
      <c r="C109" s="13">
        <f>IFERROR(VLOOKUP(A109, AZInsight_Data!$A:$AS, 9, FALSE), 0)</f>
        <v/>
      </c>
      <c r="D109">
        <f>IFERROR(VLOOKUP(A109, AZInsight_Data!$A:$AS, 17, FALSE), 0)</f>
        <v/>
      </c>
      <c r="E109">
        <f>IFERROR(VLOOKUP(A109, AZInsight_Data!$A:$AS, 18, FALSE), 0)</f>
        <v/>
      </c>
      <c r="F109" s="14">
        <f>IFERROR(VLOOKUP(A109, AZInsight_Data!$A:$AS, 7, FALSE), 0)</f>
        <v/>
      </c>
      <c r="G109" s="15">
        <f>IFERROR(VLOOKUP(A109, AZInsight_Data!$A:$AS, 14, FALSE), 0)</f>
        <v/>
      </c>
      <c r="H109" s="14">
        <f>IFERROR(VLOOKUP(A109, AZInsight_Data!$A:$AS, 8, FALSE), 0)</f>
        <v/>
      </c>
      <c r="I109" s="16">
        <f>IFERROR(VLOOKUP(A109, KEEPA!$A:$AW, 47, FALSE), 0)</f>
        <v/>
      </c>
      <c r="J109">
        <f>IFERROR(VLOOKUP(A109, AZInsight_Data!$A:$AS, 25, FALSE), 0)</f>
        <v/>
      </c>
      <c r="K109" s="15">
        <f>IFERROR(VLOOKUP(A109, AZInsight_Data!$A:$AS, 16, FALSE), 0)</f>
        <v/>
      </c>
      <c r="L109" s="15">
        <f>IFERROR(K109-T109-J109, 0)</f>
        <v/>
      </c>
      <c r="M109" s="16">
        <f>IFERROR(IF(T109=0, 0, L109/T109), 0)</f>
        <v/>
      </c>
      <c r="N109" s="14">
        <f>IFERROR(C109*($V$2/30), 0)</f>
        <v/>
      </c>
      <c r="O109">
        <f>IFERROR(VLOOKUP(A109, AZInsight_Data!$A:$AS, 40, FALSE), 1)</f>
        <v/>
      </c>
      <c r="P109" s="13">
        <f>IF(O109&gt;0, O109, 1)</f>
        <v/>
      </c>
      <c r="Q109" s="13">
        <f>IFERROR(U109/P109, 0)</f>
        <v/>
      </c>
      <c r="R109">
        <f>IFERROR(VLOOKUP(A109, AZInsight_Data!$A:$AS, 36, FALSE), "")</f>
        <v/>
      </c>
      <c r="S109">
        <f>IFERROR(VLOOKUP(A109, AZInsight_Data!$A:$AS, 3, FALSE), "")</f>
        <v/>
      </c>
      <c r="T109" s="17">
        <f>IFERROR(VLOOKUP(A109, AZInsight_Data!$A:$AS, 13, FALSE), 0)</f>
        <v/>
      </c>
      <c r="U109" s="13">
        <f>AH109</f>
        <v/>
      </c>
      <c r="V109" s="15">
        <f>T109*U109</f>
        <v/>
      </c>
      <c r="W109" s="16" t="n"/>
      <c r="X109" s="12">
        <f>IFERROR(VLOOKUP(A109, AZInsight_Data!$A:$AS, 40, FALSE), 1)</f>
        <v/>
      </c>
      <c r="Y109" s="13">
        <f>IFERROR(VLOOKUP(A109, IP Qty!$D:$R, 5, FALSE), 0)</f>
        <v/>
      </c>
      <c r="Z109" s="14">
        <f>IFERROR(VLOOKUP(A109, IP Qty!$D:$R, 6, FALSE), 0)</f>
        <v/>
      </c>
      <c r="AA109">
        <f>IFERROR(VLOOKUP(A109, IP Qty!$D:$R, 7, FALSE), 0)</f>
        <v/>
      </c>
      <c r="AB109">
        <f>IFERROR(VLOOKUP(A109, IP Qty!$D:$R, 9, FALSE), 0)</f>
        <v/>
      </c>
      <c r="AC109">
        <f>IFERROR(VLOOKUP(A109, IP Qty!$D:$R, 8, FALSE), 0)</f>
        <v/>
      </c>
      <c r="AD109" s="14">
        <f>IFERROR(VLOOKUP(A109, KEEPA!$A:$AW, 34, FALSE), 0)</f>
        <v/>
      </c>
      <c r="AE109" s="15">
        <f>IF(P109&gt;1, ((((M109&gt;=$AD$2)*(L109&gt;=$AH$2)) + ((M109&lt;$AD$2)*(M109&gt;=$AE$2)*(L109&gt;=$AG$2)) + ((M109&lt;$AE$2)*(M109&gt;=$AC$2)*(L109&gt;=0)))*2 * IF($AI$2=0, 1, AI109&lt;=$AI$2) * IF($AK$2=0, 1, AK109&lt;=$AK$2) * AND(N109&gt;=$D$1, H109&lt;=$I$2, G109&gt;=$H$2)), ((((M109&gt;=$AD$2)*(L109&gt;=$AH$2)) + ((M109&lt;$AD$2)*(M109&gt;=$AE$2)*(L109&gt;=$AG$2)) + ((M109&lt;$AE$2)*(M109&gt;=$AC$2)*(L109&gt;=0))) * IF($AI$2=0, 1, AI109&lt;=$AI$2) * IF($AK$2=0, 1, AK109&lt;=$AK$2) * AND(N109&gt;=$D$1, H109&lt;=$I$2, G109&gt;=$H$2)))</f>
        <v/>
      </c>
      <c r="AF109">
        <f>IF(AE109&gt;0, 1, 0)</f>
        <v/>
      </c>
      <c r="AG109">
        <f>IFERROR(IF(ISNUMBER(W109), IF(AN109, N109*W109*$AN$2, N109*W109), NA()), NA())</f>
        <v/>
      </c>
      <c r="AH109" s="13">
        <f>IFERROR(MIN(AG109, $U$2), 0)</f>
        <v/>
      </c>
      <c r="AI109" s="14">
        <f>IFERROR(VLOOKUP(A109, KEEPA!$A:$AW, 26, FALSE), 0)</f>
        <v/>
      </c>
      <c r="AJ109" s="16">
        <f>IFERROR(IF(AI109=0, 0, (AI109-H109)/H109), 0)</f>
        <v/>
      </c>
      <c r="AK109" s="14">
        <f>IFERROR(VLOOKUP(A109, KEEPA!$A:$AW, 28, FALSE), 0)</f>
        <v/>
      </c>
      <c r="AL109" s="16">
        <f>IFERROR(IF(AK109=0, 0, (AK109-H109)/H109), 0)</f>
        <v/>
      </c>
      <c r="AM109" s="13">
        <f>IFERROR(VLOOKUP(A109, AZInsight_Data!$A:$AS, 34, FALSE), 0)</f>
        <v/>
      </c>
      <c r="AN109">
        <f>IFERROR(AND(VLOOKUP(A109, KEEPA!$A:$AW, 2, FALSE)&lt;=$AO$2, N109 &gt;= $AM$2), FALSE)</f>
        <v/>
      </c>
      <c r="AO109" s="16">
        <f>IFERROR(VLOOKUP(A109, KEEPA!$A:$AW, 24, FALSE), 0)</f>
        <v/>
      </c>
      <c r="AP109" s="16">
        <f>IFERROR(VLOOKUP(A109, KEEPA!$A:$AW, 48, FALSE), 0)</f>
        <v/>
      </c>
      <c r="AQ109">
        <f>IFERROR(VLOOKUP(A109, AZInsight_Data!$A:$AS, 5, FALSE), "SL")</f>
        <v/>
      </c>
      <c r="AR109">
        <f>IF(OR(A109="", A109=0), "", HYPERLINK("https://keepa.com/#!product/1-"&amp;A109, "Keepa"))</f>
        <v/>
      </c>
      <c r="AS109">
        <f>IF(OR(A109="", A109=0), "", HYPERLINK("https://www.amazon.com/dp/"&amp;A109, "Amazon"))</f>
        <v/>
      </c>
      <c r="AT109">
        <f>IF(OR(A109="", A109=0), "", HYPERLINK("https://sellercentral.amazon.com/product-search/search?q="&amp;A109, "Check Gated"))</f>
        <v/>
      </c>
      <c r="AU109" s="12" t="n"/>
      <c r="AV109" s="12" t="n"/>
      <c r="AW109" s="12" t="n"/>
    </row>
    <row r="110">
      <c r="A110" s="12" t="n"/>
      <c r="B110" s="12">
        <f>IFERROR(VLOOKUP(A110, AZInsight_Data!$A:$AS, 3, FALSE), "")</f>
        <v/>
      </c>
      <c r="C110" s="13">
        <f>IFERROR(VLOOKUP(A110, AZInsight_Data!$A:$AS, 9, FALSE), 0)</f>
        <v/>
      </c>
      <c r="D110">
        <f>IFERROR(VLOOKUP(A110, AZInsight_Data!$A:$AS, 17, FALSE), 0)</f>
        <v/>
      </c>
      <c r="E110">
        <f>IFERROR(VLOOKUP(A110, AZInsight_Data!$A:$AS, 18, FALSE), 0)</f>
        <v/>
      </c>
      <c r="F110" s="14">
        <f>IFERROR(VLOOKUP(A110, AZInsight_Data!$A:$AS, 7, FALSE), 0)</f>
        <v/>
      </c>
      <c r="G110" s="15">
        <f>IFERROR(VLOOKUP(A110, AZInsight_Data!$A:$AS, 14, FALSE), 0)</f>
        <v/>
      </c>
      <c r="H110" s="14">
        <f>IFERROR(VLOOKUP(A110, AZInsight_Data!$A:$AS, 8, FALSE), 0)</f>
        <v/>
      </c>
      <c r="I110" s="16">
        <f>IFERROR(VLOOKUP(A110, KEEPA!$A:$AW, 47, FALSE), 0)</f>
        <v/>
      </c>
      <c r="J110">
        <f>IFERROR(VLOOKUP(A110, AZInsight_Data!$A:$AS, 25, FALSE), 0)</f>
        <v/>
      </c>
      <c r="K110" s="15">
        <f>IFERROR(VLOOKUP(A110, AZInsight_Data!$A:$AS, 16, FALSE), 0)</f>
        <v/>
      </c>
      <c r="L110" s="15">
        <f>IFERROR(K110-T110-J110, 0)</f>
        <v/>
      </c>
      <c r="M110" s="16">
        <f>IFERROR(IF(T110=0, 0, L110/T110), 0)</f>
        <v/>
      </c>
      <c r="N110" s="14">
        <f>IFERROR(C110*($V$2/30), 0)</f>
        <v/>
      </c>
      <c r="O110">
        <f>IFERROR(VLOOKUP(A110, AZInsight_Data!$A:$AS, 40, FALSE), 1)</f>
        <v/>
      </c>
      <c r="P110" s="13">
        <f>IF(O110&gt;0, O110, 1)</f>
        <v/>
      </c>
      <c r="Q110" s="13">
        <f>IFERROR(U110/P110, 0)</f>
        <v/>
      </c>
      <c r="R110">
        <f>IFERROR(VLOOKUP(A110, AZInsight_Data!$A:$AS, 36, FALSE), "")</f>
        <v/>
      </c>
      <c r="S110">
        <f>IFERROR(VLOOKUP(A110, AZInsight_Data!$A:$AS, 3, FALSE), "")</f>
        <v/>
      </c>
      <c r="T110" s="17">
        <f>IFERROR(VLOOKUP(A110, AZInsight_Data!$A:$AS, 13, FALSE), 0)</f>
        <v/>
      </c>
      <c r="U110" s="13">
        <f>AH110</f>
        <v/>
      </c>
      <c r="V110" s="15">
        <f>T110*U110</f>
        <v/>
      </c>
      <c r="W110" s="16" t="n"/>
      <c r="X110" s="12">
        <f>IFERROR(VLOOKUP(A110, AZInsight_Data!$A:$AS, 40, FALSE), 1)</f>
        <v/>
      </c>
      <c r="Y110" s="13">
        <f>IFERROR(VLOOKUP(A110, IP Qty!$D:$R, 5, FALSE), 0)</f>
        <v/>
      </c>
      <c r="Z110" s="14">
        <f>IFERROR(VLOOKUP(A110, IP Qty!$D:$R, 6, FALSE), 0)</f>
        <v/>
      </c>
      <c r="AA110">
        <f>IFERROR(VLOOKUP(A110, IP Qty!$D:$R, 7, FALSE), 0)</f>
        <v/>
      </c>
      <c r="AB110">
        <f>IFERROR(VLOOKUP(A110, IP Qty!$D:$R, 9, FALSE), 0)</f>
        <v/>
      </c>
      <c r="AC110">
        <f>IFERROR(VLOOKUP(A110, IP Qty!$D:$R, 8, FALSE), 0)</f>
        <v/>
      </c>
      <c r="AD110" s="14">
        <f>IFERROR(VLOOKUP(A110, KEEPA!$A:$AW, 34, FALSE), 0)</f>
        <v/>
      </c>
      <c r="AE110" s="15">
        <f>IF(P110&gt;1, ((((M110&gt;=$AD$2)*(L110&gt;=$AH$2)) + ((M110&lt;$AD$2)*(M110&gt;=$AE$2)*(L110&gt;=$AG$2)) + ((M110&lt;$AE$2)*(M110&gt;=$AC$2)*(L110&gt;=0)))*2 * IF($AI$2=0, 1, AI110&lt;=$AI$2) * IF($AK$2=0, 1, AK110&lt;=$AK$2) * AND(N110&gt;=$D$1, H110&lt;=$I$2, G110&gt;=$H$2)), ((((M110&gt;=$AD$2)*(L110&gt;=$AH$2)) + ((M110&lt;$AD$2)*(M110&gt;=$AE$2)*(L110&gt;=$AG$2)) + ((M110&lt;$AE$2)*(M110&gt;=$AC$2)*(L110&gt;=0))) * IF($AI$2=0, 1, AI110&lt;=$AI$2) * IF($AK$2=0, 1, AK110&lt;=$AK$2) * AND(N110&gt;=$D$1, H110&lt;=$I$2, G110&gt;=$H$2)))</f>
        <v/>
      </c>
      <c r="AF110">
        <f>IF(AE110&gt;0, 1, 0)</f>
        <v/>
      </c>
      <c r="AG110">
        <f>IFERROR(IF(ISNUMBER(W110), IF(AN110, N110*W110*$AN$2, N110*W110), NA()), NA())</f>
        <v/>
      </c>
      <c r="AH110" s="13">
        <f>IFERROR(MIN(AG110, $U$2), 0)</f>
        <v/>
      </c>
      <c r="AI110" s="14">
        <f>IFERROR(VLOOKUP(A110, KEEPA!$A:$AW, 26, FALSE), 0)</f>
        <v/>
      </c>
      <c r="AJ110" s="16">
        <f>IFERROR(IF(AI110=0, 0, (AI110-H110)/H110), 0)</f>
        <v/>
      </c>
      <c r="AK110" s="14">
        <f>IFERROR(VLOOKUP(A110, KEEPA!$A:$AW, 28, FALSE), 0)</f>
        <v/>
      </c>
      <c r="AL110" s="16">
        <f>IFERROR(IF(AK110=0, 0, (AK110-H110)/H110), 0)</f>
        <v/>
      </c>
      <c r="AM110" s="13">
        <f>IFERROR(VLOOKUP(A110, AZInsight_Data!$A:$AS, 34, FALSE), 0)</f>
        <v/>
      </c>
      <c r="AN110">
        <f>IFERROR(AND(VLOOKUP(A110, KEEPA!$A:$AW, 2, FALSE)&lt;=$AO$2, N110 &gt;= $AM$2), FALSE)</f>
        <v/>
      </c>
      <c r="AO110" s="16">
        <f>IFERROR(VLOOKUP(A110, KEEPA!$A:$AW, 24, FALSE), 0)</f>
        <v/>
      </c>
      <c r="AP110" s="16">
        <f>IFERROR(VLOOKUP(A110, KEEPA!$A:$AW, 48, FALSE), 0)</f>
        <v/>
      </c>
      <c r="AQ110">
        <f>IFERROR(VLOOKUP(A110, AZInsight_Data!$A:$AS, 5, FALSE), "SL")</f>
        <v/>
      </c>
      <c r="AR110">
        <f>IF(OR(A110="", A110=0), "", HYPERLINK("https://keepa.com/#!product/1-"&amp;A110, "Keepa"))</f>
        <v/>
      </c>
      <c r="AS110">
        <f>IF(OR(A110="", A110=0), "", HYPERLINK("https://www.amazon.com/dp/"&amp;A110, "Amazon"))</f>
        <v/>
      </c>
      <c r="AT110">
        <f>IF(OR(A110="", A110=0), "", HYPERLINK("https://sellercentral.amazon.com/product-search/search?q="&amp;A110, "Check Gated"))</f>
        <v/>
      </c>
      <c r="AU110" s="12" t="n"/>
      <c r="AV110" s="12" t="n"/>
      <c r="AW110" s="12" t="n"/>
    </row>
    <row r="111">
      <c r="A111" s="12" t="n"/>
      <c r="B111" s="12">
        <f>IFERROR(VLOOKUP(A111, AZInsight_Data!$A:$AS, 3, FALSE), "")</f>
        <v/>
      </c>
      <c r="C111" s="13">
        <f>IFERROR(VLOOKUP(A111, AZInsight_Data!$A:$AS, 9, FALSE), 0)</f>
        <v/>
      </c>
      <c r="D111">
        <f>IFERROR(VLOOKUP(A111, AZInsight_Data!$A:$AS, 17, FALSE), 0)</f>
        <v/>
      </c>
      <c r="E111">
        <f>IFERROR(VLOOKUP(A111, AZInsight_Data!$A:$AS, 18, FALSE), 0)</f>
        <v/>
      </c>
      <c r="F111" s="14">
        <f>IFERROR(VLOOKUP(A111, AZInsight_Data!$A:$AS, 7, FALSE), 0)</f>
        <v/>
      </c>
      <c r="G111" s="15">
        <f>IFERROR(VLOOKUP(A111, AZInsight_Data!$A:$AS, 14, FALSE), 0)</f>
        <v/>
      </c>
      <c r="H111" s="14">
        <f>IFERROR(VLOOKUP(A111, AZInsight_Data!$A:$AS, 8, FALSE), 0)</f>
        <v/>
      </c>
      <c r="I111" s="16">
        <f>IFERROR(VLOOKUP(A111, KEEPA!$A:$AW, 47, FALSE), 0)</f>
        <v/>
      </c>
      <c r="J111">
        <f>IFERROR(VLOOKUP(A111, AZInsight_Data!$A:$AS, 25, FALSE), 0)</f>
        <v/>
      </c>
      <c r="K111" s="15">
        <f>IFERROR(VLOOKUP(A111, AZInsight_Data!$A:$AS, 16, FALSE), 0)</f>
        <v/>
      </c>
      <c r="L111" s="15">
        <f>IFERROR(K111-T111-J111, 0)</f>
        <v/>
      </c>
      <c r="M111" s="16">
        <f>IFERROR(IF(T111=0, 0, L111/T111), 0)</f>
        <v/>
      </c>
      <c r="N111" s="14">
        <f>IFERROR(C111*($V$2/30), 0)</f>
        <v/>
      </c>
      <c r="O111">
        <f>IFERROR(VLOOKUP(A111, AZInsight_Data!$A:$AS, 40, FALSE), 1)</f>
        <v/>
      </c>
      <c r="P111" s="13">
        <f>IF(O111&gt;0, O111, 1)</f>
        <v/>
      </c>
      <c r="Q111" s="13">
        <f>IFERROR(U111/P111, 0)</f>
        <v/>
      </c>
      <c r="R111">
        <f>IFERROR(VLOOKUP(A111, AZInsight_Data!$A:$AS, 36, FALSE), "")</f>
        <v/>
      </c>
      <c r="S111">
        <f>IFERROR(VLOOKUP(A111, AZInsight_Data!$A:$AS, 3, FALSE), "")</f>
        <v/>
      </c>
      <c r="T111" s="17">
        <f>IFERROR(VLOOKUP(A111, AZInsight_Data!$A:$AS, 13, FALSE), 0)</f>
        <v/>
      </c>
      <c r="U111" s="13">
        <f>AH111</f>
        <v/>
      </c>
      <c r="V111" s="15">
        <f>T111*U111</f>
        <v/>
      </c>
      <c r="W111" s="16" t="n"/>
      <c r="X111" s="12">
        <f>IFERROR(VLOOKUP(A111, AZInsight_Data!$A:$AS, 40, FALSE), 1)</f>
        <v/>
      </c>
      <c r="Y111" s="13">
        <f>IFERROR(VLOOKUP(A111, IP Qty!$D:$R, 5, FALSE), 0)</f>
        <v/>
      </c>
      <c r="Z111" s="14">
        <f>IFERROR(VLOOKUP(A111, IP Qty!$D:$R, 6, FALSE), 0)</f>
        <v/>
      </c>
      <c r="AA111">
        <f>IFERROR(VLOOKUP(A111, IP Qty!$D:$R, 7, FALSE), 0)</f>
        <v/>
      </c>
      <c r="AB111">
        <f>IFERROR(VLOOKUP(A111, IP Qty!$D:$R, 9, FALSE), 0)</f>
        <v/>
      </c>
      <c r="AC111">
        <f>IFERROR(VLOOKUP(A111, IP Qty!$D:$R, 8, FALSE), 0)</f>
        <v/>
      </c>
      <c r="AD111" s="14">
        <f>IFERROR(VLOOKUP(A111, KEEPA!$A:$AW, 34, FALSE), 0)</f>
        <v/>
      </c>
      <c r="AE111" s="15">
        <f>IF(P111&gt;1, ((((M111&gt;=$AD$2)*(L111&gt;=$AH$2)) + ((M111&lt;$AD$2)*(M111&gt;=$AE$2)*(L111&gt;=$AG$2)) + ((M111&lt;$AE$2)*(M111&gt;=$AC$2)*(L111&gt;=0)))*2 * IF($AI$2=0, 1, AI111&lt;=$AI$2) * IF($AK$2=0, 1, AK111&lt;=$AK$2) * AND(N111&gt;=$D$1, H111&lt;=$I$2, G111&gt;=$H$2)), ((((M111&gt;=$AD$2)*(L111&gt;=$AH$2)) + ((M111&lt;$AD$2)*(M111&gt;=$AE$2)*(L111&gt;=$AG$2)) + ((M111&lt;$AE$2)*(M111&gt;=$AC$2)*(L111&gt;=0))) * IF($AI$2=0, 1, AI111&lt;=$AI$2) * IF($AK$2=0, 1, AK111&lt;=$AK$2) * AND(N111&gt;=$D$1, H111&lt;=$I$2, G111&gt;=$H$2)))</f>
        <v/>
      </c>
      <c r="AF111">
        <f>IF(AE111&gt;0, 1, 0)</f>
        <v/>
      </c>
      <c r="AG111">
        <f>IFERROR(IF(ISNUMBER(W111), IF(AN111, N111*W111*$AN$2, N111*W111), NA()), NA())</f>
        <v/>
      </c>
      <c r="AH111" s="13">
        <f>IFERROR(MIN(AG111, $U$2), 0)</f>
        <v/>
      </c>
      <c r="AI111" s="14">
        <f>IFERROR(VLOOKUP(A111, KEEPA!$A:$AW, 26, FALSE), 0)</f>
        <v/>
      </c>
      <c r="AJ111" s="16">
        <f>IFERROR(IF(AI111=0, 0, (AI111-H111)/H111), 0)</f>
        <v/>
      </c>
      <c r="AK111" s="14">
        <f>IFERROR(VLOOKUP(A111, KEEPA!$A:$AW, 28, FALSE), 0)</f>
        <v/>
      </c>
      <c r="AL111" s="16">
        <f>IFERROR(IF(AK111=0, 0, (AK111-H111)/H111), 0)</f>
        <v/>
      </c>
      <c r="AM111" s="13">
        <f>IFERROR(VLOOKUP(A111, AZInsight_Data!$A:$AS, 34, FALSE), 0)</f>
        <v/>
      </c>
      <c r="AN111">
        <f>IFERROR(AND(VLOOKUP(A111, KEEPA!$A:$AW, 2, FALSE)&lt;=$AO$2, N111 &gt;= $AM$2), FALSE)</f>
        <v/>
      </c>
      <c r="AO111" s="16">
        <f>IFERROR(VLOOKUP(A111, KEEPA!$A:$AW, 24, FALSE), 0)</f>
        <v/>
      </c>
      <c r="AP111" s="16">
        <f>IFERROR(VLOOKUP(A111, KEEPA!$A:$AW, 48, FALSE), 0)</f>
        <v/>
      </c>
      <c r="AQ111">
        <f>IFERROR(VLOOKUP(A111, AZInsight_Data!$A:$AS, 5, FALSE), "SL")</f>
        <v/>
      </c>
      <c r="AR111">
        <f>IF(OR(A111="", A111=0), "", HYPERLINK("https://keepa.com/#!product/1-"&amp;A111, "Keepa"))</f>
        <v/>
      </c>
      <c r="AS111">
        <f>IF(OR(A111="", A111=0), "", HYPERLINK("https://www.amazon.com/dp/"&amp;A111, "Amazon"))</f>
        <v/>
      </c>
      <c r="AT111">
        <f>IF(OR(A111="", A111=0), "", HYPERLINK("https://sellercentral.amazon.com/product-search/search?q="&amp;A111, "Check Gated"))</f>
        <v/>
      </c>
      <c r="AU111" s="12" t="n"/>
      <c r="AV111" s="12" t="n"/>
      <c r="AW111" s="12" t="n"/>
    </row>
    <row r="112">
      <c r="A112" s="12" t="n"/>
      <c r="B112" s="12">
        <f>IFERROR(VLOOKUP(A112, AZInsight_Data!$A:$AS, 3, FALSE), "")</f>
        <v/>
      </c>
      <c r="C112" s="13">
        <f>IFERROR(VLOOKUP(A112, AZInsight_Data!$A:$AS, 9, FALSE), 0)</f>
        <v/>
      </c>
      <c r="D112">
        <f>IFERROR(VLOOKUP(A112, AZInsight_Data!$A:$AS, 17, FALSE), 0)</f>
        <v/>
      </c>
      <c r="E112">
        <f>IFERROR(VLOOKUP(A112, AZInsight_Data!$A:$AS, 18, FALSE), 0)</f>
        <v/>
      </c>
      <c r="F112" s="14">
        <f>IFERROR(VLOOKUP(A112, AZInsight_Data!$A:$AS, 7, FALSE), 0)</f>
        <v/>
      </c>
      <c r="G112" s="15">
        <f>IFERROR(VLOOKUP(A112, AZInsight_Data!$A:$AS, 14, FALSE), 0)</f>
        <v/>
      </c>
      <c r="H112" s="14">
        <f>IFERROR(VLOOKUP(A112, AZInsight_Data!$A:$AS, 8, FALSE), 0)</f>
        <v/>
      </c>
      <c r="I112" s="16">
        <f>IFERROR(VLOOKUP(A112, KEEPA!$A:$AW, 47, FALSE), 0)</f>
        <v/>
      </c>
      <c r="J112">
        <f>IFERROR(VLOOKUP(A112, AZInsight_Data!$A:$AS, 25, FALSE), 0)</f>
        <v/>
      </c>
      <c r="K112" s="15">
        <f>IFERROR(VLOOKUP(A112, AZInsight_Data!$A:$AS, 16, FALSE), 0)</f>
        <v/>
      </c>
      <c r="L112" s="15">
        <f>IFERROR(K112-T112-J112, 0)</f>
        <v/>
      </c>
      <c r="M112" s="16">
        <f>IFERROR(IF(T112=0, 0, L112/T112), 0)</f>
        <v/>
      </c>
      <c r="N112" s="14">
        <f>IFERROR(C112*($V$2/30), 0)</f>
        <v/>
      </c>
      <c r="O112">
        <f>IFERROR(VLOOKUP(A112, AZInsight_Data!$A:$AS, 40, FALSE), 1)</f>
        <v/>
      </c>
      <c r="P112" s="13">
        <f>IF(O112&gt;0, O112, 1)</f>
        <v/>
      </c>
      <c r="Q112" s="13">
        <f>IFERROR(U112/P112, 0)</f>
        <v/>
      </c>
      <c r="R112">
        <f>IFERROR(VLOOKUP(A112, AZInsight_Data!$A:$AS, 36, FALSE), "")</f>
        <v/>
      </c>
      <c r="S112">
        <f>IFERROR(VLOOKUP(A112, AZInsight_Data!$A:$AS, 3, FALSE), "")</f>
        <v/>
      </c>
      <c r="T112" s="17">
        <f>IFERROR(VLOOKUP(A112, AZInsight_Data!$A:$AS, 13, FALSE), 0)</f>
        <v/>
      </c>
      <c r="U112" s="13">
        <f>AH112</f>
        <v/>
      </c>
      <c r="V112" s="15">
        <f>T112*U112</f>
        <v/>
      </c>
      <c r="W112" s="16" t="n"/>
      <c r="X112" s="12">
        <f>IFERROR(VLOOKUP(A112, AZInsight_Data!$A:$AS, 40, FALSE), 1)</f>
        <v/>
      </c>
      <c r="Y112" s="13">
        <f>IFERROR(VLOOKUP(A112, IP Qty!$D:$R, 5, FALSE), 0)</f>
        <v/>
      </c>
      <c r="Z112" s="14">
        <f>IFERROR(VLOOKUP(A112, IP Qty!$D:$R, 6, FALSE), 0)</f>
        <v/>
      </c>
      <c r="AA112">
        <f>IFERROR(VLOOKUP(A112, IP Qty!$D:$R, 7, FALSE), 0)</f>
        <v/>
      </c>
      <c r="AB112">
        <f>IFERROR(VLOOKUP(A112, IP Qty!$D:$R, 9, FALSE), 0)</f>
        <v/>
      </c>
      <c r="AC112">
        <f>IFERROR(VLOOKUP(A112, IP Qty!$D:$R, 8, FALSE), 0)</f>
        <v/>
      </c>
      <c r="AD112" s="14">
        <f>IFERROR(VLOOKUP(A112, KEEPA!$A:$AW, 34, FALSE), 0)</f>
        <v/>
      </c>
      <c r="AE112" s="15">
        <f>IF(P112&gt;1, ((((M112&gt;=$AD$2)*(L112&gt;=$AH$2)) + ((M112&lt;$AD$2)*(M112&gt;=$AE$2)*(L112&gt;=$AG$2)) + ((M112&lt;$AE$2)*(M112&gt;=$AC$2)*(L112&gt;=0)))*2 * IF($AI$2=0, 1, AI112&lt;=$AI$2) * IF($AK$2=0, 1, AK112&lt;=$AK$2) * AND(N112&gt;=$D$1, H112&lt;=$I$2, G112&gt;=$H$2)), ((((M112&gt;=$AD$2)*(L112&gt;=$AH$2)) + ((M112&lt;$AD$2)*(M112&gt;=$AE$2)*(L112&gt;=$AG$2)) + ((M112&lt;$AE$2)*(M112&gt;=$AC$2)*(L112&gt;=0))) * IF($AI$2=0, 1, AI112&lt;=$AI$2) * IF($AK$2=0, 1, AK112&lt;=$AK$2) * AND(N112&gt;=$D$1, H112&lt;=$I$2, G112&gt;=$H$2)))</f>
        <v/>
      </c>
      <c r="AF112">
        <f>IF(AE112&gt;0, 1, 0)</f>
        <v/>
      </c>
      <c r="AG112">
        <f>IFERROR(IF(ISNUMBER(W112), IF(AN112, N112*W112*$AN$2, N112*W112), NA()), NA())</f>
        <v/>
      </c>
      <c r="AH112" s="13">
        <f>IFERROR(MIN(AG112, $U$2), 0)</f>
        <v/>
      </c>
      <c r="AI112" s="14">
        <f>IFERROR(VLOOKUP(A112, KEEPA!$A:$AW, 26, FALSE), 0)</f>
        <v/>
      </c>
      <c r="AJ112" s="16">
        <f>IFERROR(IF(AI112=0, 0, (AI112-H112)/H112), 0)</f>
        <v/>
      </c>
      <c r="AK112" s="14">
        <f>IFERROR(VLOOKUP(A112, KEEPA!$A:$AW, 28, FALSE), 0)</f>
        <v/>
      </c>
      <c r="AL112" s="16">
        <f>IFERROR(IF(AK112=0, 0, (AK112-H112)/H112), 0)</f>
        <v/>
      </c>
      <c r="AM112" s="13">
        <f>IFERROR(VLOOKUP(A112, AZInsight_Data!$A:$AS, 34, FALSE), 0)</f>
        <v/>
      </c>
      <c r="AN112">
        <f>IFERROR(AND(VLOOKUP(A112, KEEPA!$A:$AW, 2, FALSE)&lt;=$AO$2, N112 &gt;= $AM$2), FALSE)</f>
        <v/>
      </c>
      <c r="AO112" s="16">
        <f>IFERROR(VLOOKUP(A112, KEEPA!$A:$AW, 24, FALSE), 0)</f>
        <v/>
      </c>
      <c r="AP112" s="16">
        <f>IFERROR(VLOOKUP(A112, KEEPA!$A:$AW, 48, FALSE), 0)</f>
        <v/>
      </c>
      <c r="AQ112">
        <f>IFERROR(VLOOKUP(A112, AZInsight_Data!$A:$AS, 5, FALSE), "SL")</f>
        <v/>
      </c>
      <c r="AR112">
        <f>IF(OR(A112="", A112=0), "", HYPERLINK("https://keepa.com/#!product/1-"&amp;A112, "Keepa"))</f>
        <v/>
      </c>
      <c r="AS112">
        <f>IF(OR(A112="", A112=0), "", HYPERLINK("https://www.amazon.com/dp/"&amp;A112, "Amazon"))</f>
        <v/>
      </c>
      <c r="AT112">
        <f>IF(OR(A112="", A112=0), "", HYPERLINK("https://sellercentral.amazon.com/product-search/search?q="&amp;A112, "Check Gated"))</f>
        <v/>
      </c>
      <c r="AU112" s="12" t="n"/>
      <c r="AV112" s="12" t="n"/>
      <c r="AW112" s="12" t="n"/>
    </row>
    <row r="113">
      <c r="A113" s="12" t="n"/>
      <c r="B113" s="12">
        <f>IFERROR(VLOOKUP(A113, AZInsight_Data!$A:$AS, 3, FALSE), "")</f>
        <v/>
      </c>
      <c r="C113" s="13">
        <f>IFERROR(VLOOKUP(A113, AZInsight_Data!$A:$AS, 9, FALSE), 0)</f>
        <v/>
      </c>
      <c r="D113">
        <f>IFERROR(VLOOKUP(A113, AZInsight_Data!$A:$AS, 17, FALSE), 0)</f>
        <v/>
      </c>
      <c r="E113">
        <f>IFERROR(VLOOKUP(A113, AZInsight_Data!$A:$AS, 18, FALSE), 0)</f>
        <v/>
      </c>
      <c r="F113" s="14">
        <f>IFERROR(VLOOKUP(A113, AZInsight_Data!$A:$AS, 7, FALSE), 0)</f>
        <v/>
      </c>
      <c r="G113" s="15">
        <f>IFERROR(VLOOKUP(A113, AZInsight_Data!$A:$AS, 14, FALSE), 0)</f>
        <v/>
      </c>
      <c r="H113" s="14">
        <f>IFERROR(VLOOKUP(A113, AZInsight_Data!$A:$AS, 8, FALSE), 0)</f>
        <v/>
      </c>
      <c r="I113" s="16">
        <f>IFERROR(VLOOKUP(A113, KEEPA!$A:$AW, 47, FALSE), 0)</f>
        <v/>
      </c>
      <c r="J113">
        <f>IFERROR(VLOOKUP(A113, AZInsight_Data!$A:$AS, 25, FALSE), 0)</f>
        <v/>
      </c>
      <c r="K113" s="15">
        <f>IFERROR(VLOOKUP(A113, AZInsight_Data!$A:$AS, 16, FALSE), 0)</f>
        <v/>
      </c>
      <c r="L113" s="15">
        <f>IFERROR(K113-T113-J113, 0)</f>
        <v/>
      </c>
      <c r="M113" s="16">
        <f>IFERROR(IF(T113=0, 0, L113/T113), 0)</f>
        <v/>
      </c>
      <c r="N113" s="14">
        <f>IFERROR(C113*($V$2/30), 0)</f>
        <v/>
      </c>
      <c r="O113">
        <f>IFERROR(VLOOKUP(A113, AZInsight_Data!$A:$AS, 40, FALSE), 1)</f>
        <v/>
      </c>
      <c r="P113" s="13">
        <f>IF(O113&gt;0, O113, 1)</f>
        <v/>
      </c>
      <c r="Q113" s="13">
        <f>IFERROR(U113/P113, 0)</f>
        <v/>
      </c>
      <c r="R113">
        <f>IFERROR(VLOOKUP(A113, AZInsight_Data!$A:$AS, 36, FALSE), "")</f>
        <v/>
      </c>
      <c r="S113">
        <f>IFERROR(VLOOKUP(A113, AZInsight_Data!$A:$AS, 3, FALSE), "")</f>
        <v/>
      </c>
      <c r="T113" s="17">
        <f>IFERROR(VLOOKUP(A113, AZInsight_Data!$A:$AS, 13, FALSE), 0)</f>
        <v/>
      </c>
      <c r="U113" s="13">
        <f>AH113</f>
        <v/>
      </c>
      <c r="V113" s="15">
        <f>T113*U113</f>
        <v/>
      </c>
      <c r="W113" s="16" t="n"/>
      <c r="X113" s="12">
        <f>IFERROR(VLOOKUP(A113, AZInsight_Data!$A:$AS, 40, FALSE), 1)</f>
        <v/>
      </c>
      <c r="Y113" s="13">
        <f>IFERROR(VLOOKUP(A113, IP Qty!$D:$R, 5, FALSE), 0)</f>
        <v/>
      </c>
      <c r="Z113" s="14">
        <f>IFERROR(VLOOKUP(A113, IP Qty!$D:$R, 6, FALSE), 0)</f>
        <v/>
      </c>
      <c r="AA113">
        <f>IFERROR(VLOOKUP(A113, IP Qty!$D:$R, 7, FALSE), 0)</f>
        <v/>
      </c>
      <c r="AB113">
        <f>IFERROR(VLOOKUP(A113, IP Qty!$D:$R, 9, FALSE), 0)</f>
        <v/>
      </c>
      <c r="AC113">
        <f>IFERROR(VLOOKUP(A113, IP Qty!$D:$R, 8, FALSE), 0)</f>
        <v/>
      </c>
      <c r="AD113" s="14">
        <f>IFERROR(VLOOKUP(A113, KEEPA!$A:$AW, 34, FALSE), 0)</f>
        <v/>
      </c>
      <c r="AE113" s="15">
        <f>IF(P113&gt;1, ((((M113&gt;=$AD$2)*(L113&gt;=$AH$2)) + ((M113&lt;$AD$2)*(M113&gt;=$AE$2)*(L113&gt;=$AG$2)) + ((M113&lt;$AE$2)*(M113&gt;=$AC$2)*(L113&gt;=0)))*2 * IF($AI$2=0, 1, AI113&lt;=$AI$2) * IF($AK$2=0, 1, AK113&lt;=$AK$2) * AND(N113&gt;=$D$1, H113&lt;=$I$2, G113&gt;=$H$2)), ((((M113&gt;=$AD$2)*(L113&gt;=$AH$2)) + ((M113&lt;$AD$2)*(M113&gt;=$AE$2)*(L113&gt;=$AG$2)) + ((M113&lt;$AE$2)*(M113&gt;=$AC$2)*(L113&gt;=0))) * IF($AI$2=0, 1, AI113&lt;=$AI$2) * IF($AK$2=0, 1, AK113&lt;=$AK$2) * AND(N113&gt;=$D$1, H113&lt;=$I$2, G113&gt;=$H$2)))</f>
        <v/>
      </c>
      <c r="AF113">
        <f>IF(AE113&gt;0, 1, 0)</f>
        <v/>
      </c>
      <c r="AG113">
        <f>IFERROR(IF(ISNUMBER(W113), IF(AN113, N113*W113*$AN$2, N113*W113), NA()), NA())</f>
        <v/>
      </c>
      <c r="AH113" s="13">
        <f>IFERROR(MIN(AG113, $U$2), 0)</f>
        <v/>
      </c>
      <c r="AI113" s="14">
        <f>IFERROR(VLOOKUP(A113, KEEPA!$A:$AW, 26, FALSE), 0)</f>
        <v/>
      </c>
      <c r="AJ113" s="16">
        <f>IFERROR(IF(AI113=0, 0, (AI113-H113)/H113), 0)</f>
        <v/>
      </c>
      <c r="AK113" s="14">
        <f>IFERROR(VLOOKUP(A113, KEEPA!$A:$AW, 28, FALSE), 0)</f>
        <v/>
      </c>
      <c r="AL113" s="16">
        <f>IFERROR(IF(AK113=0, 0, (AK113-H113)/H113), 0)</f>
        <v/>
      </c>
      <c r="AM113" s="13">
        <f>IFERROR(VLOOKUP(A113, AZInsight_Data!$A:$AS, 34, FALSE), 0)</f>
        <v/>
      </c>
      <c r="AN113">
        <f>IFERROR(AND(VLOOKUP(A113, KEEPA!$A:$AW, 2, FALSE)&lt;=$AO$2, N113 &gt;= $AM$2), FALSE)</f>
        <v/>
      </c>
      <c r="AO113" s="16">
        <f>IFERROR(VLOOKUP(A113, KEEPA!$A:$AW, 24, FALSE), 0)</f>
        <v/>
      </c>
      <c r="AP113" s="16">
        <f>IFERROR(VLOOKUP(A113, KEEPA!$A:$AW, 48, FALSE), 0)</f>
        <v/>
      </c>
      <c r="AQ113">
        <f>IFERROR(VLOOKUP(A113, AZInsight_Data!$A:$AS, 5, FALSE), "SL")</f>
        <v/>
      </c>
      <c r="AR113">
        <f>IF(OR(A113="", A113=0), "", HYPERLINK("https://keepa.com/#!product/1-"&amp;A113, "Keepa"))</f>
        <v/>
      </c>
      <c r="AS113">
        <f>IF(OR(A113="", A113=0), "", HYPERLINK("https://www.amazon.com/dp/"&amp;A113, "Amazon"))</f>
        <v/>
      </c>
      <c r="AT113">
        <f>IF(OR(A113="", A113=0), "", HYPERLINK("https://sellercentral.amazon.com/product-search/search?q="&amp;A113, "Check Gated"))</f>
        <v/>
      </c>
      <c r="AU113" s="12" t="n"/>
      <c r="AV113" s="12" t="n"/>
      <c r="AW113" s="12" t="n"/>
    </row>
    <row r="114">
      <c r="A114" s="12" t="n"/>
      <c r="B114" s="12">
        <f>IFERROR(VLOOKUP(A114, AZInsight_Data!$A:$AS, 3, FALSE), "")</f>
        <v/>
      </c>
      <c r="C114" s="13">
        <f>IFERROR(VLOOKUP(A114, AZInsight_Data!$A:$AS, 9, FALSE), 0)</f>
        <v/>
      </c>
      <c r="D114">
        <f>IFERROR(VLOOKUP(A114, AZInsight_Data!$A:$AS, 17, FALSE), 0)</f>
        <v/>
      </c>
      <c r="E114">
        <f>IFERROR(VLOOKUP(A114, AZInsight_Data!$A:$AS, 18, FALSE), 0)</f>
        <v/>
      </c>
      <c r="F114" s="14">
        <f>IFERROR(VLOOKUP(A114, AZInsight_Data!$A:$AS, 7, FALSE), 0)</f>
        <v/>
      </c>
      <c r="G114" s="15">
        <f>IFERROR(VLOOKUP(A114, AZInsight_Data!$A:$AS, 14, FALSE), 0)</f>
        <v/>
      </c>
      <c r="H114" s="14">
        <f>IFERROR(VLOOKUP(A114, AZInsight_Data!$A:$AS, 8, FALSE), 0)</f>
        <v/>
      </c>
      <c r="I114" s="16">
        <f>IFERROR(VLOOKUP(A114, KEEPA!$A:$AW, 47, FALSE), 0)</f>
        <v/>
      </c>
      <c r="J114">
        <f>IFERROR(VLOOKUP(A114, AZInsight_Data!$A:$AS, 25, FALSE), 0)</f>
        <v/>
      </c>
      <c r="K114" s="15">
        <f>IFERROR(VLOOKUP(A114, AZInsight_Data!$A:$AS, 16, FALSE), 0)</f>
        <v/>
      </c>
      <c r="L114" s="15">
        <f>IFERROR(K114-T114-J114, 0)</f>
        <v/>
      </c>
      <c r="M114" s="16">
        <f>IFERROR(IF(T114=0, 0, L114/T114), 0)</f>
        <v/>
      </c>
      <c r="N114" s="14">
        <f>IFERROR(C114*($V$2/30), 0)</f>
        <v/>
      </c>
      <c r="O114">
        <f>IFERROR(VLOOKUP(A114, AZInsight_Data!$A:$AS, 40, FALSE), 1)</f>
        <v/>
      </c>
      <c r="P114" s="13">
        <f>IF(O114&gt;0, O114, 1)</f>
        <v/>
      </c>
      <c r="Q114" s="13">
        <f>IFERROR(U114/P114, 0)</f>
        <v/>
      </c>
      <c r="R114">
        <f>IFERROR(VLOOKUP(A114, AZInsight_Data!$A:$AS, 36, FALSE), "")</f>
        <v/>
      </c>
      <c r="S114">
        <f>IFERROR(VLOOKUP(A114, AZInsight_Data!$A:$AS, 3, FALSE), "")</f>
        <v/>
      </c>
      <c r="T114" s="17">
        <f>IFERROR(VLOOKUP(A114, AZInsight_Data!$A:$AS, 13, FALSE), 0)</f>
        <v/>
      </c>
      <c r="U114" s="13">
        <f>AH114</f>
        <v/>
      </c>
      <c r="V114" s="15">
        <f>T114*U114</f>
        <v/>
      </c>
      <c r="W114" s="16" t="n"/>
      <c r="X114" s="12">
        <f>IFERROR(VLOOKUP(A114, AZInsight_Data!$A:$AS, 40, FALSE), 1)</f>
        <v/>
      </c>
      <c r="Y114" s="13">
        <f>IFERROR(VLOOKUP(A114, IP Qty!$D:$R, 5, FALSE), 0)</f>
        <v/>
      </c>
      <c r="Z114" s="14">
        <f>IFERROR(VLOOKUP(A114, IP Qty!$D:$R, 6, FALSE), 0)</f>
        <v/>
      </c>
      <c r="AA114">
        <f>IFERROR(VLOOKUP(A114, IP Qty!$D:$R, 7, FALSE), 0)</f>
        <v/>
      </c>
      <c r="AB114">
        <f>IFERROR(VLOOKUP(A114, IP Qty!$D:$R, 9, FALSE), 0)</f>
        <v/>
      </c>
      <c r="AC114">
        <f>IFERROR(VLOOKUP(A114, IP Qty!$D:$R, 8, FALSE), 0)</f>
        <v/>
      </c>
      <c r="AD114" s="14">
        <f>IFERROR(VLOOKUP(A114, KEEPA!$A:$AW, 34, FALSE), 0)</f>
        <v/>
      </c>
      <c r="AE114" s="15">
        <f>IF(P114&gt;1, ((((M114&gt;=$AD$2)*(L114&gt;=$AH$2)) + ((M114&lt;$AD$2)*(M114&gt;=$AE$2)*(L114&gt;=$AG$2)) + ((M114&lt;$AE$2)*(M114&gt;=$AC$2)*(L114&gt;=0)))*2 * IF($AI$2=0, 1, AI114&lt;=$AI$2) * IF($AK$2=0, 1, AK114&lt;=$AK$2) * AND(N114&gt;=$D$1, H114&lt;=$I$2, G114&gt;=$H$2)), ((((M114&gt;=$AD$2)*(L114&gt;=$AH$2)) + ((M114&lt;$AD$2)*(M114&gt;=$AE$2)*(L114&gt;=$AG$2)) + ((M114&lt;$AE$2)*(M114&gt;=$AC$2)*(L114&gt;=0))) * IF($AI$2=0, 1, AI114&lt;=$AI$2) * IF($AK$2=0, 1, AK114&lt;=$AK$2) * AND(N114&gt;=$D$1, H114&lt;=$I$2, G114&gt;=$H$2)))</f>
        <v/>
      </c>
      <c r="AF114">
        <f>IF(AE114&gt;0, 1, 0)</f>
        <v/>
      </c>
      <c r="AG114">
        <f>IFERROR(IF(ISNUMBER(W114), IF(AN114, N114*W114*$AN$2, N114*W114), NA()), NA())</f>
        <v/>
      </c>
      <c r="AH114" s="13">
        <f>IFERROR(MIN(AG114, $U$2), 0)</f>
        <v/>
      </c>
      <c r="AI114" s="14">
        <f>IFERROR(VLOOKUP(A114, KEEPA!$A:$AW, 26, FALSE), 0)</f>
        <v/>
      </c>
      <c r="AJ114" s="16">
        <f>IFERROR(IF(AI114=0, 0, (AI114-H114)/H114), 0)</f>
        <v/>
      </c>
      <c r="AK114" s="14">
        <f>IFERROR(VLOOKUP(A114, KEEPA!$A:$AW, 28, FALSE), 0)</f>
        <v/>
      </c>
      <c r="AL114" s="16">
        <f>IFERROR(IF(AK114=0, 0, (AK114-H114)/H114), 0)</f>
        <v/>
      </c>
      <c r="AM114" s="13">
        <f>IFERROR(VLOOKUP(A114, AZInsight_Data!$A:$AS, 34, FALSE), 0)</f>
        <v/>
      </c>
      <c r="AN114">
        <f>IFERROR(AND(VLOOKUP(A114, KEEPA!$A:$AW, 2, FALSE)&lt;=$AO$2, N114 &gt;= $AM$2), FALSE)</f>
        <v/>
      </c>
      <c r="AO114" s="16">
        <f>IFERROR(VLOOKUP(A114, KEEPA!$A:$AW, 24, FALSE), 0)</f>
        <v/>
      </c>
      <c r="AP114" s="16">
        <f>IFERROR(VLOOKUP(A114, KEEPA!$A:$AW, 48, FALSE), 0)</f>
        <v/>
      </c>
      <c r="AQ114">
        <f>IFERROR(VLOOKUP(A114, AZInsight_Data!$A:$AS, 5, FALSE), "SL")</f>
        <v/>
      </c>
      <c r="AR114">
        <f>IF(OR(A114="", A114=0), "", HYPERLINK("https://keepa.com/#!product/1-"&amp;A114, "Keepa"))</f>
        <v/>
      </c>
      <c r="AS114">
        <f>IF(OR(A114="", A114=0), "", HYPERLINK("https://www.amazon.com/dp/"&amp;A114, "Amazon"))</f>
        <v/>
      </c>
      <c r="AT114">
        <f>IF(OR(A114="", A114=0), "", HYPERLINK("https://sellercentral.amazon.com/product-search/search?q="&amp;A114, "Check Gated"))</f>
        <v/>
      </c>
      <c r="AU114" s="12" t="n"/>
      <c r="AV114" s="12" t="n"/>
      <c r="AW114" s="12" t="n"/>
    </row>
    <row r="115">
      <c r="A115" s="12" t="n"/>
      <c r="B115" s="12">
        <f>IFERROR(VLOOKUP(A115, AZInsight_Data!$A:$AS, 3, FALSE), "")</f>
        <v/>
      </c>
      <c r="C115" s="13">
        <f>IFERROR(VLOOKUP(A115, AZInsight_Data!$A:$AS, 9, FALSE), 0)</f>
        <v/>
      </c>
      <c r="D115">
        <f>IFERROR(VLOOKUP(A115, AZInsight_Data!$A:$AS, 17, FALSE), 0)</f>
        <v/>
      </c>
      <c r="E115">
        <f>IFERROR(VLOOKUP(A115, AZInsight_Data!$A:$AS, 18, FALSE), 0)</f>
        <v/>
      </c>
      <c r="F115" s="14">
        <f>IFERROR(VLOOKUP(A115, AZInsight_Data!$A:$AS, 7, FALSE), 0)</f>
        <v/>
      </c>
      <c r="G115" s="15">
        <f>IFERROR(VLOOKUP(A115, AZInsight_Data!$A:$AS, 14, FALSE), 0)</f>
        <v/>
      </c>
      <c r="H115" s="14">
        <f>IFERROR(VLOOKUP(A115, AZInsight_Data!$A:$AS, 8, FALSE), 0)</f>
        <v/>
      </c>
      <c r="I115" s="16">
        <f>IFERROR(VLOOKUP(A115, KEEPA!$A:$AW, 47, FALSE), 0)</f>
        <v/>
      </c>
      <c r="J115">
        <f>IFERROR(VLOOKUP(A115, AZInsight_Data!$A:$AS, 25, FALSE), 0)</f>
        <v/>
      </c>
      <c r="K115" s="15">
        <f>IFERROR(VLOOKUP(A115, AZInsight_Data!$A:$AS, 16, FALSE), 0)</f>
        <v/>
      </c>
      <c r="L115" s="15">
        <f>IFERROR(K115-T115-J115, 0)</f>
        <v/>
      </c>
      <c r="M115" s="16">
        <f>IFERROR(IF(T115=0, 0, L115/T115), 0)</f>
        <v/>
      </c>
      <c r="N115" s="14">
        <f>IFERROR(C115*($V$2/30), 0)</f>
        <v/>
      </c>
      <c r="O115">
        <f>IFERROR(VLOOKUP(A115, AZInsight_Data!$A:$AS, 40, FALSE), 1)</f>
        <v/>
      </c>
      <c r="P115" s="13">
        <f>IF(O115&gt;0, O115, 1)</f>
        <v/>
      </c>
      <c r="Q115" s="13">
        <f>IFERROR(U115/P115, 0)</f>
        <v/>
      </c>
      <c r="R115">
        <f>IFERROR(VLOOKUP(A115, AZInsight_Data!$A:$AS, 36, FALSE), "")</f>
        <v/>
      </c>
      <c r="S115">
        <f>IFERROR(VLOOKUP(A115, AZInsight_Data!$A:$AS, 3, FALSE), "")</f>
        <v/>
      </c>
      <c r="T115" s="17">
        <f>IFERROR(VLOOKUP(A115, AZInsight_Data!$A:$AS, 13, FALSE), 0)</f>
        <v/>
      </c>
      <c r="U115" s="13">
        <f>AH115</f>
        <v/>
      </c>
      <c r="V115" s="15">
        <f>T115*U115</f>
        <v/>
      </c>
      <c r="W115" s="16" t="n"/>
      <c r="X115" s="12">
        <f>IFERROR(VLOOKUP(A115, AZInsight_Data!$A:$AS, 40, FALSE), 1)</f>
        <v/>
      </c>
      <c r="Y115" s="13">
        <f>IFERROR(VLOOKUP(A115, IP Qty!$D:$R, 5, FALSE), 0)</f>
        <v/>
      </c>
      <c r="Z115" s="14">
        <f>IFERROR(VLOOKUP(A115, IP Qty!$D:$R, 6, FALSE), 0)</f>
        <v/>
      </c>
      <c r="AA115">
        <f>IFERROR(VLOOKUP(A115, IP Qty!$D:$R, 7, FALSE), 0)</f>
        <v/>
      </c>
      <c r="AB115">
        <f>IFERROR(VLOOKUP(A115, IP Qty!$D:$R, 9, FALSE), 0)</f>
        <v/>
      </c>
      <c r="AC115">
        <f>IFERROR(VLOOKUP(A115, IP Qty!$D:$R, 8, FALSE), 0)</f>
        <v/>
      </c>
      <c r="AD115" s="14">
        <f>IFERROR(VLOOKUP(A115, KEEPA!$A:$AW, 34, FALSE), 0)</f>
        <v/>
      </c>
      <c r="AE115" s="15">
        <f>IF(P115&gt;1, ((((M115&gt;=$AD$2)*(L115&gt;=$AH$2)) + ((M115&lt;$AD$2)*(M115&gt;=$AE$2)*(L115&gt;=$AG$2)) + ((M115&lt;$AE$2)*(M115&gt;=$AC$2)*(L115&gt;=0)))*2 * IF($AI$2=0, 1, AI115&lt;=$AI$2) * IF($AK$2=0, 1, AK115&lt;=$AK$2) * AND(N115&gt;=$D$1, H115&lt;=$I$2, G115&gt;=$H$2)), ((((M115&gt;=$AD$2)*(L115&gt;=$AH$2)) + ((M115&lt;$AD$2)*(M115&gt;=$AE$2)*(L115&gt;=$AG$2)) + ((M115&lt;$AE$2)*(M115&gt;=$AC$2)*(L115&gt;=0))) * IF($AI$2=0, 1, AI115&lt;=$AI$2) * IF($AK$2=0, 1, AK115&lt;=$AK$2) * AND(N115&gt;=$D$1, H115&lt;=$I$2, G115&gt;=$H$2)))</f>
        <v/>
      </c>
      <c r="AF115">
        <f>IF(AE115&gt;0, 1, 0)</f>
        <v/>
      </c>
      <c r="AG115">
        <f>IFERROR(IF(ISNUMBER(W115), IF(AN115, N115*W115*$AN$2, N115*W115), NA()), NA())</f>
        <v/>
      </c>
      <c r="AH115" s="13">
        <f>IFERROR(MIN(AG115, $U$2), 0)</f>
        <v/>
      </c>
      <c r="AI115" s="14">
        <f>IFERROR(VLOOKUP(A115, KEEPA!$A:$AW, 26, FALSE), 0)</f>
        <v/>
      </c>
      <c r="AJ115" s="16">
        <f>IFERROR(IF(AI115=0, 0, (AI115-H115)/H115), 0)</f>
        <v/>
      </c>
      <c r="AK115" s="14">
        <f>IFERROR(VLOOKUP(A115, KEEPA!$A:$AW, 28, FALSE), 0)</f>
        <v/>
      </c>
      <c r="AL115" s="16">
        <f>IFERROR(IF(AK115=0, 0, (AK115-H115)/H115), 0)</f>
        <v/>
      </c>
      <c r="AM115" s="13">
        <f>IFERROR(VLOOKUP(A115, AZInsight_Data!$A:$AS, 34, FALSE), 0)</f>
        <v/>
      </c>
      <c r="AN115">
        <f>IFERROR(AND(VLOOKUP(A115, KEEPA!$A:$AW, 2, FALSE)&lt;=$AO$2, N115 &gt;= $AM$2), FALSE)</f>
        <v/>
      </c>
      <c r="AO115" s="16">
        <f>IFERROR(VLOOKUP(A115, KEEPA!$A:$AW, 24, FALSE), 0)</f>
        <v/>
      </c>
      <c r="AP115" s="16">
        <f>IFERROR(VLOOKUP(A115, KEEPA!$A:$AW, 48, FALSE), 0)</f>
        <v/>
      </c>
      <c r="AQ115">
        <f>IFERROR(VLOOKUP(A115, AZInsight_Data!$A:$AS, 5, FALSE), "SL")</f>
        <v/>
      </c>
      <c r="AR115">
        <f>IF(OR(A115="", A115=0), "", HYPERLINK("https://keepa.com/#!product/1-"&amp;A115, "Keepa"))</f>
        <v/>
      </c>
      <c r="AS115">
        <f>IF(OR(A115="", A115=0), "", HYPERLINK("https://www.amazon.com/dp/"&amp;A115, "Amazon"))</f>
        <v/>
      </c>
      <c r="AT115">
        <f>IF(OR(A115="", A115=0), "", HYPERLINK("https://sellercentral.amazon.com/product-search/search?q="&amp;A115, "Check Gated"))</f>
        <v/>
      </c>
      <c r="AU115" s="12" t="n"/>
      <c r="AV115" s="12" t="n"/>
      <c r="AW115" s="12" t="n"/>
    </row>
    <row r="116">
      <c r="A116" s="12" t="n"/>
      <c r="B116" s="12">
        <f>IFERROR(VLOOKUP(A116, AZInsight_Data!$A:$AS, 3, FALSE), "")</f>
        <v/>
      </c>
      <c r="C116" s="13">
        <f>IFERROR(VLOOKUP(A116, AZInsight_Data!$A:$AS, 9, FALSE), 0)</f>
        <v/>
      </c>
      <c r="D116">
        <f>IFERROR(VLOOKUP(A116, AZInsight_Data!$A:$AS, 17, FALSE), 0)</f>
        <v/>
      </c>
      <c r="E116">
        <f>IFERROR(VLOOKUP(A116, AZInsight_Data!$A:$AS, 18, FALSE), 0)</f>
        <v/>
      </c>
      <c r="F116" s="14">
        <f>IFERROR(VLOOKUP(A116, AZInsight_Data!$A:$AS, 7, FALSE), 0)</f>
        <v/>
      </c>
      <c r="G116" s="15">
        <f>IFERROR(VLOOKUP(A116, AZInsight_Data!$A:$AS, 14, FALSE), 0)</f>
        <v/>
      </c>
      <c r="H116" s="14">
        <f>IFERROR(VLOOKUP(A116, AZInsight_Data!$A:$AS, 8, FALSE), 0)</f>
        <v/>
      </c>
      <c r="I116" s="16">
        <f>IFERROR(VLOOKUP(A116, KEEPA!$A:$AW, 47, FALSE), 0)</f>
        <v/>
      </c>
      <c r="J116">
        <f>IFERROR(VLOOKUP(A116, AZInsight_Data!$A:$AS, 25, FALSE), 0)</f>
        <v/>
      </c>
      <c r="K116" s="15">
        <f>IFERROR(VLOOKUP(A116, AZInsight_Data!$A:$AS, 16, FALSE), 0)</f>
        <v/>
      </c>
      <c r="L116" s="15">
        <f>IFERROR(K116-T116-J116, 0)</f>
        <v/>
      </c>
      <c r="M116" s="16">
        <f>IFERROR(IF(T116=0, 0, L116/T116), 0)</f>
        <v/>
      </c>
      <c r="N116" s="14">
        <f>IFERROR(C116*($V$2/30), 0)</f>
        <v/>
      </c>
      <c r="O116">
        <f>IFERROR(VLOOKUP(A116, AZInsight_Data!$A:$AS, 40, FALSE), 1)</f>
        <v/>
      </c>
      <c r="P116" s="13">
        <f>IF(O116&gt;0, O116, 1)</f>
        <v/>
      </c>
      <c r="Q116" s="13">
        <f>IFERROR(U116/P116, 0)</f>
        <v/>
      </c>
      <c r="R116">
        <f>IFERROR(VLOOKUP(A116, AZInsight_Data!$A:$AS, 36, FALSE), "")</f>
        <v/>
      </c>
      <c r="S116">
        <f>IFERROR(VLOOKUP(A116, AZInsight_Data!$A:$AS, 3, FALSE), "")</f>
        <v/>
      </c>
      <c r="T116" s="17">
        <f>IFERROR(VLOOKUP(A116, AZInsight_Data!$A:$AS, 13, FALSE), 0)</f>
        <v/>
      </c>
      <c r="U116" s="13">
        <f>AH116</f>
        <v/>
      </c>
      <c r="V116" s="15">
        <f>T116*U116</f>
        <v/>
      </c>
      <c r="W116" s="16" t="n"/>
      <c r="X116" s="12">
        <f>IFERROR(VLOOKUP(A116, AZInsight_Data!$A:$AS, 40, FALSE), 1)</f>
        <v/>
      </c>
      <c r="Y116" s="13">
        <f>IFERROR(VLOOKUP(A116, IP Qty!$D:$R, 5, FALSE), 0)</f>
        <v/>
      </c>
      <c r="Z116" s="14">
        <f>IFERROR(VLOOKUP(A116, IP Qty!$D:$R, 6, FALSE), 0)</f>
        <v/>
      </c>
      <c r="AA116">
        <f>IFERROR(VLOOKUP(A116, IP Qty!$D:$R, 7, FALSE), 0)</f>
        <v/>
      </c>
      <c r="AB116">
        <f>IFERROR(VLOOKUP(A116, IP Qty!$D:$R, 9, FALSE), 0)</f>
        <v/>
      </c>
      <c r="AC116">
        <f>IFERROR(VLOOKUP(A116, IP Qty!$D:$R, 8, FALSE), 0)</f>
        <v/>
      </c>
      <c r="AD116" s="14">
        <f>IFERROR(VLOOKUP(A116, KEEPA!$A:$AW, 34, FALSE), 0)</f>
        <v/>
      </c>
      <c r="AE116" s="15">
        <f>IF(P116&gt;1, ((((M116&gt;=$AD$2)*(L116&gt;=$AH$2)) + ((M116&lt;$AD$2)*(M116&gt;=$AE$2)*(L116&gt;=$AG$2)) + ((M116&lt;$AE$2)*(M116&gt;=$AC$2)*(L116&gt;=0)))*2 * IF($AI$2=0, 1, AI116&lt;=$AI$2) * IF($AK$2=0, 1, AK116&lt;=$AK$2) * AND(N116&gt;=$D$1, H116&lt;=$I$2, G116&gt;=$H$2)), ((((M116&gt;=$AD$2)*(L116&gt;=$AH$2)) + ((M116&lt;$AD$2)*(M116&gt;=$AE$2)*(L116&gt;=$AG$2)) + ((M116&lt;$AE$2)*(M116&gt;=$AC$2)*(L116&gt;=0))) * IF($AI$2=0, 1, AI116&lt;=$AI$2) * IF($AK$2=0, 1, AK116&lt;=$AK$2) * AND(N116&gt;=$D$1, H116&lt;=$I$2, G116&gt;=$H$2)))</f>
        <v/>
      </c>
      <c r="AF116">
        <f>IF(AE116&gt;0, 1, 0)</f>
        <v/>
      </c>
      <c r="AG116">
        <f>IFERROR(IF(ISNUMBER(W116), IF(AN116, N116*W116*$AN$2, N116*W116), NA()), NA())</f>
        <v/>
      </c>
      <c r="AH116" s="13">
        <f>IFERROR(MIN(AG116, $U$2), 0)</f>
        <v/>
      </c>
      <c r="AI116" s="14">
        <f>IFERROR(VLOOKUP(A116, KEEPA!$A:$AW, 26, FALSE), 0)</f>
        <v/>
      </c>
      <c r="AJ116" s="16">
        <f>IFERROR(IF(AI116=0, 0, (AI116-H116)/H116), 0)</f>
        <v/>
      </c>
      <c r="AK116" s="14">
        <f>IFERROR(VLOOKUP(A116, KEEPA!$A:$AW, 28, FALSE), 0)</f>
        <v/>
      </c>
      <c r="AL116" s="16">
        <f>IFERROR(IF(AK116=0, 0, (AK116-H116)/H116), 0)</f>
        <v/>
      </c>
      <c r="AM116" s="13">
        <f>IFERROR(VLOOKUP(A116, AZInsight_Data!$A:$AS, 34, FALSE), 0)</f>
        <v/>
      </c>
      <c r="AN116">
        <f>IFERROR(AND(VLOOKUP(A116, KEEPA!$A:$AW, 2, FALSE)&lt;=$AO$2, N116 &gt;= $AM$2), FALSE)</f>
        <v/>
      </c>
      <c r="AO116" s="16">
        <f>IFERROR(VLOOKUP(A116, KEEPA!$A:$AW, 24, FALSE), 0)</f>
        <v/>
      </c>
      <c r="AP116" s="16">
        <f>IFERROR(VLOOKUP(A116, KEEPA!$A:$AW, 48, FALSE), 0)</f>
        <v/>
      </c>
      <c r="AQ116">
        <f>IFERROR(VLOOKUP(A116, AZInsight_Data!$A:$AS, 5, FALSE), "SL")</f>
        <v/>
      </c>
      <c r="AR116">
        <f>IF(OR(A116="", A116=0), "", HYPERLINK("https://keepa.com/#!product/1-"&amp;A116, "Keepa"))</f>
        <v/>
      </c>
      <c r="AS116">
        <f>IF(OR(A116="", A116=0), "", HYPERLINK("https://www.amazon.com/dp/"&amp;A116, "Amazon"))</f>
        <v/>
      </c>
      <c r="AT116">
        <f>IF(OR(A116="", A116=0), "", HYPERLINK("https://sellercentral.amazon.com/product-search/search?q="&amp;A116, "Check Gated"))</f>
        <v/>
      </c>
      <c r="AU116" s="12" t="n"/>
      <c r="AV116" s="12" t="n"/>
      <c r="AW116" s="12" t="n"/>
    </row>
    <row r="117">
      <c r="A117" s="12" t="n"/>
      <c r="B117" s="12">
        <f>IFERROR(VLOOKUP(A117, AZInsight_Data!$A:$AS, 3, FALSE), "")</f>
        <v/>
      </c>
      <c r="C117" s="13">
        <f>IFERROR(VLOOKUP(A117, AZInsight_Data!$A:$AS, 9, FALSE), 0)</f>
        <v/>
      </c>
      <c r="D117">
        <f>IFERROR(VLOOKUP(A117, AZInsight_Data!$A:$AS, 17, FALSE), 0)</f>
        <v/>
      </c>
      <c r="E117">
        <f>IFERROR(VLOOKUP(A117, AZInsight_Data!$A:$AS, 18, FALSE), 0)</f>
        <v/>
      </c>
      <c r="F117" s="14">
        <f>IFERROR(VLOOKUP(A117, AZInsight_Data!$A:$AS, 7, FALSE), 0)</f>
        <v/>
      </c>
      <c r="G117" s="15">
        <f>IFERROR(VLOOKUP(A117, AZInsight_Data!$A:$AS, 14, FALSE), 0)</f>
        <v/>
      </c>
      <c r="H117" s="14">
        <f>IFERROR(VLOOKUP(A117, AZInsight_Data!$A:$AS, 8, FALSE), 0)</f>
        <v/>
      </c>
      <c r="I117" s="16">
        <f>IFERROR(VLOOKUP(A117, KEEPA!$A:$AW, 47, FALSE), 0)</f>
        <v/>
      </c>
      <c r="J117">
        <f>IFERROR(VLOOKUP(A117, AZInsight_Data!$A:$AS, 25, FALSE), 0)</f>
        <v/>
      </c>
      <c r="K117" s="15">
        <f>IFERROR(VLOOKUP(A117, AZInsight_Data!$A:$AS, 16, FALSE), 0)</f>
        <v/>
      </c>
      <c r="L117" s="15">
        <f>IFERROR(K117-T117-J117, 0)</f>
        <v/>
      </c>
      <c r="M117" s="16">
        <f>IFERROR(IF(T117=0, 0, L117/T117), 0)</f>
        <v/>
      </c>
      <c r="N117" s="14">
        <f>IFERROR(C117*($V$2/30), 0)</f>
        <v/>
      </c>
      <c r="O117">
        <f>IFERROR(VLOOKUP(A117, AZInsight_Data!$A:$AS, 40, FALSE), 1)</f>
        <v/>
      </c>
      <c r="P117" s="13">
        <f>IF(O117&gt;0, O117, 1)</f>
        <v/>
      </c>
      <c r="Q117" s="13">
        <f>IFERROR(U117/P117, 0)</f>
        <v/>
      </c>
      <c r="R117">
        <f>IFERROR(VLOOKUP(A117, AZInsight_Data!$A:$AS, 36, FALSE), "")</f>
        <v/>
      </c>
      <c r="S117">
        <f>IFERROR(VLOOKUP(A117, AZInsight_Data!$A:$AS, 3, FALSE), "")</f>
        <v/>
      </c>
      <c r="T117" s="17">
        <f>IFERROR(VLOOKUP(A117, AZInsight_Data!$A:$AS, 13, FALSE), 0)</f>
        <v/>
      </c>
      <c r="U117" s="13">
        <f>AH117</f>
        <v/>
      </c>
      <c r="V117" s="15">
        <f>T117*U117</f>
        <v/>
      </c>
      <c r="W117" s="16" t="n"/>
      <c r="X117" s="12">
        <f>IFERROR(VLOOKUP(A117, AZInsight_Data!$A:$AS, 40, FALSE), 1)</f>
        <v/>
      </c>
      <c r="Y117" s="13">
        <f>IFERROR(VLOOKUP(A117, IP Qty!$D:$R, 5, FALSE), 0)</f>
        <v/>
      </c>
      <c r="Z117" s="14">
        <f>IFERROR(VLOOKUP(A117, IP Qty!$D:$R, 6, FALSE), 0)</f>
        <v/>
      </c>
      <c r="AA117">
        <f>IFERROR(VLOOKUP(A117, IP Qty!$D:$R, 7, FALSE), 0)</f>
        <v/>
      </c>
      <c r="AB117">
        <f>IFERROR(VLOOKUP(A117, IP Qty!$D:$R, 9, FALSE), 0)</f>
        <v/>
      </c>
      <c r="AC117">
        <f>IFERROR(VLOOKUP(A117, IP Qty!$D:$R, 8, FALSE), 0)</f>
        <v/>
      </c>
      <c r="AD117" s="14">
        <f>IFERROR(VLOOKUP(A117, KEEPA!$A:$AW, 34, FALSE), 0)</f>
        <v/>
      </c>
      <c r="AE117" s="15">
        <f>IF(P117&gt;1, ((((M117&gt;=$AD$2)*(L117&gt;=$AH$2)) + ((M117&lt;$AD$2)*(M117&gt;=$AE$2)*(L117&gt;=$AG$2)) + ((M117&lt;$AE$2)*(M117&gt;=$AC$2)*(L117&gt;=0)))*2 * IF($AI$2=0, 1, AI117&lt;=$AI$2) * IF($AK$2=0, 1, AK117&lt;=$AK$2) * AND(N117&gt;=$D$1, H117&lt;=$I$2, G117&gt;=$H$2)), ((((M117&gt;=$AD$2)*(L117&gt;=$AH$2)) + ((M117&lt;$AD$2)*(M117&gt;=$AE$2)*(L117&gt;=$AG$2)) + ((M117&lt;$AE$2)*(M117&gt;=$AC$2)*(L117&gt;=0))) * IF($AI$2=0, 1, AI117&lt;=$AI$2) * IF($AK$2=0, 1, AK117&lt;=$AK$2) * AND(N117&gt;=$D$1, H117&lt;=$I$2, G117&gt;=$H$2)))</f>
        <v/>
      </c>
      <c r="AF117">
        <f>IF(AE117&gt;0, 1, 0)</f>
        <v/>
      </c>
      <c r="AG117">
        <f>IFERROR(IF(ISNUMBER(W117), IF(AN117, N117*W117*$AN$2, N117*W117), NA()), NA())</f>
        <v/>
      </c>
      <c r="AH117" s="13">
        <f>IFERROR(MIN(AG117, $U$2), 0)</f>
        <v/>
      </c>
      <c r="AI117" s="14">
        <f>IFERROR(VLOOKUP(A117, KEEPA!$A:$AW, 26, FALSE), 0)</f>
        <v/>
      </c>
      <c r="AJ117" s="16">
        <f>IFERROR(IF(AI117=0, 0, (AI117-H117)/H117), 0)</f>
        <v/>
      </c>
      <c r="AK117" s="14">
        <f>IFERROR(VLOOKUP(A117, KEEPA!$A:$AW, 28, FALSE), 0)</f>
        <v/>
      </c>
      <c r="AL117" s="16">
        <f>IFERROR(IF(AK117=0, 0, (AK117-H117)/H117), 0)</f>
        <v/>
      </c>
      <c r="AM117" s="13">
        <f>IFERROR(VLOOKUP(A117, AZInsight_Data!$A:$AS, 34, FALSE), 0)</f>
        <v/>
      </c>
      <c r="AN117">
        <f>IFERROR(AND(VLOOKUP(A117, KEEPA!$A:$AW, 2, FALSE)&lt;=$AO$2, N117 &gt;= $AM$2), FALSE)</f>
        <v/>
      </c>
      <c r="AO117" s="16">
        <f>IFERROR(VLOOKUP(A117, KEEPA!$A:$AW, 24, FALSE), 0)</f>
        <v/>
      </c>
      <c r="AP117" s="16">
        <f>IFERROR(VLOOKUP(A117, KEEPA!$A:$AW, 48, FALSE), 0)</f>
        <v/>
      </c>
      <c r="AQ117">
        <f>IFERROR(VLOOKUP(A117, AZInsight_Data!$A:$AS, 5, FALSE), "SL")</f>
        <v/>
      </c>
      <c r="AR117">
        <f>IF(OR(A117="", A117=0), "", HYPERLINK("https://keepa.com/#!product/1-"&amp;A117, "Keepa"))</f>
        <v/>
      </c>
      <c r="AS117">
        <f>IF(OR(A117="", A117=0), "", HYPERLINK("https://www.amazon.com/dp/"&amp;A117, "Amazon"))</f>
        <v/>
      </c>
      <c r="AT117">
        <f>IF(OR(A117="", A117=0), "", HYPERLINK("https://sellercentral.amazon.com/product-search/search?q="&amp;A117, "Check Gated"))</f>
        <v/>
      </c>
      <c r="AU117" s="12" t="n"/>
      <c r="AV117" s="12" t="n"/>
      <c r="AW117" s="12" t="n"/>
    </row>
    <row r="118">
      <c r="A118" s="12" t="n"/>
      <c r="B118" s="12">
        <f>IFERROR(VLOOKUP(A118, AZInsight_Data!$A:$AS, 3, FALSE), "")</f>
        <v/>
      </c>
      <c r="C118" s="13">
        <f>IFERROR(VLOOKUP(A118, AZInsight_Data!$A:$AS, 9, FALSE), 0)</f>
        <v/>
      </c>
      <c r="D118">
        <f>IFERROR(VLOOKUP(A118, AZInsight_Data!$A:$AS, 17, FALSE), 0)</f>
        <v/>
      </c>
      <c r="E118">
        <f>IFERROR(VLOOKUP(A118, AZInsight_Data!$A:$AS, 18, FALSE), 0)</f>
        <v/>
      </c>
      <c r="F118" s="14">
        <f>IFERROR(VLOOKUP(A118, AZInsight_Data!$A:$AS, 7, FALSE), 0)</f>
        <v/>
      </c>
      <c r="G118" s="15">
        <f>IFERROR(VLOOKUP(A118, AZInsight_Data!$A:$AS, 14, FALSE), 0)</f>
        <v/>
      </c>
      <c r="H118" s="14">
        <f>IFERROR(VLOOKUP(A118, AZInsight_Data!$A:$AS, 8, FALSE), 0)</f>
        <v/>
      </c>
      <c r="I118" s="16">
        <f>IFERROR(VLOOKUP(A118, KEEPA!$A:$AW, 47, FALSE), 0)</f>
        <v/>
      </c>
      <c r="J118">
        <f>IFERROR(VLOOKUP(A118, AZInsight_Data!$A:$AS, 25, FALSE), 0)</f>
        <v/>
      </c>
      <c r="K118" s="15">
        <f>IFERROR(VLOOKUP(A118, AZInsight_Data!$A:$AS, 16, FALSE), 0)</f>
        <v/>
      </c>
      <c r="L118" s="15">
        <f>IFERROR(K118-T118-J118, 0)</f>
        <v/>
      </c>
      <c r="M118" s="16">
        <f>IFERROR(IF(T118=0, 0, L118/T118), 0)</f>
        <v/>
      </c>
      <c r="N118" s="14">
        <f>IFERROR(C118*($V$2/30), 0)</f>
        <v/>
      </c>
      <c r="O118">
        <f>IFERROR(VLOOKUP(A118, AZInsight_Data!$A:$AS, 40, FALSE), 1)</f>
        <v/>
      </c>
      <c r="P118" s="13">
        <f>IF(O118&gt;0, O118, 1)</f>
        <v/>
      </c>
      <c r="Q118" s="13">
        <f>IFERROR(U118/P118, 0)</f>
        <v/>
      </c>
      <c r="R118">
        <f>IFERROR(VLOOKUP(A118, AZInsight_Data!$A:$AS, 36, FALSE), "")</f>
        <v/>
      </c>
      <c r="S118">
        <f>IFERROR(VLOOKUP(A118, AZInsight_Data!$A:$AS, 3, FALSE), "")</f>
        <v/>
      </c>
      <c r="T118" s="17">
        <f>IFERROR(VLOOKUP(A118, AZInsight_Data!$A:$AS, 13, FALSE), 0)</f>
        <v/>
      </c>
      <c r="U118" s="13">
        <f>AH118</f>
        <v/>
      </c>
      <c r="V118" s="15">
        <f>T118*U118</f>
        <v/>
      </c>
      <c r="W118" s="16" t="n"/>
      <c r="X118" s="12">
        <f>IFERROR(VLOOKUP(A118, AZInsight_Data!$A:$AS, 40, FALSE), 1)</f>
        <v/>
      </c>
      <c r="Y118" s="13">
        <f>IFERROR(VLOOKUP(A118, IP Qty!$D:$R, 5, FALSE), 0)</f>
        <v/>
      </c>
      <c r="Z118" s="14">
        <f>IFERROR(VLOOKUP(A118, IP Qty!$D:$R, 6, FALSE), 0)</f>
        <v/>
      </c>
      <c r="AA118">
        <f>IFERROR(VLOOKUP(A118, IP Qty!$D:$R, 7, FALSE), 0)</f>
        <v/>
      </c>
      <c r="AB118">
        <f>IFERROR(VLOOKUP(A118, IP Qty!$D:$R, 9, FALSE), 0)</f>
        <v/>
      </c>
      <c r="AC118">
        <f>IFERROR(VLOOKUP(A118, IP Qty!$D:$R, 8, FALSE), 0)</f>
        <v/>
      </c>
      <c r="AD118" s="14">
        <f>IFERROR(VLOOKUP(A118, KEEPA!$A:$AW, 34, FALSE), 0)</f>
        <v/>
      </c>
      <c r="AE118" s="15">
        <f>IF(P118&gt;1, ((((M118&gt;=$AD$2)*(L118&gt;=$AH$2)) + ((M118&lt;$AD$2)*(M118&gt;=$AE$2)*(L118&gt;=$AG$2)) + ((M118&lt;$AE$2)*(M118&gt;=$AC$2)*(L118&gt;=0)))*2 * IF($AI$2=0, 1, AI118&lt;=$AI$2) * IF($AK$2=0, 1, AK118&lt;=$AK$2) * AND(N118&gt;=$D$1, H118&lt;=$I$2, G118&gt;=$H$2)), ((((M118&gt;=$AD$2)*(L118&gt;=$AH$2)) + ((M118&lt;$AD$2)*(M118&gt;=$AE$2)*(L118&gt;=$AG$2)) + ((M118&lt;$AE$2)*(M118&gt;=$AC$2)*(L118&gt;=0))) * IF($AI$2=0, 1, AI118&lt;=$AI$2) * IF($AK$2=0, 1, AK118&lt;=$AK$2) * AND(N118&gt;=$D$1, H118&lt;=$I$2, G118&gt;=$H$2)))</f>
        <v/>
      </c>
      <c r="AF118">
        <f>IF(AE118&gt;0, 1, 0)</f>
        <v/>
      </c>
      <c r="AG118">
        <f>IFERROR(IF(ISNUMBER(W118), IF(AN118, N118*W118*$AN$2, N118*W118), NA()), NA())</f>
        <v/>
      </c>
      <c r="AH118" s="13">
        <f>IFERROR(MIN(AG118, $U$2), 0)</f>
        <v/>
      </c>
      <c r="AI118" s="14">
        <f>IFERROR(VLOOKUP(A118, KEEPA!$A:$AW, 26, FALSE), 0)</f>
        <v/>
      </c>
      <c r="AJ118" s="16">
        <f>IFERROR(IF(AI118=0, 0, (AI118-H118)/H118), 0)</f>
        <v/>
      </c>
      <c r="AK118" s="14">
        <f>IFERROR(VLOOKUP(A118, KEEPA!$A:$AW, 28, FALSE), 0)</f>
        <v/>
      </c>
      <c r="AL118" s="16">
        <f>IFERROR(IF(AK118=0, 0, (AK118-H118)/H118), 0)</f>
        <v/>
      </c>
      <c r="AM118" s="13">
        <f>IFERROR(VLOOKUP(A118, AZInsight_Data!$A:$AS, 34, FALSE), 0)</f>
        <v/>
      </c>
      <c r="AN118">
        <f>IFERROR(AND(VLOOKUP(A118, KEEPA!$A:$AW, 2, FALSE)&lt;=$AO$2, N118 &gt;= $AM$2), FALSE)</f>
        <v/>
      </c>
      <c r="AO118" s="16">
        <f>IFERROR(VLOOKUP(A118, KEEPA!$A:$AW, 24, FALSE), 0)</f>
        <v/>
      </c>
      <c r="AP118" s="16">
        <f>IFERROR(VLOOKUP(A118, KEEPA!$A:$AW, 48, FALSE), 0)</f>
        <v/>
      </c>
      <c r="AQ118">
        <f>IFERROR(VLOOKUP(A118, AZInsight_Data!$A:$AS, 5, FALSE), "SL")</f>
        <v/>
      </c>
      <c r="AR118">
        <f>IF(OR(A118="", A118=0), "", HYPERLINK("https://keepa.com/#!product/1-"&amp;A118, "Keepa"))</f>
        <v/>
      </c>
      <c r="AS118">
        <f>IF(OR(A118="", A118=0), "", HYPERLINK("https://www.amazon.com/dp/"&amp;A118, "Amazon"))</f>
        <v/>
      </c>
      <c r="AT118">
        <f>IF(OR(A118="", A118=0), "", HYPERLINK("https://sellercentral.amazon.com/product-search/search?q="&amp;A118, "Check Gated"))</f>
        <v/>
      </c>
      <c r="AU118" s="12" t="n"/>
      <c r="AV118" s="12" t="n"/>
      <c r="AW118" s="12" t="n"/>
    </row>
    <row r="119">
      <c r="A119" s="12" t="n"/>
      <c r="B119" s="12">
        <f>IFERROR(VLOOKUP(A119, AZInsight_Data!$A:$AS, 3, FALSE), "")</f>
        <v/>
      </c>
      <c r="C119" s="13">
        <f>IFERROR(VLOOKUP(A119, AZInsight_Data!$A:$AS, 9, FALSE), 0)</f>
        <v/>
      </c>
      <c r="D119">
        <f>IFERROR(VLOOKUP(A119, AZInsight_Data!$A:$AS, 17, FALSE), 0)</f>
        <v/>
      </c>
      <c r="E119">
        <f>IFERROR(VLOOKUP(A119, AZInsight_Data!$A:$AS, 18, FALSE), 0)</f>
        <v/>
      </c>
      <c r="F119" s="14">
        <f>IFERROR(VLOOKUP(A119, AZInsight_Data!$A:$AS, 7, FALSE), 0)</f>
        <v/>
      </c>
      <c r="G119" s="15">
        <f>IFERROR(VLOOKUP(A119, AZInsight_Data!$A:$AS, 14, FALSE), 0)</f>
        <v/>
      </c>
      <c r="H119" s="14">
        <f>IFERROR(VLOOKUP(A119, AZInsight_Data!$A:$AS, 8, FALSE), 0)</f>
        <v/>
      </c>
      <c r="I119" s="16">
        <f>IFERROR(VLOOKUP(A119, KEEPA!$A:$AW, 47, FALSE), 0)</f>
        <v/>
      </c>
      <c r="J119">
        <f>IFERROR(VLOOKUP(A119, AZInsight_Data!$A:$AS, 25, FALSE), 0)</f>
        <v/>
      </c>
      <c r="K119" s="15">
        <f>IFERROR(VLOOKUP(A119, AZInsight_Data!$A:$AS, 16, FALSE), 0)</f>
        <v/>
      </c>
      <c r="L119" s="15">
        <f>IFERROR(K119-T119-J119, 0)</f>
        <v/>
      </c>
      <c r="M119" s="16">
        <f>IFERROR(IF(T119=0, 0, L119/T119), 0)</f>
        <v/>
      </c>
      <c r="N119" s="14">
        <f>IFERROR(C119*($V$2/30), 0)</f>
        <v/>
      </c>
      <c r="O119">
        <f>IFERROR(VLOOKUP(A119, AZInsight_Data!$A:$AS, 40, FALSE), 1)</f>
        <v/>
      </c>
      <c r="P119" s="13">
        <f>IF(O119&gt;0, O119, 1)</f>
        <v/>
      </c>
      <c r="Q119" s="13">
        <f>IFERROR(U119/P119, 0)</f>
        <v/>
      </c>
      <c r="R119">
        <f>IFERROR(VLOOKUP(A119, AZInsight_Data!$A:$AS, 36, FALSE), "")</f>
        <v/>
      </c>
      <c r="S119">
        <f>IFERROR(VLOOKUP(A119, AZInsight_Data!$A:$AS, 3, FALSE), "")</f>
        <v/>
      </c>
      <c r="T119" s="17">
        <f>IFERROR(VLOOKUP(A119, AZInsight_Data!$A:$AS, 13, FALSE), 0)</f>
        <v/>
      </c>
      <c r="U119" s="13">
        <f>AH119</f>
        <v/>
      </c>
      <c r="V119" s="15">
        <f>T119*U119</f>
        <v/>
      </c>
      <c r="W119" s="16" t="n"/>
      <c r="X119" s="12">
        <f>IFERROR(VLOOKUP(A119, AZInsight_Data!$A:$AS, 40, FALSE), 1)</f>
        <v/>
      </c>
      <c r="Y119" s="13">
        <f>IFERROR(VLOOKUP(A119, IP Qty!$D:$R, 5, FALSE), 0)</f>
        <v/>
      </c>
      <c r="Z119" s="14">
        <f>IFERROR(VLOOKUP(A119, IP Qty!$D:$R, 6, FALSE), 0)</f>
        <v/>
      </c>
      <c r="AA119">
        <f>IFERROR(VLOOKUP(A119, IP Qty!$D:$R, 7, FALSE), 0)</f>
        <v/>
      </c>
      <c r="AB119">
        <f>IFERROR(VLOOKUP(A119, IP Qty!$D:$R, 9, FALSE), 0)</f>
        <v/>
      </c>
      <c r="AC119">
        <f>IFERROR(VLOOKUP(A119, IP Qty!$D:$R, 8, FALSE), 0)</f>
        <v/>
      </c>
      <c r="AD119" s="14">
        <f>IFERROR(VLOOKUP(A119, KEEPA!$A:$AW, 34, FALSE), 0)</f>
        <v/>
      </c>
      <c r="AE119" s="15">
        <f>IF(P119&gt;1, ((((M119&gt;=$AD$2)*(L119&gt;=$AH$2)) + ((M119&lt;$AD$2)*(M119&gt;=$AE$2)*(L119&gt;=$AG$2)) + ((M119&lt;$AE$2)*(M119&gt;=$AC$2)*(L119&gt;=0)))*2 * IF($AI$2=0, 1, AI119&lt;=$AI$2) * IF($AK$2=0, 1, AK119&lt;=$AK$2) * AND(N119&gt;=$D$1, H119&lt;=$I$2, G119&gt;=$H$2)), ((((M119&gt;=$AD$2)*(L119&gt;=$AH$2)) + ((M119&lt;$AD$2)*(M119&gt;=$AE$2)*(L119&gt;=$AG$2)) + ((M119&lt;$AE$2)*(M119&gt;=$AC$2)*(L119&gt;=0))) * IF($AI$2=0, 1, AI119&lt;=$AI$2) * IF($AK$2=0, 1, AK119&lt;=$AK$2) * AND(N119&gt;=$D$1, H119&lt;=$I$2, G119&gt;=$H$2)))</f>
        <v/>
      </c>
      <c r="AF119">
        <f>IF(AE119&gt;0, 1, 0)</f>
        <v/>
      </c>
      <c r="AG119">
        <f>IFERROR(IF(ISNUMBER(W119), IF(AN119, N119*W119*$AN$2, N119*W119), NA()), NA())</f>
        <v/>
      </c>
      <c r="AH119" s="13">
        <f>IFERROR(MIN(AG119, $U$2), 0)</f>
        <v/>
      </c>
      <c r="AI119" s="14">
        <f>IFERROR(VLOOKUP(A119, KEEPA!$A:$AW, 26, FALSE), 0)</f>
        <v/>
      </c>
      <c r="AJ119" s="16">
        <f>IFERROR(IF(AI119=0, 0, (AI119-H119)/H119), 0)</f>
        <v/>
      </c>
      <c r="AK119" s="14">
        <f>IFERROR(VLOOKUP(A119, KEEPA!$A:$AW, 28, FALSE), 0)</f>
        <v/>
      </c>
      <c r="AL119" s="16">
        <f>IFERROR(IF(AK119=0, 0, (AK119-H119)/H119), 0)</f>
        <v/>
      </c>
      <c r="AM119" s="13">
        <f>IFERROR(VLOOKUP(A119, AZInsight_Data!$A:$AS, 34, FALSE), 0)</f>
        <v/>
      </c>
      <c r="AN119">
        <f>IFERROR(AND(VLOOKUP(A119, KEEPA!$A:$AW, 2, FALSE)&lt;=$AO$2, N119 &gt;= $AM$2), FALSE)</f>
        <v/>
      </c>
      <c r="AO119" s="16">
        <f>IFERROR(VLOOKUP(A119, KEEPA!$A:$AW, 24, FALSE), 0)</f>
        <v/>
      </c>
      <c r="AP119" s="16">
        <f>IFERROR(VLOOKUP(A119, KEEPA!$A:$AW, 48, FALSE), 0)</f>
        <v/>
      </c>
      <c r="AQ119">
        <f>IFERROR(VLOOKUP(A119, AZInsight_Data!$A:$AS, 5, FALSE), "SL")</f>
        <v/>
      </c>
      <c r="AR119">
        <f>IF(OR(A119="", A119=0), "", HYPERLINK("https://keepa.com/#!product/1-"&amp;A119, "Keepa"))</f>
        <v/>
      </c>
      <c r="AS119">
        <f>IF(OR(A119="", A119=0), "", HYPERLINK("https://www.amazon.com/dp/"&amp;A119, "Amazon"))</f>
        <v/>
      </c>
      <c r="AT119">
        <f>IF(OR(A119="", A119=0), "", HYPERLINK("https://sellercentral.amazon.com/product-search/search?q="&amp;A119, "Check Gated"))</f>
        <v/>
      </c>
      <c r="AU119" s="12" t="n"/>
      <c r="AV119" s="12" t="n"/>
      <c r="AW119" s="12" t="n"/>
    </row>
    <row r="120">
      <c r="A120" s="12" t="n"/>
      <c r="B120" s="12">
        <f>IFERROR(VLOOKUP(A120, AZInsight_Data!$A:$AS, 3, FALSE), "")</f>
        <v/>
      </c>
      <c r="C120" s="13">
        <f>IFERROR(VLOOKUP(A120, AZInsight_Data!$A:$AS, 9, FALSE), 0)</f>
        <v/>
      </c>
      <c r="D120">
        <f>IFERROR(VLOOKUP(A120, AZInsight_Data!$A:$AS, 17, FALSE), 0)</f>
        <v/>
      </c>
      <c r="E120">
        <f>IFERROR(VLOOKUP(A120, AZInsight_Data!$A:$AS, 18, FALSE), 0)</f>
        <v/>
      </c>
      <c r="F120" s="14">
        <f>IFERROR(VLOOKUP(A120, AZInsight_Data!$A:$AS, 7, FALSE), 0)</f>
        <v/>
      </c>
      <c r="G120" s="15">
        <f>IFERROR(VLOOKUP(A120, AZInsight_Data!$A:$AS, 14, FALSE), 0)</f>
        <v/>
      </c>
      <c r="H120" s="14">
        <f>IFERROR(VLOOKUP(A120, AZInsight_Data!$A:$AS, 8, FALSE), 0)</f>
        <v/>
      </c>
      <c r="I120" s="16">
        <f>IFERROR(VLOOKUP(A120, KEEPA!$A:$AW, 47, FALSE), 0)</f>
        <v/>
      </c>
      <c r="J120">
        <f>IFERROR(VLOOKUP(A120, AZInsight_Data!$A:$AS, 25, FALSE), 0)</f>
        <v/>
      </c>
      <c r="K120" s="15">
        <f>IFERROR(VLOOKUP(A120, AZInsight_Data!$A:$AS, 16, FALSE), 0)</f>
        <v/>
      </c>
      <c r="L120" s="15">
        <f>IFERROR(K120-T120-J120, 0)</f>
        <v/>
      </c>
      <c r="M120" s="16">
        <f>IFERROR(IF(T120=0, 0, L120/T120), 0)</f>
        <v/>
      </c>
      <c r="N120" s="14">
        <f>IFERROR(C120*($V$2/30), 0)</f>
        <v/>
      </c>
      <c r="O120">
        <f>IFERROR(VLOOKUP(A120, AZInsight_Data!$A:$AS, 40, FALSE), 1)</f>
        <v/>
      </c>
      <c r="P120" s="13">
        <f>IF(O120&gt;0, O120, 1)</f>
        <v/>
      </c>
      <c r="Q120" s="13">
        <f>IFERROR(U120/P120, 0)</f>
        <v/>
      </c>
      <c r="R120">
        <f>IFERROR(VLOOKUP(A120, AZInsight_Data!$A:$AS, 36, FALSE), "")</f>
        <v/>
      </c>
      <c r="S120">
        <f>IFERROR(VLOOKUP(A120, AZInsight_Data!$A:$AS, 3, FALSE), "")</f>
        <v/>
      </c>
      <c r="T120" s="17">
        <f>IFERROR(VLOOKUP(A120, AZInsight_Data!$A:$AS, 13, FALSE), 0)</f>
        <v/>
      </c>
      <c r="U120" s="13">
        <f>AH120</f>
        <v/>
      </c>
      <c r="V120" s="15">
        <f>T120*U120</f>
        <v/>
      </c>
      <c r="W120" s="16" t="n"/>
      <c r="X120" s="12">
        <f>IFERROR(VLOOKUP(A120, AZInsight_Data!$A:$AS, 40, FALSE), 1)</f>
        <v/>
      </c>
      <c r="Y120" s="13">
        <f>IFERROR(VLOOKUP(A120, IP Qty!$D:$R, 5, FALSE), 0)</f>
        <v/>
      </c>
      <c r="Z120" s="14">
        <f>IFERROR(VLOOKUP(A120, IP Qty!$D:$R, 6, FALSE), 0)</f>
        <v/>
      </c>
      <c r="AA120">
        <f>IFERROR(VLOOKUP(A120, IP Qty!$D:$R, 7, FALSE), 0)</f>
        <v/>
      </c>
      <c r="AB120">
        <f>IFERROR(VLOOKUP(A120, IP Qty!$D:$R, 9, FALSE), 0)</f>
        <v/>
      </c>
      <c r="AC120">
        <f>IFERROR(VLOOKUP(A120, IP Qty!$D:$R, 8, FALSE), 0)</f>
        <v/>
      </c>
      <c r="AD120" s="14">
        <f>IFERROR(VLOOKUP(A120, KEEPA!$A:$AW, 34, FALSE), 0)</f>
        <v/>
      </c>
      <c r="AE120" s="15">
        <f>IF(P120&gt;1, ((((M120&gt;=$AD$2)*(L120&gt;=$AH$2)) + ((M120&lt;$AD$2)*(M120&gt;=$AE$2)*(L120&gt;=$AG$2)) + ((M120&lt;$AE$2)*(M120&gt;=$AC$2)*(L120&gt;=0)))*2 * IF($AI$2=0, 1, AI120&lt;=$AI$2) * IF($AK$2=0, 1, AK120&lt;=$AK$2) * AND(N120&gt;=$D$1, H120&lt;=$I$2, G120&gt;=$H$2)), ((((M120&gt;=$AD$2)*(L120&gt;=$AH$2)) + ((M120&lt;$AD$2)*(M120&gt;=$AE$2)*(L120&gt;=$AG$2)) + ((M120&lt;$AE$2)*(M120&gt;=$AC$2)*(L120&gt;=0))) * IF($AI$2=0, 1, AI120&lt;=$AI$2) * IF($AK$2=0, 1, AK120&lt;=$AK$2) * AND(N120&gt;=$D$1, H120&lt;=$I$2, G120&gt;=$H$2)))</f>
        <v/>
      </c>
      <c r="AF120">
        <f>IF(AE120&gt;0, 1, 0)</f>
        <v/>
      </c>
      <c r="AG120">
        <f>IFERROR(IF(ISNUMBER(W120), IF(AN120, N120*W120*$AN$2, N120*W120), NA()), NA())</f>
        <v/>
      </c>
      <c r="AH120" s="13">
        <f>IFERROR(MIN(AG120, $U$2), 0)</f>
        <v/>
      </c>
      <c r="AI120" s="14">
        <f>IFERROR(VLOOKUP(A120, KEEPA!$A:$AW, 26, FALSE), 0)</f>
        <v/>
      </c>
      <c r="AJ120" s="16">
        <f>IFERROR(IF(AI120=0, 0, (AI120-H120)/H120), 0)</f>
        <v/>
      </c>
      <c r="AK120" s="14">
        <f>IFERROR(VLOOKUP(A120, KEEPA!$A:$AW, 28, FALSE), 0)</f>
        <v/>
      </c>
      <c r="AL120" s="16">
        <f>IFERROR(IF(AK120=0, 0, (AK120-H120)/H120), 0)</f>
        <v/>
      </c>
      <c r="AM120" s="13">
        <f>IFERROR(VLOOKUP(A120, AZInsight_Data!$A:$AS, 34, FALSE), 0)</f>
        <v/>
      </c>
      <c r="AN120">
        <f>IFERROR(AND(VLOOKUP(A120, KEEPA!$A:$AW, 2, FALSE)&lt;=$AO$2, N120 &gt;= $AM$2), FALSE)</f>
        <v/>
      </c>
      <c r="AO120" s="16">
        <f>IFERROR(VLOOKUP(A120, KEEPA!$A:$AW, 24, FALSE), 0)</f>
        <v/>
      </c>
      <c r="AP120" s="16">
        <f>IFERROR(VLOOKUP(A120, KEEPA!$A:$AW, 48, FALSE), 0)</f>
        <v/>
      </c>
      <c r="AQ120">
        <f>IFERROR(VLOOKUP(A120, AZInsight_Data!$A:$AS, 5, FALSE), "SL")</f>
        <v/>
      </c>
      <c r="AR120">
        <f>IF(OR(A120="", A120=0), "", HYPERLINK("https://keepa.com/#!product/1-"&amp;A120, "Keepa"))</f>
        <v/>
      </c>
      <c r="AS120">
        <f>IF(OR(A120="", A120=0), "", HYPERLINK("https://www.amazon.com/dp/"&amp;A120, "Amazon"))</f>
        <v/>
      </c>
      <c r="AT120">
        <f>IF(OR(A120="", A120=0), "", HYPERLINK("https://sellercentral.amazon.com/product-search/search?q="&amp;A120, "Check Gated"))</f>
        <v/>
      </c>
      <c r="AU120" s="12" t="n"/>
      <c r="AV120" s="12" t="n"/>
      <c r="AW120" s="12" t="n"/>
    </row>
    <row r="121">
      <c r="A121" s="12" t="n"/>
      <c r="B121" s="12">
        <f>IFERROR(VLOOKUP(A121, AZInsight_Data!$A:$AS, 3, FALSE), "")</f>
        <v/>
      </c>
      <c r="C121" s="13">
        <f>IFERROR(VLOOKUP(A121, AZInsight_Data!$A:$AS, 9, FALSE), 0)</f>
        <v/>
      </c>
      <c r="D121">
        <f>IFERROR(VLOOKUP(A121, AZInsight_Data!$A:$AS, 17, FALSE), 0)</f>
        <v/>
      </c>
      <c r="E121">
        <f>IFERROR(VLOOKUP(A121, AZInsight_Data!$A:$AS, 18, FALSE), 0)</f>
        <v/>
      </c>
      <c r="F121" s="14">
        <f>IFERROR(VLOOKUP(A121, AZInsight_Data!$A:$AS, 7, FALSE), 0)</f>
        <v/>
      </c>
      <c r="G121" s="15">
        <f>IFERROR(VLOOKUP(A121, AZInsight_Data!$A:$AS, 14, FALSE), 0)</f>
        <v/>
      </c>
      <c r="H121" s="14">
        <f>IFERROR(VLOOKUP(A121, AZInsight_Data!$A:$AS, 8, FALSE), 0)</f>
        <v/>
      </c>
      <c r="I121" s="16">
        <f>IFERROR(VLOOKUP(A121, KEEPA!$A:$AW, 47, FALSE), 0)</f>
        <v/>
      </c>
      <c r="J121">
        <f>IFERROR(VLOOKUP(A121, AZInsight_Data!$A:$AS, 25, FALSE), 0)</f>
        <v/>
      </c>
      <c r="K121" s="15">
        <f>IFERROR(VLOOKUP(A121, AZInsight_Data!$A:$AS, 16, FALSE), 0)</f>
        <v/>
      </c>
      <c r="L121" s="15">
        <f>IFERROR(K121-T121-J121, 0)</f>
        <v/>
      </c>
      <c r="M121" s="16">
        <f>IFERROR(IF(T121=0, 0, L121/T121), 0)</f>
        <v/>
      </c>
      <c r="N121" s="14">
        <f>IFERROR(C121*($V$2/30), 0)</f>
        <v/>
      </c>
      <c r="O121">
        <f>IFERROR(VLOOKUP(A121, AZInsight_Data!$A:$AS, 40, FALSE), 1)</f>
        <v/>
      </c>
      <c r="P121" s="13">
        <f>IF(O121&gt;0, O121, 1)</f>
        <v/>
      </c>
      <c r="Q121" s="13">
        <f>IFERROR(U121/P121, 0)</f>
        <v/>
      </c>
      <c r="R121">
        <f>IFERROR(VLOOKUP(A121, AZInsight_Data!$A:$AS, 36, FALSE), "")</f>
        <v/>
      </c>
      <c r="S121">
        <f>IFERROR(VLOOKUP(A121, AZInsight_Data!$A:$AS, 3, FALSE), "")</f>
        <v/>
      </c>
      <c r="T121" s="17">
        <f>IFERROR(VLOOKUP(A121, AZInsight_Data!$A:$AS, 13, FALSE), 0)</f>
        <v/>
      </c>
      <c r="U121" s="13">
        <f>AH121</f>
        <v/>
      </c>
      <c r="V121" s="15">
        <f>T121*U121</f>
        <v/>
      </c>
      <c r="W121" s="16" t="n"/>
      <c r="X121" s="12">
        <f>IFERROR(VLOOKUP(A121, AZInsight_Data!$A:$AS, 40, FALSE), 1)</f>
        <v/>
      </c>
      <c r="Y121" s="13">
        <f>IFERROR(VLOOKUP(A121, IP Qty!$D:$R, 5, FALSE), 0)</f>
        <v/>
      </c>
      <c r="Z121" s="14">
        <f>IFERROR(VLOOKUP(A121, IP Qty!$D:$R, 6, FALSE), 0)</f>
        <v/>
      </c>
      <c r="AA121">
        <f>IFERROR(VLOOKUP(A121, IP Qty!$D:$R, 7, FALSE), 0)</f>
        <v/>
      </c>
      <c r="AB121">
        <f>IFERROR(VLOOKUP(A121, IP Qty!$D:$R, 9, FALSE), 0)</f>
        <v/>
      </c>
      <c r="AC121">
        <f>IFERROR(VLOOKUP(A121, IP Qty!$D:$R, 8, FALSE), 0)</f>
        <v/>
      </c>
      <c r="AD121" s="14">
        <f>IFERROR(VLOOKUP(A121, KEEPA!$A:$AW, 34, FALSE), 0)</f>
        <v/>
      </c>
      <c r="AE121" s="15">
        <f>IF(P121&gt;1, ((((M121&gt;=$AD$2)*(L121&gt;=$AH$2)) + ((M121&lt;$AD$2)*(M121&gt;=$AE$2)*(L121&gt;=$AG$2)) + ((M121&lt;$AE$2)*(M121&gt;=$AC$2)*(L121&gt;=0)))*2 * IF($AI$2=0, 1, AI121&lt;=$AI$2) * IF($AK$2=0, 1, AK121&lt;=$AK$2) * AND(N121&gt;=$D$1, H121&lt;=$I$2, G121&gt;=$H$2)), ((((M121&gt;=$AD$2)*(L121&gt;=$AH$2)) + ((M121&lt;$AD$2)*(M121&gt;=$AE$2)*(L121&gt;=$AG$2)) + ((M121&lt;$AE$2)*(M121&gt;=$AC$2)*(L121&gt;=0))) * IF($AI$2=0, 1, AI121&lt;=$AI$2) * IF($AK$2=0, 1, AK121&lt;=$AK$2) * AND(N121&gt;=$D$1, H121&lt;=$I$2, G121&gt;=$H$2)))</f>
        <v/>
      </c>
      <c r="AF121">
        <f>IF(AE121&gt;0, 1, 0)</f>
        <v/>
      </c>
      <c r="AG121">
        <f>IFERROR(IF(ISNUMBER(W121), IF(AN121, N121*W121*$AN$2, N121*W121), NA()), NA())</f>
        <v/>
      </c>
      <c r="AH121" s="13">
        <f>IFERROR(MIN(AG121, $U$2), 0)</f>
        <v/>
      </c>
      <c r="AI121" s="14">
        <f>IFERROR(VLOOKUP(A121, KEEPA!$A:$AW, 26, FALSE), 0)</f>
        <v/>
      </c>
      <c r="AJ121" s="16">
        <f>IFERROR(IF(AI121=0, 0, (AI121-H121)/H121), 0)</f>
        <v/>
      </c>
      <c r="AK121" s="14">
        <f>IFERROR(VLOOKUP(A121, KEEPA!$A:$AW, 28, FALSE), 0)</f>
        <v/>
      </c>
      <c r="AL121" s="16">
        <f>IFERROR(IF(AK121=0, 0, (AK121-H121)/H121), 0)</f>
        <v/>
      </c>
      <c r="AM121" s="13">
        <f>IFERROR(VLOOKUP(A121, AZInsight_Data!$A:$AS, 34, FALSE), 0)</f>
        <v/>
      </c>
      <c r="AN121">
        <f>IFERROR(AND(VLOOKUP(A121, KEEPA!$A:$AW, 2, FALSE)&lt;=$AO$2, N121 &gt;= $AM$2), FALSE)</f>
        <v/>
      </c>
      <c r="AO121" s="16">
        <f>IFERROR(VLOOKUP(A121, KEEPA!$A:$AW, 24, FALSE), 0)</f>
        <v/>
      </c>
      <c r="AP121" s="16">
        <f>IFERROR(VLOOKUP(A121, KEEPA!$A:$AW, 48, FALSE), 0)</f>
        <v/>
      </c>
      <c r="AQ121">
        <f>IFERROR(VLOOKUP(A121, AZInsight_Data!$A:$AS, 5, FALSE), "SL")</f>
        <v/>
      </c>
      <c r="AR121">
        <f>IF(OR(A121="", A121=0), "", HYPERLINK("https://keepa.com/#!product/1-"&amp;A121, "Keepa"))</f>
        <v/>
      </c>
      <c r="AS121">
        <f>IF(OR(A121="", A121=0), "", HYPERLINK("https://www.amazon.com/dp/"&amp;A121, "Amazon"))</f>
        <v/>
      </c>
      <c r="AT121">
        <f>IF(OR(A121="", A121=0), "", HYPERLINK("https://sellercentral.amazon.com/product-search/search?q="&amp;A121, "Check Gated"))</f>
        <v/>
      </c>
      <c r="AU121" s="12" t="n"/>
      <c r="AV121" s="12" t="n"/>
      <c r="AW121" s="12" t="n"/>
    </row>
    <row r="122">
      <c r="A122" s="12" t="n"/>
      <c r="B122" s="12">
        <f>IFERROR(VLOOKUP(A122, AZInsight_Data!$A:$AS, 3, FALSE), "")</f>
        <v/>
      </c>
      <c r="C122" s="13">
        <f>IFERROR(VLOOKUP(A122, AZInsight_Data!$A:$AS, 9, FALSE), 0)</f>
        <v/>
      </c>
      <c r="D122">
        <f>IFERROR(VLOOKUP(A122, AZInsight_Data!$A:$AS, 17, FALSE), 0)</f>
        <v/>
      </c>
      <c r="E122">
        <f>IFERROR(VLOOKUP(A122, AZInsight_Data!$A:$AS, 18, FALSE), 0)</f>
        <v/>
      </c>
      <c r="F122" s="14">
        <f>IFERROR(VLOOKUP(A122, AZInsight_Data!$A:$AS, 7, FALSE), 0)</f>
        <v/>
      </c>
      <c r="G122" s="15">
        <f>IFERROR(VLOOKUP(A122, AZInsight_Data!$A:$AS, 14, FALSE), 0)</f>
        <v/>
      </c>
      <c r="H122" s="14">
        <f>IFERROR(VLOOKUP(A122, AZInsight_Data!$A:$AS, 8, FALSE), 0)</f>
        <v/>
      </c>
      <c r="I122" s="16">
        <f>IFERROR(VLOOKUP(A122, KEEPA!$A:$AW, 47, FALSE), 0)</f>
        <v/>
      </c>
      <c r="J122">
        <f>IFERROR(VLOOKUP(A122, AZInsight_Data!$A:$AS, 25, FALSE), 0)</f>
        <v/>
      </c>
      <c r="K122" s="15">
        <f>IFERROR(VLOOKUP(A122, AZInsight_Data!$A:$AS, 16, FALSE), 0)</f>
        <v/>
      </c>
      <c r="L122" s="15">
        <f>IFERROR(K122-T122-J122, 0)</f>
        <v/>
      </c>
      <c r="M122" s="16">
        <f>IFERROR(IF(T122=0, 0, L122/T122), 0)</f>
        <v/>
      </c>
      <c r="N122" s="14">
        <f>IFERROR(C122*($V$2/30), 0)</f>
        <v/>
      </c>
      <c r="O122">
        <f>IFERROR(VLOOKUP(A122, AZInsight_Data!$A:$AS, 40, FALSE), 1)</f>
        <v/>
      </c>
      <c r="P122" s="13">
        <f>IF(O122&gt;0, O122, 1)</f>
        <v/>
      </c>
      <c r="Q122" s="13">
        <f>IFERROR(U122/P122, 0)</f>
        <v/>
      </c>
      <c r="R122">
        <f>IFERROR(VLOOKUP(A122, AZInsight_Data!$A:$AS, 36, FALSE), "")</f>
        <v/>
      </c>
      <c r="S122">
        <f>IFERROR(VLOOKUP(A122, AZInsight_Data!$A:$AS, 3, FALSE), "")</f>
        <v/>
      </c>
      <c r="T122" s="17">
        <f>IFERROR(VLOOKUP(A122, AZInsight_Data!$A:$AS, 13, FALSE), 0)</f>
        <v/>
      </c>
      <c r="U122" s="13">
        <f>AH122</f>
        <v/>
      </c>
      <c r="V122" s="15">
        <f>T122*U122</f>
        <v/>
      </c>
      <c r="W122" s="16" t="n"/>
      <c r="X122" s="12">
        <f>IFERROR(VLOOKUP(A122, AZInsight_Data!$A:$AS, 40, FALSE), 1)</f>
        <v/>
      </c>
      <c r="Y122" s="13">
        <f>IFERROR(VLOOKUP(A122, IP Qty!$D:$R, 5, FALSE), 0)</f>
        <v/>
      </c>
      <c r="Z122" s="14">
        <f>IFERROR(VLOOKUP(A122, IP Qty!$D:$R, 6, FALSE), 0)</f>
        <v/>
      </c>
      <c r="AA122">
        <f>IFERROR(VLOOKUP(A122, IP Qty!$D:$R, 7, FALSE), 0)</f>
        <v/>
      </c>
      <c r="AB122">
        <f>IFERROR(VLOOKUP(A122, IP Qty!$D:$R, 9, FALSE), 0)</f>
        <v/>
      </c>
      <c r="AC122">
        <f>IFERROR(VLOOKUP(A122, IP Qty!$D:$R, 8, FALSE), 0)</f>
        <v/>
      </c>
      <c r="AD122" s="14">
        <f>IFERROR(VLOOKUP(A122, KEEPA!$A:$AW, 34, FALSE), 0)</f>
        <v/>
      </c>
      <c r="AE122" s="15">
        <f>IF(P122&gt;1, ((((M122&gt;=$AD$2)*(L122&gt;=$AH$2)) + ((M122&lt;$AD$2)*(M122&gt;=$AE$2)*(L122&gt;=$AG$2)) + ((M122&lt;$AE$2)*(M122&gt;=$AC$2)*(L122&gt;=0)))*2 * IF($AI$2=0, 1, AI122&lt;=$AI$2) * IF($AK$2=0, 1, AK122&lt;=$AK$2) * AND(N122&gt;=$D$1, H122&lt;=$I$2, G122&gt;=$H$2)), ((((M122&gt;=$AD$2)*(L122&gt;=$AH$2)) + ((M122&lt;$AD$2)*(M122&gt;=$AE$2)*(L122&gt;=$AG$2)) + ((M122&lt;$AE$2)*(M122&gt;=$AC$2)*(L122&gt;=0))) * IF($AI$2=0, 1, AI122&lt;=$AI$2) * IF($AK$2=0, 1, AK122&lt;=$AK$2) * AND(N122&gt;=$D$1, H122&lt;=$I$2, G122&gt;=$H$2)))</f>
        <v/>
      </c>
      <c r="AF122">
        <f>IF(AE122&gt;0, 1, 0)</f>
        <v/>
      </c>
      <c r="AG122">
        <f>IFERROR(IF(ISNUMBER(W122), IF(AN122, N122*W122*$AN$2, N122*W122), NA()), NA())</f>
        <v/>
      </c>
      <c r="AH122" s="13">
        <f>IFERROR(MIN(AG122, $U$2), 0)</f>
        <v/>
      </c>
      <c r="AI122" s="14">
        <f>IFERROR(VLOOKUP(A122, KEEPA!$A:$AW, 26, FALSE), 0)</f>
        <v/>
      </c>
      <c r="AJ122" s="16">
        <f>IFERROR(IF(AI122=0, 0, (AI122-H122)/H122), 0)</f>
        <v/>
      </c>
      <c r="AK122" s="14">
        <f>IFERROR(VLOOKUP(A122, KEEPA!$A:$AW, 28, FALSE), 0)</f>
        <v/>
      </c>
      <c r="AL122" s="16">
        <f>IFERROR(IF(AK122=0, 0, (AK122-H122)/H122), 0)</f>
        <v/>
      </c>
      <c r="AM122" s="13">
        <f>IFERROR(VLOOKUP(A122, AZInsight_Data!$A:$AS, 34, FALSE), 0)</f>
        <v/>
      </c>
      <c r="AN122">
        <f>IFERROR(AND(VLOOKUP(A122, KEEPA!$A:$AW, 2, FALSE)&lt;=$AO$2, N122 &gt;= $AM$2), FALSE)</f>
        <v/>
      </c>
      <c r="AO122" s="16">
        <f>IFERROR(VLOOKUP(A122, KEEPA!$A:$AW, 24, FALSE), 0)</f>
        <v/>
      </c>
      <c r="AP122" s="16">
        <f>IFERROR(VLOOKUP(A122, KEEPA!$A:$AW, 48, FALSE), 0)</f>
        <v/>
      </c>
      <c r="AQ122">
        <f>IFERROR(VLOOKUP(A122, AZInsight_Data!$A:$AS, 5, FALSE), "SL")</f>
        <v/>
      </c>
      <c r="AR122">
        <f>IF(OR(A122="", A122=0), "", HYPERLINK("https://keepa.com/#!product/1-"&amp;A122, "Keepa"))</f>
        <v/>
      </c>
      <c r="AS122">
        <f>IF(OR(A122="", A122=0), "", HYPERLINK("https://www.amazon.com/dp/"&amp;A122, "Amazon"))</f>
        <v/>
      </c>
      <c r="AT122">
        <f>IF(OR(A122="", A122=0), "", HYPERLINK("https://sellercentral.amazon.com/product-search/search?q="&amp;A122, "Check Gated"))</f>
        <v/>
      </c>
      <c r="AU122" s="12" t="n"/>
      <c r="AV122" s="12" t="n"/>
      <c r="AW122" s="12" t="n"/>
    </row>
    <row r="123">
      <c r="A123" s="12" t="n"/>
      <c r="B123" s="12">
        <f>IFERROR(VLOOKUP(A123, AZInsight_Data!$A:$AS, 3, FALSE), "")</f>
        <v/>
      </c>
      <c r="C123" s="13">
        <f>IFERROR(VLOOKUP(A123, AZInsight_Data!$A:$AS, 9, FALSE), 0)</f>
        <v/>
      </c>
      <c r="D123">
        <f>IFERROR(VLOOKUP(A123, AZInsight_Data!$A:$AS, 17, FALSE), 0)</f>
        <v/>
      </c>
      <c r="E123">
        <f>IFERROR(VLOOKUP(A123, AZInsight_Data!$A:$AS, 18, FALSE), 0)</f>
        <v/>
      </c>
      <c r="F123" s="14">
        <f>IFERROR(VLOOKUP(A123, AZInsight_Data!$A:$AS, 7, FALSE), 0)</f>
        <v/>
      </c>
      <c r="G123" s="15">
        <f>IFERROR(VLOOKUP(A123, AZInsight_Data!$A:$AS, 14, FALSE), 0)</f>
        <v/>
      </c>
      <c r="H123" s="14">
        <f>IFERROR(VLOOKUP(A123, AZInsight_Data!$A:$AS, 8, FALSE), 0)</f>
        <v/>
      </c>
      <c r="I123" s="16">
        <f>IFERROR(VLOOKUP(A123, KEEPA!$A:$AW, 47, FALSE), 0)</f>
        <v/>
      </c>
      <c r="J123">
        <f>IFERROR(VLOOKUP(A123, AZInsight_Data!$A:$AS, 25, FALSE), 0)</f>
        <v/>
      </c>
      <c r="K123" s="15">
        <f>IFERROR(VLOOKUP(A123, AZInsight_Data!$A:$AS, 16, FALSE), 0)</f>
        <v/>
      </c>
      <c r="L123" s="15">
        <f>IFERROR(K123-T123-J123, 0)</f>
        <v/>
      </c>
      <c r="M123" s="16">
        <f>IFERROR(IF(T123=0, 0, L123/T123), 0)</f>
        <v/>
      </c>
      <c r="N123" s="14">
        <f>IFERROR(C123*($V$2/30), 0)</f>
        <v/>
      </c>
      <c r="O123">
        <f>IFERROR(VLOOKUP(A123, AZInsight_Data!$A:$AS, 40, FALSE), 1)</f>
        <v/>
      </c>
      <c r="P123" s="13">
        <f>IF(O123&gt;0, O123, 1)</f>
        <v/>
      </c>
      <c r="Q123" s="13">
        <f>IFERROR(U123/P123, 0)</f>
        <v/>
      </c>
      <c r="R123">
        <f>IFERROR(VLOOKUP(A123, AZInsight_Data!$A:$AS, 36, FALSE), "")</f>
        <v/>
      </c>
      <c r="S123">
        <f>IFERROR(VLOOKUP(A123, AZInsight_Data!$A:$AS, 3, FALSE), "")</f>
        <v/>
      </c>
      <c r="T123" s="17">
        <f>IFERROR(VLOOKUP(A123, AZInsight_Data!$A:$AS, 13, FALSE), 0)</f>
        <v/>
      </c>
      <c r="U123" s="13">
        <f>AH123</f>
        <v/>
      </c>
      <c r="V123" s="15">
        <f>T123*U123</f>
        <v/>
      </c>
      <c r="W123" s="16" t="n"/>
      <c r="X123" s="12">
        <f>IFERROR(VLOOKUP(A123, AZInsight_Data!$A:$AS, 40, FALSE), 1)</f>
        <v/>
      </c>
      <c r="Y123" s="13">
        <f>IFERROR(VLOOKUP(A123, IP Qty!$D:$R, 5, FALSE), 0)</f>
        <v/>
      </c>
      <c r="Z123" s="14">
        <f>IFERROR(VLOOKUP(A123, IP Qty!$D:$R, 6, FALSE), 0)</f>
        <v/>
      </c>
      <c r="AA123">
        <f>IFERROR(VLOOKUP(A123, IP Qty!$D:$R, 7, FALSE), 0)</f>
        <v/>
      </c>
      <c r="AB123">
        <f>IFERROR(VLOOKUP(A123, IP Qty!$D:$R, 9, FALSE), 0)</f>
        <v/>
      </c>
      <c r="AC123">
        <f>IFERROR(VLOOKUP(A123, IP Qty!$D:$R, 8, FALSE), 0)</f>
        <v/>
      </c>
      <c r="AD123" s="14">
        <f>IFERROR(VLOOKUP(A123, KEEPA!$A:$AW, 34, FALSE), 0)</f>
        <v/>
      </c>
      <c r="AE123" s="15">
        <f>IF(P123&gt;1, ((((M123&gt;=$AD$2)*(L123&gt;=$AH$2)) + ((M123&lt;$AD$2)*(M123&gt;=$AE$2)*(L123&gt;=$AG$2)) + ((M123&lt;$AE$2)*(M123&gt;=$AC$2)*(L123&gt;=0)))*2 * IF($AI$2=0, 1, AI123&lt;=$AI$2) * IF($AK$2=0, 1, AK123&lt;=$AK$2) * AND(N123&gt;=$D$1, H123&lt;=$I$2, G123&gt;=$H$2)), ((((M123&gt;=$AD$2)*(L123&gt;=$AH$2)) + ((M123&lt;$AD$2)*(M123&gt;=$AE$2)*(L123&gt;=$AG$2)) + ((M123&lt;$AE$2)*(M123&gt;=$AC$2)*(L123&gt;=0))) * IF($AI$2=0, 1, AI123&lt;=$AI$2) * IF($AK$2=0, 1, AK123&lt;=$AK$2) * AND(N123&gt;=$D$1, H123&lt;=$I$2, G123&gt;=$H$2)))</f>
        <v/>
      </c>
      <c r="AF123">
        <f>IF(AE123&gt;0, 1, 0)</f>
        <v/>
      </c>
      <c r="AG123">
        <f>IFERROR(IF(ISNUMBER(W123), IF(AN123, N123*W123*$AN$2, N123*W123), NA()), NA())</f>
        <v/>
      </c>
      <c r="AH123" s="13">
        <f>IFERROR(MIN(AG123, $U$2), 0)</f>
        <v/>
      </c>
      <c r="AI123" s="14">
        <f>IFERROR(VLOOKUP(A123, KEEPA!$A:$AW, 26, FALSE), 0)</f>
        <v/>
      </c>
      <c r="AJ123" s="16">
        <f>IFERROR(IF(AI123=0, 0, (AI123-H123)/H123), 0)</f>
        <v/>
      </c>
      <c r="AK123" s="14">
        <f>IFERROR(VLOOKUP(A123, KEEPA!$A:$AW, 28, FALSE), 0)</f>
        <v/>
      </c>
      <c r="AL123" s="16">
        <f>IFERROR(IF(AK123=0, 0, (AK123-H123)/H123), 0)</f>
        <v/>
      </c>
      <c r="AM123" s="13">
        <f>IFERROR(VLOOKUP(A123, AZInsight_Data!$A:$AS, 34, FALSE), 0)</f>
        <v/>
      </c>
      <c r="AN123">
        <f>IFERROR(AND(VLOOKUP(A123, KEEPA!$A:$AW, 2, FALSE)&lt;=$AO$2, N123 &gt;= $AM$2), FALSE)</f>
        <v/>
      </c>
      <c r="AO123" s="16">
        <f>IFERROR(VLOOKUP(A123, KEEPA!$A:$AW, 24, FALSE), 0)</f>
        <v/>
      </c>
      <c r="AP123" s="16">
        <f>IFERROR(VLOOKUP(A123, KEEPA!$A:$AW, 48, FALSE), 0)</f>
        <v/>
      </c>
      <c r="AQ123">
        <f>IFERROR(VLOOKUP(A123, AZInsight_Data!$A:$AS, 5, FALSE), "SL")</f>
        <v/>
      </c>
      <c r="AR123">
        <f>IF(OR(A123="", A123=0), "", HYPERLINK("https://keepa.com/#!product/1-"&amp;A123, "Keepa"))</f>
        <v/>
      </c>
      <c r="AS123">
        <f>IF(OR(A123="", A123=0), "", HYPERLINK("https://www.amazon.com/dp/"&amp;A123, "Amazon"))</f>
        <v/>
      </c>
      <c r="AT123">
        <f>IF(OR(A123="", A123=0), "", HYPERLINK("https://sellercentral.amazon.com/product-search/search?q="&amp;A123, "Check Gated"))</f>
        <v/>
      </c>
      <c r="AU123" s="12" t="n"/>
      <c r="AV123" s="12" t="n"/>
      <c r="AW123" s="12" t="n"/>
    </row>
    <row r="124">
      <c r="A124" s="12" t="n"/>
      <c r="B124" s="12">
        <f>IFERROR(VLOOKUP(A124, AZInsight_Data!$A:$AS, 3, FALSE), "")</f>
        <v/>
      </c>
      <c r="C124" s="13">
        <f>IFERROR(VLOOKUP(A124, AZInsight_Data!$A:$AS, 9, FALSE), 0)</f>
        <v/>
      </c>
      <c r="D124">
        <f>IFERROR(VLOOKUP(A124, AZInsight_Data!$A:$AS, 17, FALSE), 0)</f>
        <v/>
      </c>
      <c r="E124">
        <f>IFERROR(VLOOKUP(A124, AZInsight_Data!$A:$AS, 18, FALSE), 0)</f>
        <v/>
      </c>
      <c r="F124" s="14">
        <f>IFERROR(VLOOKUP(A124, AZInsight_Data!$A:$AS, 7, FALSE), 0)</f>
        <v/>
      </c>
      <c r="G124" s="15">
        <f>IFERROR(VLOOKUP(A124, AZInsight_Data!$A:$AS, 14, FALSE), 0)</f>
        <v/>
      </c>
      <c r="H124" s="14">
        <f>IFERROR(VLOOKUP(A124, AZInsight_Data!$A:$AS, 8, FALSE), 0)</f>
        <v/>
      </c>
      <c r="I124" s="16">
        <f>IFERROR(VLOOKUP(A124, KEEPA!$A:$AW, 47, FALSE), 0)</f>
        <v/>
      </c>
      <c r="J124">
        <f>IFERROR(VLOOKUP(A124, AZInsight_Data!$A:$AS, 25, FALSE), 0)</f>
        <v/>
      </c>
      <c r="K124" s="15">
        <f>IFERROR(VLOOKUP(A124, AZInsight_Data!$A:$AS, 16, FALSE), 0)</f>
        <v/>
      </c>
      <c r="L124" s="15">
        <f>IFERROR(K124-T124-J124, 0)</f>
        <v/>
      </c>
      <c r="M124" s="16">
        <f>IFERROR(IF(T124=0, 0, L124/T124), 0)</f>
        <v/>
      </c>
      <c r="N124" s="14">
        <f>IFERROR(C124*($V$2/30), 0)</f>
        <v/>
      </c>
      <c r="O124">
        <f>IFERROR(VLOOKUP(A124, AZInsight_Data!$A:$AS, 40, FALSE), 1)</f>
        <v/>
      </c>
      <c r="P124" s="13">
        <f>IF(O124&gt;0, O124, 1)</f>
        <v/>
      </c>
      <c r="Q124" s="13">
        <f>IFERROR(U124/P124, 0)</f>
        <v/>
      </c>
      <c r="R124">
        <f>IFERROR(VLOOKUP(A124, AZInsight_Data!$A:$AS, 36, FALSE), "")</f>
        <v/>
      </c>
      <c r="S124">
        <f>IFERROR(VLOOKUP(A124, AZInsight_Data!$A:$AS, 3, FALSE), "")</f>
        <v/>
      </c>
      <c r="T124" s="17">
        <f>IFERROR(VLOOKUP(A124, AZInsight_Data!$A:$AS, 13, FALSE), 0)</f>
        <v/>
      </c>
      <c r="U124" s="13">
        <f>AH124</f>
        <v/>
      </c>
      <c r="V124" s="15">
        <f>T124*U124</f>
        <v/>
      </c>
      <c r="W124" s="16" t="n"/>
      <c r="X124" s="12">
        <f>IFERROR(VLOOKUP(A124, AZInsight_Data!$A:$AS, 40, FALSE), 1)</f>
        <v/>
      </c>
      <c r="Y124" s="13">
        <f>IFERROR(VLOOKUP(A124, IP Qty!$D:$R, 5, FALSE), 0)</f>
        <v/>
      </c>
      <c r="Z124" s="14">
        <f>IFERROR(VLOOKUP(A124, IP Qty!$D:$R, 6, FALSE), 0)</f>
        <v/>
      </c>
      <c r="AA124">
        <f>IFERROR(VLOOKUP(A124, IP Qty!$D:$R, 7, FALSE), 0)</f>
        <v/>
      </c>
      <c r="AB124">
        <f>IFERROR(VLOOKUP(A124, IP Qty!$D:$R, 9, FALSE), 0)</f>
        <v/>
      </c>
      <c r="AC124">
        <f>IFERROR(VLOOKUP(A124, IP Qty!$D:$R, 8, FALSE), 0)</f>
        <v/>
      </c>
      <c r="AD124" s="14">
        <f>IFERROR(VLOOKUP(A124, KEEPA!$A:$AW, 34, FALSE), 0)</f>
        <v/>
      </c>
      <c r="AE124" s="15">
        <f>IF(P124&gt;1, ((((M124&gt;=$AD$2)*(L124&gt;=$AH$2)) + ((M124&lt;$AD$2)*(M124&gt;=$AE$2)*(L124&gt;=$AG$2)) + ((M124&lt;$AE$2)*(M124&gt;=$AC$2)*(L124&gt;=0)))*2 * IF($AI$2=0, 1, AI124&lt;=$AI$2) * IF($AK$2=0, 1, AK124&lt;=$AK$2) * AND(N124&gt;=$D$1, H124&lt;=$I$2, G124&gt;=$H$2)), ((((M124&gt;=$AD$2)*(L124&gt;=$AH$2)) + ((M124&lt;$AD$2)*(M124&gt;=$AE$2)*(L124&gt;=$AG$2)) + ((M124&lt;$AE$2)*(M124&gt;=$AC$2)*(L124&gt;=0))) * IF($AI$2=0, 1, AI124&lt;=$AI$2) * IF($AK$2=0, 1, AK124&lt;=$AK$2) * AND(N124&gt;=$D$1, H124&lt;=$I$2, G124&gt;=$H$2)))</f>
        <v/>
      </c>
      <c r="AF124">
        <f>IF(AE124&gt;0, 1, 0)</f>
        <v/>
      </c>
      <c r="AG124">
        <f>IFERROR(IF(ISNUMBER(W124), IF(AN124, N124*W124*$AN$2, N124*W124), NA()), NA())</f>
        <v/>
      </c>
      <c r="AH124" s="13">
        <f>IFERROR(MIN(AG124, $U$2), 0)</f>
        <v/>
      </c>
      <c r="AI124" s="14">
        <f>IFERROR(VLOOKUP(A124, KEEPA!$A:$AW, 26, FALSE), 0)</f>
        <v/>
      </c>
      <c r="AJ124" s="16">
        <f>IFERROR(IF(AI124=0, 0, (AI124-H124)/H124), 0)</f>
        <v/>
      </c>
      <c r="AK124" s="14">
        <f>IFERROR(VLOOKUP(A124, KEEPA!$A:$AW, 28, FALSE), 0)</f>
        <v/>
      </c>
      <c r="AL124" s="16">
        <f>IFERROR(IF(AK124=0, 0, (AK124-H124)/H124), 0)</f>
        <v/>
      </c>
      <c r="AM124" s="13">
        <f>IFERROR(VLOOKUP(A124, AZInsight_Data!$A:$AS, 34, FALSE), 0)</f>
        <v/>
      </c>
      <c r="AN124">
        <f>IFERROR(AND(VLOOKUP(A124, KEEPA!$A:$AW, 2, FALSE)&lt;=$AO$2, N124 &gt;= $AM$2), FALSE)</f>
        <v/>
      </c>
      <c r="AO124" s="16">
        <f>IFERROR(VLOOKUP(A124, KEEPA!$A:$AW, 24, FALSE), 0)</f>
        <v/>
      </c>
      <c r="AP124" s="16">
        <f>IFERROR(VLOOKUP(A124, KEEPA!$A:$AW, 48, FALSE), 0)</f>
        <v/>
      </c>
      <c r="AQ124">
        <f>IFERROR(VLOOKUP(A124, AZInsight_Data!$A:$AS, 5, FALSE), "SL")</f>
        <v/>
      </c>
      <c r="AR124">
        <f>IF(OR(A124="", A124=0), "", HYPERLINK("https://keepa.com/#!product/1-"&amp;A124, "Keepa"))</f>
        <v/>
      </c>
      <c r="AS124">
        <f>IF(OR(A124="", A124=0), "", HYPERLINK("https://www.amazon.com/dp/"&amp;A124, "Amazon"))</f>
        <v/>
      </c>
      <c r="AT124">
        <f>IF(OR(A124="", A124=0), "", HYPERLINK("https://sellercentral.amazon.com/product-search/search?q="&amp;A124, "Check Gated"))</f>
        <v/>
      </c>
      <c r="AU124" s="12" t="n"/>
      <c r="AV124" s="12" t="n"/>
      <c r="AW124" s="12" t="n"/>
    </row>
    <row r="125">
      <c r="A125" s="12" t="n"/>
      <c r="B125" s="12">
        <f>IFERROR(VLOOKUP(A125, AZInsight_Data!$A:$AS, 3, FALSE), "")</f>
        <v/>
      </c>
      <c r="C125" s="13">
        <f>IFERROR(VLOOKUP(A125, AZInsight_Data!$A:$AS, 9, FALSE), 0)</f>
        <v/>
      </c>
      <c r="D125">
        <f>IFERROR(VLOOKUP(A125, AZInsight_Data!$A:$AS, 17, FALSE), 0)</f>
        <v/>
      </c>
      <c r="E125">
        <f>IFERROR(VLOOKUP(A125, AZInsight_Data!$A:$AS, 18, FALSE), 0)</f>
        <v/>
      </c>
      <c r="F125" s="14">
        <f>IFERROR(VLOOKUP(A125, AZInsight_Data!$A:$AS, 7, FALSE), 0)</f>
        <v/>
      </c>
      <c r="G125" s="15">
        <f>IFERROR(VLOOKUP(A125, AZInsight_Data!$A:$AS, 14, FALSE), 0)</f>
        <v/>
      </c>
      <c r="H125" s="14">
        <f>IFERROR(VLOOKUP(A125, AZInsight_Data!$A:$AS, 8, FALSE), 0)</f>
        <v/>
      </c>
      <c r="I125" s="16">
        <f>IFERROR(VLOOKUP(A125, KEEPA!$A:$AW, 47, FALSE), 0)</f>
        <v/>
      </c>
      <c r="J125">
        <f>IFERROR(VLOOKUP(A125, AZInsight_Data!$A:$AS, 25, FALSE), 0)</f>
        <v/>
      </c>
      <c r="K125" s="15">
        <f>IFERROR(VLOOKUP(A125, AZInsight_Data!$A:$AS, 16, FALSE), 0)</f>
        <v/>
      </c>
      <c r="L125" s="15">
        <f>IFERROR(K125-T125-J125, 0)</f>
        <v/>
      </c>
      <c r="M125" s="16">
        <f>IFERROR(IF(T125=0, 0, L125/T125), 0)</f>
        <v/>
      </c>
      <c r="N125" s="14">
        <f>IFERROR(C125*($V$2/30), 0)</f>
        <v/>
      </c>
      <c r="O125">
        <f>IFERROR(VLOOKUP(A125, AZInsight_Data!$A:$AS, 40, FALSE), 1)</f>
        <v/>
      </c>
      <c r="P125" s="13">
        <f>IF(O125&gt;0, O125, 1)</f>
        <v/>
      </c>
      <c r="Q125" s="13">
        <f>IFERROR(U125/P125, 0)</f>
        <v/>
      </c>
      <c r="R125">
        <f>IFERROR(VLOOKUP(A125, AZInsight_Data!$A:$AS, 36, FALSE), "")</f>
        <v/>
      </c>
      <c r="S125">
        <f>IFERROR(VLOOKUP(A125, AZInsight_Data!$A:$AS, 3, FALSE), "")</f>
        <v/>
      </c>
      <c r="T125" s="17">
        <f>IFERROR(VLOOKUP(A125, AZInsight_Data!$A:$AS, 13, FALSE), 0)</f>
        <v/>
      </c>
      <c r="U125" s="13">
        <f>AH125</f>
        <v/>
      </c>
      <c r="V125" s="15">
        <f>T125*U125</f>
        <v/>
      </c>
      <c r="W125" s="16" t="n"/>
      <c r="X125" s="12">
        <f>IFERROR(VLOOKUP(A125, AZInsight_Data!$A:$AS, 40, FALSE), 1)</f>
        <v/>
      </c>
      <c r="Y125" s="13">
        <f>IFERROR(VLOOKUP(A125, IP Qty!$D:$R, 5, FALSE), 0)</f>
        <v/>
      </c>
      <c r="Z125" s="14">
        <f>IFERROR(VLOOKUP(A125, IP Qty!$D:$R, 6, FALSE), 0)</f>
        <v/>
      </c>
      <c r="AA125">
        <f>IFERROR(VLOOKUP(A125, IP Qty!$D:$R, 7, FALSE), 0)</f>
        <v/>
      </c>
      <c r="AB125">
        <f>IFERROR(VLOOKUP(A125, IP Qty!$D:$R, 9, FALSE), 0)</f>
        <v/>
      </c>
      <c r="AC125">
        <f>IFERROR(VLOOKUP(A125, IP Qty!$D:$R, 8, FALSE), 0)</f>
        <v/>
      </c>
      <c r="AD125" s="14">
        <f>IFERROR(VLOOKUP(A125, KEEPA!$A:$AW, 34, FALSE), 0)</f>
        <v/>
      </c>
      <c r="AE125" s="15">
        <f>IF(P125&gt;1, ((((M125&gt;=$AD$2)*(L125&gt;=$AH$2)) + ((M125&lt;$AD$2)*(M125&gt;=$AE$2)*(L125&gt;=$AG$2)) + ((M125&lt;$AE$2)*(M125&gt;=$AC$2)*(L125&gt;=0)))*2 * IF($AI$2=0, 1, AI125&lt;=$AI$2) * IF($AK$2=0, 1, AK125&lt;=$AK$2) * AND(N125&gt;=$D$1, H125&lt;=$I$2, G125&gt;=$H$2)), ((((M125&gt;=$AD$2)*(L125&gt;=$AH$2)) + ((M125&lt;$AD$2)*(M125&gt;=$AE$2)*(L125&gt;=$AG$2)) + ((M125&lt;$AE$2)*(M125&gt;=$AC$2)*(L125&gt;=0))) * IF($AI$2=0, 1, AI125&lt;=$AI$2) * IF($AK$2=0, 1, AK125&lt;=$AK$2) * AND(N125&gt;=$D$1, H125&lt;=$I$2, G125&gt;=$H$2)))</f>
        <v/>
      </c>
      <c r="AF125">
        <f>IF(AE125&gt;0, 1, 0)</f>
        <v/>
      </c>
      <c r="AG125">
        <f>IFERROR(IF(ISNUMBER(W125), IF(AN125, N125*W125*$AN$2, N125*W125), NA()), NA())</f>
        <v/>
      </c>
      <c r="AH125" s="13">
        <f>IFERROR(MIN(AG125, $U$2), 0)</f>
        <v/>
      </c>
      <c r="AI125" s="14">
        <f>IFERROR(VLOOKUP(A125, KEEPA!$A:$AW, 26, FALSE), 0)</f>
        <v/>
      </c>
      <c r="AJ125" s="16">
        <f>IFERROR(IF(AI125=0, 0, (AI125-H125)/H125), 0)</f>
        <v/>
      </c>
      <c r="AK125" s="14">
        <f>IFERROR(VLOOKUP(A125, KEEPA!$A:$AW, 28, FALSE), 0)</f>
        <v/>
      </c>
      <c r="AL125" s="16">
        <f>IFERROR(IF(AK125=0, 0, (AK125-H125)/H125), 0)</f>
        <v/>
      </c>
      <c r="AM125" s="13">
        <f>IFERROR(VLOOKUP(A125, AZInsight_Data!$A:$AS, 34, FALSE), 0)</f>
        <v/>
      </c>
      <c r="AN125">
        <f>IFERROR(AND(VLOOKUP(A125, KEEPA!$A:$AW, 2, FALSE)&lt;=$AO$2, N125 &gt;= $AM$2), FALSE)</f>
        <v/>
      </c>
      <c r="AO125" s="16">
        <f>IFERROR(VLOOKUP(A125, KEEPA!$A:$AW, 24, FALSE), 0)</f>
        <v/>
      </c>
      <c r="AP125" s="16">
        <f>IFERROR(VLOOKUP(A125, KEEPA!$A:$AW, 48, FALSE), 0)</f>
        <v/>
      </c>
      <c r="AQ125">
        <f>IFERROR(VLOOKUP(A125, AZInsight_Data!$A:$AS, 5, FALSE), "SL")</f>
        <v/>
      </c>
      <c r="AR125">
        <f>IF(OR(A125="", A125=0), "", HYPERLINK("https://keepa.com/#!product/1-"&amp;A125, "Keepa"))</f>
        <v/>
      </c>
      <c r="AS125">
        <f>IF(OR(A125="", A125=0), "", HYPERLINK("https://www.amazon.com/dp/"&amp;A125, "Amazon"))</f>
        <v/>
      </c>
      <c r="AT125">
        <f>IF(OR(A125="", A125=0), "", HYPERLINK("https://sellercentral.amazon.com/product-search/search?q="&amp;A125, "Check Gated"))</f>
        <v/>
      </c>
      <c r="AU125" s="12" t="n"/>
      <c r="AV125" s="12" t="n"/>
      <c r="AW125" s="12" t="n"/>
    </row>
    <row r="126">
      <c r="A126" s="12" t="n"/>
      <c r="B126" s="12">
        <f>IFERROR(VLOOKUP(A126, AZInsight_Data!$A:$AS, 3, FALSE), "")</f>
        <v/>
      </c>
      <c r="C126" s="13">
        <f>IFERROR(VLOOKUP(A126, AZInsight_Data!$A:$AS, 9, FALSE), 0)</f>
        <v/>
      </c>
      <c r="D126">
        <f>IFERROR(VLOOKUP(A126, AZInsight_Data!$A:$AS, 17, FALSE), 0)</f>
        <v/>
      </c>
      <c r="E126">
        <f>IFERROR(VLOOKUP(A126, AZInsight_Data!$A:$AS, 18, FALSE), 0)</f>
        <v/>
      </c>
      <c r="F126" s="14">
        <f>IFERROR(VLOOKUP(A126, AZInsight_Data!$A:$AS, 7, FALSE), 0)</f>
        <v/>
      </c>
      <c r="G126" s="15">
        <f>IFERROR(VLOOKUP(A126, AZInsight_Data!$A:$AS, 14, FALSE), 0)</f>
        <v/>
      </c>
      <c r="H126" s="14">
        <f>IFERROR(VLOOKUP(A126, AZInsight_Data!$A:$AS, 8, FALSE), 0)</f>
        <v/>
      </c>
      <c r="I126" s="16">
        <f>IFERROR(VLOOKUP(A126, KEEPA!$A:$AW, 47, FALSE), 0)</f>
        <v/>
      </c>
      <c r="J126">
        <f>IFERROR(VLOOKUP(A126, AZInsight_Data!$A:$AS, 25, FALSE), 0)</f>
        <v/>
      </c>
      <c r="K126" s="15">
        <f>IFERROR(VLOOKUP(A126, AZInsight_Data!$A:$AS, 16, FALSE), 0)</f>
        <v/>
      </c>
      <c r="L126" s="15">
        <f>IFERROR(K126-T126-J126, 0)</f>
        <v/>
      </c>
      <c r="M126" s="16">
        <f>IFERROR(IF(T126=0, 0, L126/T126), 0)</f>
        <v/>
      </c>
      <c r="N126" s="14">
        <f>IFERROR(C126*($V$2/30), 0)</f>
        <v/>
      </c>
      <c r="O126">
        <f>IFERROR(VLOOKUP(A126, AZInsight_Data!$A:$AS, 40, FALSE), 1)</f>
        <v/>
      </c>
      <c r="P126" s="13">
        <f>IF(O126&gt;0, O126, 1)</f>
        <v/>
      </c>
      <c r="Q126" s="13">
        <f>IFERROR(U126/P126, 0)</f>
        <v/>
      </c>
      <c r="R126">
        <f>IFERROR(VLOOKUP(A126, AZInsight_Data!$A:$AS, 36, FALSE), "")</f>
        <v/>
      </c>
      <c r="S126">
        <f>IFERROR(VLOOKUP(A126, AZInsight_Data!$A:$AS, 3, FALSE), "")</f>
        <v/>
      </c>
      <c r="T126" s="17">
        <f>IFERROR(VLOOKUP(A126, AZInsight_Data!$A:$AS, 13, FALSE), 0)</f>
        <v/>
      </c>
      <c r="U126" s="13">
        <f>AH126</f>
        <v/>
      </c>
      <c r="V126" s="15">
        <f>T126*U126</f>
        <v/>
      </c>
      <c r="W126" s="16" t="n"/>
      <c r="X126" s="12">
        <f>IFERROR(VLOOKUP(A126, AZInsight_Data!$A:$AS, 40, FALSE), 1)</f>
        <v/>
      </c>
      <c r="Y126" s="13">
        <f>IFERROR(VLOOKUP(A126, IP Qty!$D:$R, 5, FALSE), 0)</f>
        <v/>
      </c>
      <c r="Z126" s="14">
        <f>IFERROR(VLOOKUP(A126, IP Qty!$D:$R, 6, FALSE), 0)</f>
        <v/>
      </c>
      <c r="AA126">
        <f>IFERROR(VLOOKUP(A126, IP Qty!$D:$R, 7, FALSE), 0)</f>
        <v/>
      </c>
      <c r="AB126">
        <f>IFERROR(VLOOKUP(A126, IP Qty!$D:$R, 9, FALSE), 0)</f>
        <v/>
      </c>
      <c r="AC126">
        <f>IFERROR(VLOOKUP(A126, IP Qty!$D:$R, 8, FALSE), 0)</f>
        <v/>
      </c>
      <c r="AD126" s="14">
        <f>IFERROR(VLOOKUP(A126, KEEPA!$A:$AW, 34, FALSE), 0)</f>
        <v/>
      </c>
      <c r="AE126" s="15">
        <f>IF(P126&gt;1, ((((M126&gt;=$AD$2)*(L126&gt;=$AH$2)) + ((M126&lt;$AD$2)*(M126&gt;=$AE$2)*(L126&gt;=$AG$2)) + ((M126&lt;$AE$2)*(M126&gt;=$AC$2)*(L126&gt;=0)))*2 * IF($AI$2=0, 1, AI126&lt;=$AI$2) * IF($AK$2=0, 1, AK126&lt;=$AK$2) * AND(N126&gt;=$D$1, H126&lt;=$I$2, G126&gt;=$H$2)), ((((M126&gt;=$AD$2)*(L126&gt;=$AH$2)) + ((M126&lt;$AD$2)*(M126&gt;=$AE$2)*(L126&gt;=$AG$2)) + ((M126&lt;$AE$2)*(M126&gt;=$AC$2)*(L126&gt;=0))) * IF($AI$2=0, 1, AI126&lt;=$AI$2) * IF($AK$2=0, 1, AK126&lt;=$AK$2) * AND(N126&gt;=$D$1, H126&lt;=$I$2, G126&gt;=$H$2)))</f>
        <v/>
      </c>
      <c r="AF126">
        <f>IF(AE126&gt;0, 1, 0)</f>
        <v/>
      </c>
      <c r="AG126">
        <f>IFERROR(IF(ISNUMBER(W126), IF(AN126, N126*W126*$AN$2, N126*W126), NA()), NA())</f>
        <v/>
      </c>
      <c r="AH126" s="13">
        <f>IFERROR(MIN(AG126, $U$2), 0)</f>
        <v/>
      </c>
      <c r="AI126" s="14">
        <f>IFERROR(VLOOKUP(A126, KEEPA!$A:$AW, 26, FALSE), 0)</f>
        <v/>
      </c>
      <c r="AJ126" s="16">
        <f>IFERROR(IF(AI126=0, 0, (AI126-H126)/H126), 0)</f>
        <v/>
      </c>
      <c r="AK126" s="14">
        <f>IFERROR(VLOOKUP(A126, KEEPA!$A:$AW, 28, FALSE), 0)</f>
        <v/>
      </c>
      <c r="AL126" s="16">
        <f>IFERROR(IF(AK126=0, 0, (AK126-H126)/H126), 0)</f>
        <v/>
      </c>
      <c r="AM126" s="13">
        <f>IFERROR(VLOOKUP(A126, AZInsight_Data!$A:$AS, 34, FALSE), 0)</f>
        <v/>
      </c>
      <c r="AN126">
        <f>IFERROR(AND(VLOOKUP(A126, KEEPA!$A:$AW, 2, FALSE)&lt;=$AO$2, N126 &gt;= $AM$2), FALSE)</f>
        <v/>
      </c>
      <c r="AO126" s="16">
        <f>IFERROR(VLOOKUP(A126, KEEPA!$A:$AW, 24, FALSE), 0)</f>
        <v/>
      </c>
      <c r="AP126" s="16">
        <f>IFERROR(VLOOKUP(A126, KEEPA!$A:$AW, 48, FALSE), 0)</f>
        <v/>
      </c>
      <c r="AQ126">
        <f>IFERROR(VLOOKUP(A126, AZInsight_Data!$A:$AS, 5, FALSE), "SL")</f>
        <v/>
      </c>
      <c r="AR126">
        <f>IF(OR(A126="", A126=0), "", HYPERLINK("https://keepa.com/#!product/1-"&amp;A126, "Keepa"))</f>
        <v/>
      </c>
      <c r="AS126">
        <f>IF(OR(A126="", A126=0), "", HYPERLINK("https://www.amazon.com/dp/"&amp;A126, "Amazon"))</f>
        <v/>
      </c>
      <c r="AT126">
        <f>IF(OR(A126="", A126=0), "", HYPERLINK("https://sellercentral.amazon.com/product-search/search?q="&amp;A126, "Check Gated"))</f>
        <v/>
      </c>
      <c r="AU126" s="12" t="n"/>
      <c r="AV126" s="12" t="n"/>
      <c r="AW126" s="12" t="n"/>
    </row>
    <row r="127">
      <c r="A127" s="12" t="n"/>
      <c r="B127" s="12">
        <f>IFERROR(VLOOKUP(A127, AZInsight_Data!$A:$AS, 3, FALSE), "")</f>
        <v/>
      </c>
      <c r="C127" s="13">
        <f>IFERROR(VLOOKUP(A127, AZInsight_Data!$A:$AS, 9, FALSE), 0)</f>
        <v/>
      </c>
      <c r="D127">
        <f>IFERROR(VLOOKUP(A127, AZInsight_Data!$A:$AS, 17, FALSE), 0)</f>
        <v/>
      </c>
      <c r="E127">
        <f>IFERROR(VLOOKUP(A127, AZInsight_Data!$A:$AS, 18, FALSE), 0)</f>
        <v/>
      </c>
      <c r="F127" s="14">
        <f>IFERROR(VLOOKUP(A127, AZInsight_Data!$A:$AS, 7, FALSE), 0)</f>
        <v/>
      </c>
      <c r="G127" s="15">
        <f>IFERROR(VLOOKUP(A127, AZInsight_Data!$A:$AS, 14, FALSE), 0)</f>
        <v/>
      </c>
      <c r="H127" s="14">
        <f>IFERROR(VLOOKUP(A127, AZInsight_Data!$A:$AS, 8, FALSE), 0)</f>
        <v/>
      </c>
      <c r="I127" s="16">
        <f>IFERROR(VLOOKUP(A127, KEEPA!$A:$AW, 47, FALSE), 0)</f>
        <v/>
      </c>
      <c r="J127">
        <f>IFERROR(VLOOKUP(A127, AZInsight_Data!$A:$AS, 25, FALSE), 0)</f>
        <v/>
      </c>
      <c r="K127" s="15">
        <f>IFERROR(VLOOKUP(A127, AZInsight_Data!$A:$AS, 16, FALSE), 0)</f>
        <v/>
      </c>
      <c r="L127" s="15">
        <f>IFERROR(K127-T127-J127, 0)</f>
        <v/>
      </c>
      <c r="M127" s="16">
        <f>IFERROR(IF(T127=0, 0, L127/T127), 0)</f>
        <v/>
      </c>
      <c r="N127" s="14">
        <f>IFERROR(C127*($V$2/30), 0)</f>
        <v/>
      </c>
      <c r="O127">
        <f>IFERROR(VLOOKUP(A127, AZInsight_Data!$A:$AS, 40, FALSE), 1)</f>
        <v/>
      </c>
      <c r="P127" s="13">
        <f>IF(O127&gt;0, O127, 1)</f>
        <v/>
      </c>
      <c r="Q127" s="13">
        <f>IFERROR(U127/P127, 0)</f>
        <v/>
      </c>
      <c r="R127">
        <f>IFERROR(VLOOKUP(A127, AZInsight_Data!$A:$AS, 36, FALSE), "")</f>
        <v/>
      </c>
      <c r="S127">
        <f>IFERROR(VLOOKUP(A127, AZInsight_Data!$A:$AS, 3, FALSE), "")</f>
        <v/>
      </c>
      <c r="T127" s="17">
        <f>IFERROR(VLOOKUP(A127, AZInsight_Data!$A:$AS, 13, FALSE), 0)</f>
        <v/>
      </c>
      <c r="U127" s="13">
        <f>AH127</f>
        <v/>
      </c>
      <c r="V127" s="15">
        <f>T127*U127</f>
        <v/>
      </c>
      <c r="W127" s="16" t="n"/>
      <c r="X127" s="12">
        <f>IFERROR(VLOOKUP(A127, AZInsight_Data!$A:$AS, 40, FALSE), 1)</f>
        <v/>
      </c>
      <c r="Y127" s="13">
        <f>IFERROR(VLOOKUP(A127, IP Qty!$D:$R, 5, FALSE), 0)</f>
        <v/>
      </c>
      <c r="Z127" s="14">
        <f>IFERROR(VLOOKUP(A127, IP Qty!$D:$R, 6, FALSE), 0)</f>
        <v/>
      </c>
      <c r="AA127">
        <f>IFERROR(VLOOKUP(A127, IP Qty!$D:$R, 7, FALSE), 0)</f>
        <v/>
      </c>
      <c r="AB127">
        <f>IFERROR(VLOOKUP(A127, IP Qty!$D:$R, 9, FALSE), 0)</f>
        <v/>
      </c>
      <c r="AC127">
        <f>IFERROR(VLOOKUP(A127, IP Qty!$D:$R, 8, FALSE), 0)</f>
        <v/>
      </c>
      <c r="AD127" s="14">
        <f>IFERROR(VLOOKUP(A127, KEEPA!$A:$AW, 34, FALSE), 0)</f>
        <v/>
      </c>
      <c r="AE127" s="15">
        <f>IF(P127&gt;1, ((((M127&gt;=$AD$2)*(L127&gt;=$AH$2)) + ((M127&lt;$AD$2)*(M127&gt;=$AE$2)*(L127&gt;=$AG$2)) + ((M127&lt;$AE$2)*(M127&gt;=$AC$2)*(L127&gt;=0)))*2 * IF($AI$2=0, 1, AI127&lt;=$AI$2) * IF($AK$2=0, 1, AK127&lt;=$AK$2) * AND(N127&gt;=$D$1, H127&lt;=$I$2, G127&gt;=$H$2)), ((((M127&gt;=$AD$2)*(L127&gt;=$AH$2)) + ((M127&lt;$AD$2)*(M127&gt;=$AE$2)*(L127&gt;=$AG$2)) + ((M127&lt;$AE$2)*(M127&gt;=$AC$2)*(L127&gt;=0))) * IF($AI$2=0, 1, AI127&lt;=$AI$2) * IF($AK$2=0, 1, AK127&lt;=$AK$2) * AND(N127&gt;=$D$1, H127&lt;=$I$2, G127&gt;=$H$2)))</f>
        <v/>
      </c>
      <c r="AF127">
        <f>IF(AE127&gt;0, 1, 0)</f>
        <v/>
      </c>
      <c r="AG127">
        <f>IFERROR(IF(ISNUMBER(W127), IF(AN127, N127*W127*$AN$2, N127*W127), NA()), NA())</f>
        <v/>
      </c>
      <c r="AH127" s="13">
        <f>IFERROR(MIN(AG127, $U$2), 0)</f>
        <v/>
      </c>
      <c r="AI127" s="14">
        <f>IFERROR(VLOOKUP(A127, KEEPA!$A:$AW, 26, FALSE), 0)</f>
        <v/>
      </c>
      <c r="AJ127" s="16">
        <f>IFERROR(IF(AI127=0, 0, (AI127-H127)/H127), 0)</f>
        <v/>
      </c>
      <c r="AK127" s="14">
        <f>IFERROR(VLOOKUP(A127, KEEPA!$A:$AW, 28, FALSE), 0)</f>
        <v/>
      </c>
      <c r="AL127" s="16">
        <f>IFERROR(IF(AK127=0, 0, (AK127-H127)/H127), 0)</f>
        <v/>
      </c>
      <c r="AM127" s="13">
        <f>IFERROR(VLOOKUP(A127, AZInsight_Data!$A:$AS, 34, FALSE), 0)</f>
        <v/>
      </c>
      <c r="AN127">
        <f>IFERROR(AND(VLOOKUP(A127, KEEPA!$A:$AW, 2, FALSE)&lt;=$AO$2, N127 &gt;= $AM$2), FALSE)</f>
        <v/>
      </c>
      <c r="AO127" s="16">
        <f>IFERROR(VLOOKUP(A127, KEEPA!$A:$AW, 24, FALSE), 0)</f>
        <v/>
      </c>
      <c r="AP127" s="16">
        <f>IFERROR(VLOOKUP(A127, KEEPA!$A:$AW, 48, FALSE), 0)</f>
        <v/>
      </c>
      <c r="AQ127">
        <f>IFERROR(VLOOKUP(A127, AZInsight_Data!$A:$AS, 5, FALSE), "SL")</f>
        <v/>
      </c>
      <c r="AR127">
        <f>IF(OR(A127="", A127=0), "", HYPERLINK("https://keepa.com/#!product/1-"&amp;A127, "Keepa"))</f>
        <v/>
      </c>
      <c r="AS127">
        <f>IF(OR(A127="", A127=0), "", HYPERLINK("https://www.amazon.com/dp/"&amp;A127, "Amazon"))</f>
        <v/>
      </c>
      <c r="AT127">
        <f>IF(OR(A127="", A127=0), "", HYPERLINK("https://sellercentral.amazon.com/product-search/search?q="&amp;A127, "Check Gated"))</f>
        <v/>
      </c>
      <c r="AU127" s="12" t="n"/>
      <c r="AV127" s="12" t="n"/>
      <c r="AW127" s="12" t="n"/>
    </row>
    <row r="128">
      <c r="A128" s="12" t="n"/>
      <c r="B128" s="12">
        <f>IFERROR(VLOOKUP(A128, AZInsight_Data!$A:$AS, 3, FALSE), "")</f>
        <v/>
      </c>
      <c r="C128" s="13">
        <f>IFERROR(VLOOKUP(A128, AZInsight_Data!$A:$AS, 9, FALSE), 0)</f>
        <v/>
      </c>
      <c r="D128">
        <f>IFERROR(VLOOKUP(A128, AZInsight_Data!$A:$AS, 17, FALSE), 0)</f>
        <v/>
      </c>
      <c r="E128">
        <f>IFERROR(VLOOKUP(A128, AZInsight_Data!$A:$AS, 18, FALSE), 0)</f>
        <v/>
      </c>
      <c r="F128" s="14">
        <f>IFERROR(VLOOKUP(A128, AZInsight_Data!$A:$AS, 7, FALSE), 0)</f>
        <v/>
      </c>
      <c r="G128" s="15">
        <f>IFERROR(VLOOKUP(A128, AZInsight_Data!$A:$AS, 14, FALSE), 0)</f>
        <v/>
      </c>
      <c r="H128" s="14">
        <f>IFERROR(VLOOKUP(A128, AZInsight_Data!$A:$AS, 8, FALSE), 0)</f>
        <v/>
      </c>
      <c r="I128" s="16">
        <f>IFERROR(VLOOKUP(A128, KEEPA!$A:$AW, 47, FALSE), 0)</f>
        <v/>
      </c>
      <c r="J128">
        <f>IFERROR(VLOOKUP(A128, AZInsight_Data!$A:$AS, 25, FALSE), 0)</f>
        <v/>
      </c>
      <c r="K128" s="15">
        <f>IFERROR(VLOOKUP(A128, AZInsight_Data!$A:$AS, 16, FALSE), 0)</f>
        <v/>
      </c>
      <c r="L128" s="15">
        <f>IFERROR(K128-T128-J128, 0)</f>
        <v/>
      </c>
      <c r="M128" s="16">
        <f>IFERROR(IF(T128=0, 0, L128/T128), 0)</f>
        <v/>
      </c>
      <c r="N128" s="14">
        <f>IFERROR(C128*($V$2/30), 0)</f>
        <v/>
      </c>
      <c r="O128">
        <f>IFERROR(VLOOKUP(A128, AZInsight_Data!$A:$AS, 40, FALSE), 1)</f>
        <v/>
      </c>
      <c r="P128" s="13">
        <f>IF(O128&gt;0, O128, 1)</f>
        <v/>
      </c>
      <c r="Q128" s="13">
        <f>IFERROR(U128/P128, 0)</f>
        <v/>
      </c>
      <c r="R128">
        <f>IFERROR(VLOOKUP(A128, AZInsight_Data!$A:$AS, 36, FALSE), "")</f>
        <v/>
      </c>
      <c r="S128">
        <f>IFERROR(VLOOKUP(A128, AZInsight_Data!$A:$AS, 3, FALSE), "")</f>
        <v/>
      </c>
      <c r="T128" s="17">
        <f>IFERROR(VLOOKUP(A128, AZInsight_Data!$A:$AS, 13, FALSE), 0)</f>
        <v/>
      </c>
      <c r="U128" s="13">
        <f>AH128</f>
        <v/>
      </c>
      <c r="V128" s="15">
        <f>T128*U128</f>
        <v/>
      </c>
      <c r="W128" s="16" t="n"/>
      <c r="X128" s="12">
        <f>IFERROR(VLOOKUP(A128, AZInsight_Data!$A:$AS, 40, FALSE), 1)</f>
        <v/>
      </c>
      <c r="Y128" s="13">
        <f>IFERROR(VLOOKUP(A128, IP Qty!$D:$R, 5, FALSE), 0)</f>
        <v/>
      </c>
      <c r="Z128" s="14">
        <f>IFERROR(VLOOKUP(A128, IP Qty!$D:$R, 6, FALSE), 0)</f>
        <v/>
      </c>
      <c r="AA128">
        <f>IFERROR(VLOOKUP(A128, IP Qty!$D:$R, 7, FALSE), 0)</f>
        <v/>
      </c>
      <c r="AB128">
        <f>IFERROR(VLOOKUP(A128, IP Qty!$D:$R, 9, FALSE), 0)</f>
        <v/>
      </c>
      <c r="AC128">
        <f>IFERROR(VLOOKUP(A128, IP Qty!$D:$R, 8, FALSE), 0)</f>
        <v/>
      </c>
      <c r="AD128" s="14">
        <f>IFERROR(VLOOKUP(A128, KEEPA!$A:$AW, 34, FALSE), 0)</f>
        <v/>
      </c>
      <c r="AE128" s="15">
        <f>IF(P128&gt;1, ((((M128&gt;=$AD$2)*(L128&gt;=$AH$2)) + ((M128&lt;$AD$2)*(M128&gt;=$AE$2)*(L128&gt;=$AG$2)) + ((M128&lt;$AE$2)*(M128&gt;=$AC$2)*(L128&gt;=0)))*2 * IF($AI$2=0, 1, AI128&lt;=$AI$2) * IF($AK$2=0, 1, AK128&lt;=$AK$2) * AND(N128&gt;=$D$1, H128&lt;=$I$2, G128&gt;=$H$2)), ((((M128&gt;=$AD$2)*(L128&gt;=$AH$2)) + ((M128&lt;$AD$2)*(M128&gt;=$AE$2)*(L128&gt;=$AG$2)) + ((M128&lt;$AE$2)*(M128&gt;=$AC$2)*(L128&gt;=0))) * IF($AI$2=0, 1, AI128&lt;=$AI$2) * IF($AK$2=0, 1, AK128&lt;=$AK$2) * AND(N128&gt;=$D$1, H128&lt;=$I$2, G128&gt;=$H$2)))</f>
        <v/>
      </c>
      <c r="AF128">
        <f>IF(AE128&gt;0, 1, 0)</f>
        <v/>
      </c>
      <c r="AG128">
        <f>IFERROR(IF(ISNUMBER(W128), IF(AN128, N128*W128*$AN$2, N128*W128), NA()), NA())</f>
        <v/>
      </c>
      <c r="AH128" s="13">
        <f>IFERROR(MIN(AG128, $U$2), 0)</f>
        <v/>
      </c>
      <c r="AI128" s="14">
        <f>IFERROR(VLOOKUP(A128, KEEPA!$A:$AW, 26, FALSE), 0)</f>
        <v/>
      </c>
      <c r="AJ128" s="16">
        <f>IFERROR(IF(AI128=0, 0, (AI128-H128)/H128), 0)</f>
        <v/>
      </c>
      <c r="AK128" s="14">
        <f>IFERROR(VLOOKUP(A128, KEEPA!$A:$AW, 28, FALSE), 0)</f>
        <v/>
      </c>
      <c r="AL128" s="16">
        <f>IFERROR(IF(AK128=0, 0, (AK128-H128)/H128), 0)</f>
        <v/>
      </c>
      <c r="AM128" s="13">
        <f>IFERROR(VLOOKUP(A128, AZInsight_Data!$A:$AS, 34, FALSE), 0)</f>
        <v/>
      </c>
      <c r="AN128">
        <f>IFERROR(AND(VLOOKUP(A128, KEEPA!$A:$AW, 2, FALSE)&lt;=$AO$2, N128 &gt;= $AM$2), FALSE)</f>
        <v/>
      </c>
      <c r="AO128" s="16">
        <f>IFERROR(VLOOKUP(A128, KEEPA!$A:$AW, 24, FALSE), 0)</f>
        <v/>
      </c>
      <c r="AP128" s="16">
        <f>IFERROR(VLOOKUP(A128, KEEPA!$A:$AW, 48, FALSE), 0)</f>
        <v/>
      </c>
      <c r="AQ128">
        <f>IFERROR(VLOOKUP(A128, AZInsight_Data!$A:$AS, 5, FALSE), "SL")</f>
        <v/>
      </c>
      <c r="AR128">
        <f>IF(OR(A128="", A128=0), "", HYPERLINK("https://keepa.com/#!product/1-"&amp;A128, "Keepa"))</f>
        <v/>
      </c>
      <c r="AS128">
        <f>IF(OR(A128="", A128=0), "", HYPERLINK("https://www.amazon.com/dp/"&amp;A128, "Amazon"))</f>
        <v/>
      </c>
      <c r="AT128">
        <f>IF(OR(A128="", A128=0), "", HYPERLINK("https://sellercentral.amazon.com/product-search/search?q="&amp;A128, "Check Gated"))</f>
        <v/>
      </c>
      <c r="AU128" s="12" t="n"/>
      <c r="AV128" s="12" t="n"/>
      <c r="AW128" s="12" t="n"/>
    </row>
    <row r="129">
      <c r="A129" s="12" t="n"/>
      <c r="B129" s="12">
        <f>IFERROR(VLOOKUP(A129, AZInsight_Data!$A:$AS, 3, FALSE), "")</f>
        <v/>
      </c>
      <c r="C129" s="13">
        <f>IFERROR(VLOOKUP(A129, AZInsight_Data!$A:$AS, 9, FALSE), 0)</f>
        <v/>
      </c>
      <c r="D129">
        <f>IFERROR(VLOOKUP(A129, AZInsight_Data!$A:$AS, 17, FALSE), 0)</f>
        <v/>
      </c>
      <c r="E129">
        <f>IFERROR(VLOOKUP(A129, AZInsight_Data!$A:$AS, 18, FALSE), 0)</f>
        <v/>
      </c>
      <c r="F129" s="14">
        <f>IFERROR(VLOOKUP(A129, AZInsight_Data!$A:$AS, 7, FALSE), 0)</f>
        <v/>
      </c>
      <c r="G129" s="15">
        <f>IFERROR(VLOOKUP(A129, AZInsight_Data!$A:$AS, 14, FALSE), 0)</f>
        <v/>
      </c>
      <c r="H129" s="14">
        <f>IFERROR(VLOOKUP(A129, AZInsight_Data!$A:$AS, 8, FALSE), 0)</f>
        <v/>
      </c>
      <c r="I129" s="16">
        <f>IFERROR(VLOOKUP(A129, KEEPA!$A:$AW, 47, FALSE), 0)</f>
        <v/>
      </c>
      <c r="J129">
        <f>IFERROR(VLOOKUP(A129, AZInsight_Data!$A:$AS, 25, FALSE), 0)</f>
        <v/>
      </c>
      <c r="K129" s="15">
        <f>IFERROR(VLOOKUP(A129, AZInsight_Data!$A:$AS, 16, FALSE), 0)</f>
        <v/>
      </c>
      <c r="L129" s="15">
        <f>IFERROR(K129-T129-J129, 0)</f>
        <v/>
      </c>
      <c r="M129" s="16">
        <f>IFERROR(IF(T129=0, 0, L129/T129), 0)</f>
        <v/>
      </c>
      <c r="N129" s="14">
        <f>IFERROR(C129*($V$2/30), 0)</f>
        <v/>
      </c>
      <c r="O129">
        <f>IFERROR(VLOOKUP(A129, AZInsight_Data!$A:$AS, 40, FALSE), 1)</f>
        <v/>
      </c>
      <c r="P129" s="13">
        <f>IF(O129&gt;0, O129, 1)</f>
        <v/>
      </c>
      <c r="Q129" s="13">
        <f>IFERROR(U129/P129, 0)</f>
        <v/>
      </c>
      <c r="R129">
        <f>IFERROR(VLOOKUP(A129, AZInsight_Data!$A:$AS, 36, FALSE), "")</f>
        <v/>
      </c>
      <c r="S129">
        <f>IFERROR(VLOOKUP(A129, AZInsight_Data!$A:$AS, 3, FALSE), "")</f>
        <v/>
      </c>
      <c r="T129" s="17">
        <f>IFERROR(VLOOKUP(A129, AZInsight_Data!$A:$AS, 13, FALSE), 0)</f>
        <v/>
      </c>
      <c r="U129" s="13">
        <f>AH129</f>
        <v/>
      </c>
      <c r="V129" s="15">
        <f>T129*U129</f>
        <v/>
      </c>
      <c r="W129" s="16" t="n"/>
      <c r="X129" s="12">
        <f>IFERROR(VLOOKUP(A129, AZInsight_Data!$A:$AS, 40, FALSE), 1)</f>
        <v/>
      </c>
      <c r="Y129" s="13">
        <f>IFERROR(VLOOKUP(A129, IP Qty!$D:$R, 5, FALSE), 0)</f>
        <v/>
      </c>
      <c r="Z129" s="14">
        <f>IFERROR(VLOOKUP(A129, IP Qty!$D:$R, 6, FALSE), 0)</f>
        <v/>
      </c>
      <c r="AA129">
        <f>IFERROR(VLOOKUP(A129, IP Qty!$D:$R, 7, FALSE), 0)</f>
        <v/>
      </c>
      <c r="AB129">
        <f>IFERROR(VLOOKUP(A129, IP Qty!$D:$R, 9, FALSE), 0)</f>
        <v/>
      </c>
      <c r="AC129">
        <f>IFERROR(VLOOKUP(A129, IP Qty!$D:$R, 8, FALSE), 0)</f>
        <v/>
      </c>
      <c r="AD129" s="14">
        <f>IFERROR(VLOOKUP(A129, KEEPA!$A:$AW, 34, FALSE), 0)</f>
        <v/>
      </c>
      <c r="AE129" s="15">
        <f>IF(P129&gt;1, ((((M129&gt;=$AD$2)*(L129&gt;=$AH$2)) + ((M129&lt;$AD$2)*(M129&gt;=$AE$2)*(L129&gt;=$AG$2)) + ((M129&lt;$AE$2)*(M129&gt;=$AC$2)*(L129&gt;=0)))*2 * IF($AI$2=0, 1, AI129&lt;=$AI$2) * IF($AK$2=0, 1, AK129&lt;=$AK$2) * AND(N129&gt;=$D$1, H129&lt;=$I$2, G129&gt;=$H$2)), ((((M129&gt;=$AD$2)*(L129&gt;=$AH$2)) + ((M129&lt;$AD$2)*(M129&gt;=$AE$2)*(L129&gt;=$AG$2)) + ((M129&lt;$AE$2)*(M129&gt;=$AC$2)*(L129&gt;=0))) * IF($AI$2=0, 1, AI129&lt;=$AI$2) * IF($AK$2=0, 1, AK129&lt;=$AK$2) * AND(N129&gt;=$D$1, H129&lt;=$I$2, G129&gt;=$H$2)))</f>
        <v/>
      </c>
      <c r="AF129">
        <f>IF(AE129&gt;0, 1, 0)</f>
        <v/>
      </c>
      <c r="AG129">
        <f>IFERROR(IF(ISNUMBER(W129), IF(AN129, N129*W129*$AN$2, N129*W129), NA()), NA())</f>
        <v/>
      </c>
      <c r="AH129" s="13">
        <f>IFERROR(MIN(AG129, $U$2), 0)</f>
        <v/>
      </c>
      <c r="AI129" s="14">
        <f>IFERROR(VLOOKUP(A129, KEEPA!$A:$AW, 26, FALSE), 0)</f>
        <v/>
      </c>
      <c r="AJ129" s="16">
        <f>IFERROR(IF(AI129=0, 0, (AI129-H129)/H129), 0)</f>
        <v/>
      </c>
      <c r="AK129" s="14">
        <f>IFERROR(VLOOKUP(A129, KEEPA!$A:$AW, 28, FALSE), 0)</f>
        <v/>
      </c>
      <c r="AL129" s="16">
        <f>IFERROR(IF(AK129=0, 0, (AK129-H129)/H129), 0)</f>
        <v/>
      </c>
      <c r="AM129" s="13">
        <f>IFERROR(VLOOKUP(A129, AZInsight_Data!$A:$AS, 34, FALSE), 0)</f>
        <v/>
      </c>
      <c r="AN129">
        <f>IFERROR(AND(VLOOKUP(A129, KEEPA!$A:$AW, 2, FALSE)&lt;=$AO$2, N129 &gt;= $AM$2), FALSE)</f>
        <v/>
      </c>
      <c r="AO129" s="16">
        <f>IFERROR(VLOOKUP(A129, KEEPA!$A:$AW, 24, FALSE), 0)</f>
        <v/>
      </c>
      <c r="AP129" s="16">
        <f>IFERROR(VLOOKUP(A129, KEEPA!$A:$AW, 48, FALSE), 0)</f>
        <v/>
      </c>
      <c r="AQ129">
        <f>IFERROR(VLOOKUP(A129, AZInsight_Data!$A:$AS, 5, FALSE), "SL")</f>
        <v/>
      </c>
      <c r="AR129">
        <f>IF(OR(A129="", A129=0), "", HYPERLINK("https://keepa.com/#!product/1-"&amp;A129, "Keepa"))</f>
        <v/>
      </c>
      <c r="AS129">
        <f>IF(OR(A129="", A129=0), "", HYPERLINK("https://www.amazon.com/dp/"&amp;A129, "Amazon"))</f>
        <v/>
      </c>
      <c r="AT129">
        <f>IF(OR(A129="", A129=0), "", HYPERLINK("https://sellercentral.amazon.com/product-search/search?q="&amp;A129, "Check Gated"))</f>
        <v/>
      </c>
      <c r="AU129" s="12" t="n"/>
      <c r="AV129" s="12" t="n"/>
      <c r="AW129" s="12" t="n"/>
    </row>
    <row r="130">
      <c r="A130" s="12" t="n"/>
      <c r="B130" s="12">
        <f>IFERROR(VLOOKUP(A130, AZInsight_Data!$A:$AS, 3, FALSE), "")</f>
        <v/>
      </c>
      <c r="C130" s="13">
        <f>IFERROR(VLOOKUP(A130, AZInsight_Data!$A:$AS, 9, FALSE), 0)</f>
        <v/>
      </c>
      <c r="D130">
        <f>IFERROR(VLOOKUP(A130, AZInsight_Data!$A:$AS, 17, FALSE), 0)</f>
        <v/>
      </c>
      <c r="E130">
        <f>IFERROR(VLOOKUP(A130, AZInsight_Data!$A:$AS, 18, FALSE), 0)</f>
        <v/>
      </c>
      <c r="F130" s="14">
        <f>IFERROR(VLOOKUP(A130, AZInsight_Data!$A:$AS, 7, FALSE), 0)</f>
        <v/>
      </c>
      <c r="G130" s="15">
        <f>IFERROR(VLOOKUP(A130, AZInsight_Data!$A:$AS, 14, FALSE), 0)</f>
        <v/>
      </c>
      <c r="H130" s="14">
        <f>IFERROR(VLOOKUP(A130, AZInsight_Data!$A:$AS, 8, FALSE), 0)</f>
        <v/>
      </c>
      <c r="I130" s="16">
        <f>IFERROR(VLOOKUP(A130, KEEPA!$A:$AW, 47, FALSE), 0)</f>
        <v/>
      </c>
      <c r="J130">
        <f>IFERROR(VLOOKUP(A130, AZInsight_Data!$A:$AS, 25, FALSE), 0)</f>
        <v/>
      </c>
      <c r="K130" s="15">
        <f>IFERROR(VLOOKUP(A130, AZInsight_Data!$A:$AS, 16, FALSE), 0)</f>
        <v/>
      </c>
      <c r="L130" s="15">
        <f>IFERROR(K130-T130-J130, 0)</f>
        <v/>
      </c>
      <c r="M130" s="16">
        <f>IFERROR(IF(T130=0, 0, L130/T130), 0)</f>
        <v/>
      </c>
      <c r="N130" s="14">
        <f>IFERROR(C130*($V$2/30), 0)</f>
        <v/>
      </c>
      <c r="O130">
        <f>IFERROR(VLOOKUP(A130, AZInsight_Data!$A:$AS, 40, FALSE), 1)</f>
        <v/>
      </c>
      <c r="P130" s="13">
        <f>IF(O130&gt;0, O130, 1)</f>
        <v/>
      </c>
      <c r="Q130" s="13">
        <f>IFERROR(U130/P130, 0)</f>
        <v/>
      </c>
      <c r="R130">
        <f>IFERROR(VLOOKUP(A130, AZInsight_Data!$A:$AS, 36, FALSE), "")</f>
        <v/>
      </c>
      <c r="S130">
        <f>IFERROR(VLOOKUP(A130, AZInsight_Data!$A:$AS, 3, FALSE), "")</f>
        <v/>
      </c>
      <c r="T130" s="17">
        <f>IFERROR(VLOOKUP(A130, AZInsight_Data!$A:$AS, 13, FALSE), 0)</f>
        <v/>
      </c>
      <c r="U130" s="13">
        <f>AH130</f>
        <v/>
      </c>
      <c r="V130" s="15">
        <f>T130*U130</f>
        <v/>
      </c>
      <c r="W130" s="16" t="n"/>
      <c r="X130" s="12">
        <f>IFERROR(VLOOKUP(A130, AZInsight_Data!$A:$AS, 40, FALSE), 1)</f>
        <v/>
      </c>
      <c r="Y130" s="13">
        <f>IFERROR(VLOOKUP(A130, IP Qty!$D:$R, 5, FALSE), 0)</f>
        <v/>
      </c>
      <c r="Z130" s="14">
        <f>IFERROR(VLOOKUP(A130, IP Qty!$D:$R, 6, FALSE), 0)</f>
        <v/>
      </c>
      <c r="AA130">
        <f>IFERROR(VLOOKUP(A130, IP Qty!$D:$R, 7, FALSE), 0)</f>
        <v/>
      </c>
      <c r="AB130">
        <f>IFERROR(VLOOKUP(A130, IP Qty!$D:$R, 9, FALSE), 0)</f>
        <v/>
      </c>
      <c r="AC130">
        <f>IFERROR(VLOOKUP(A130, IP Qty!$D:$R, 8, FALSE), 0)</f>
        <v/>
      </c>
      <c r="AD130" s="14">
        <f>IFERROR(VLOOKUP(A130, KEEPA!$A:$AW, 34, FALSE), 0)</f>
        <v/>
      </c>
      <c r="AE130" s="15">
        <f>IF(P130&gt;1, ((((M130&gt;=$AD$2)*(L130&gt;=$AH$2)) + ((M130&lt;$AD$2)*(M130&gt;=$AE$2)*(L130&gt;=$AG$2)) + ((M130&lt;$AE$2)*(M130&gt;=$AC$2)*(L130&gt;=0)))*2 * IF($AI$2=0, 1, AI130&lt;=$AI$2) * IF($AK$2=0, 1, AK130&lt;=$AK$2) * AND(N130&gt;=$D$1, H130&lt;=$I$2, G130&gt;=$H$2)), ((((M130&gt;=$AD$2)*(L130&gt;=$AH$2)) + ((M130&lt;$AD$2)*(M130&gt;=$AE$2)*(L130&gt;=$AG$2)) + ((M130&lt;$AE$2)*(M130&gt;=$AC$2)*(L130&gt;=0))) * IF($AI$2=0, 1, AI130&lt;=$AI$2) * IF($AK$2=0, 1, AK130&lt;=$AK$2) * AND(N130&gt;=$D$1, H130&lt;=$I$2, G130&gt;=$H$2)))</f>
        <v/>
      </c>
      <c r="AF130">
        <f>IF(AE130&gt;0, 1, 0)</f>
        <v/>
      </c>
      <c r="AG130">
        <f>IFERROR(IF(ISNUMBER(W130), IF(AN130, N130*W130*$AN$2, N130*W130), NA()), NA())</f>
        <v/>
      </c>
      <c r="AH130" s="13">
        <f>IFERROR(MIN(AG130, $U$2), 0)</f>
        <v/>
      </c>
      <c r="AI130" s="14">
        <f>IFERROR(VLOOKUP(A130, KEEPA!$A:$AW, 26, FALSE), 0)</f>
        <v/>
      </c>
      <c r="AJ130" s="16">
        <f>IFERROR(IF(AI130=0, 0, (AI130-H130)/H130), 0)</f>
        <v/>
      </c>
      <c r="AK130" s="14">
        <f>IFERROR(VLOOKUP(A130, KEEPA!$A:$AW, 28, FALSE), 0)</f>
        <v/>
      </c>
      <c r="AL130" s="16">
        <f>IFERROR(IF(AK130=0, 0, (AK130-H130)/H130), 0)</f>
        <v/>
      </c>
      <c r="AM130" s="13">
        <f>IFERROR(VLOOKUP(A130, AZInsight_Data!$A:$AS, 34, FALSE), 0)</f>
        <v/>
      </c>
      <c r="AN130">
        <f>IFERROR(AND(VLOOKUP(A130, KEEPA!$A:$AW, 2, FALSE)&lt;=$AO$2, N130 &gt;= $AM$2), FALSE)</f>
        <v/>
      </c>
      <c r="AO130" s="16">
        <f>IFERROR(VLOOKUP(A130, KEEPA!$A:$AW, 24, FALSE), 0)</f>
        <v/>
      </c>
      <c r="AP130" s="16">
        <f>IFERROR(VLOOKUP(A130, KEEPA!$A:$AW, 48, FALSE), 0)</f>
        <v/>
      </c>
      <c r="AQ130">
        <f>IFERROR(VLOOKUP(A130, AZInsight_Data!$A:$AS, 5, FALSE), "SL")</f>
        <v/>
      </c>
      <c r="AR130">
        <f>IF(OR(A130="", A130=0), "", HYPERLINK("https://keepa.com/#!product/1-"&amp;A130, "Keepa"))</f>
        <v/>
      </c>
      <c r="AS130">
        <f>IF(OR(A130="", A130=0), "", HYPERLINK("https://www.amazon.com/dp/"&amp;A130, "Amazon"))</f>
        <v/>
      </c>
      <c r="AT130">
        <f>IF(OR(A130="", A130=0), "", HYPERLINK("https://sellercentral.amazon.com/product-search/search?q="&amp;A130, "Check Gated"))</f>
        <v/>
      </c>
      <c r="AU130" s="12" t="n"/>
      <c r="AV130" s="12" t="n"/>
      <c r="AW130" s="12" t="n"/>
    </row>
    <row r="131">
      <c r="A131" s="12" t="n"/>
      <c r="B131" s="12">
        <f>IFERROR(VLOOKUP(A131, AZInsight_Data!$A:$AS, 3, FALSE), "")</f>
        <v/>
      </c>
      <c r="C131" s="13">
        <f>IFERROR(VLOOKUP(A131, AZInsight_Data!$A:$AS, 9, FALSE), 0)</f>
        <v/>
      </c>
      <c r="D131">
        <f>IFERROR(VLOOKUP(A131, AZInsight_Data!$A:$AS, 17, FALSE), 0)</f>
        <v/>
      </c>
      <c r="E131">
        <f>IFERROR(VLOOKUP(A131, AZInsight_Data!$A:$AS, 18, FALSE), 0)</f>
        <v/>
      </c>
      <c r="F131" s="14">
        <f>IFERROR(VLOOKUP(A131, AZInsight_Data!$A:$AS, 7, FALSE), 0)</f>
        <v/>
      </c>
      <c r="G131" s="15">
        <f>IFERROR(VLOOKUP(A131, AZInsight_Data!$A:$AS, 14, FALSE), 0)</f>
        <v/>
      </c>
      <c r="H131" s="14">
        <f>IFERROR(VLOOKUP(A131, AZInsight_Data!$A:$AS, 8, FALSE), 0)</f>
        <v/>
      </c>
      <c r="I131" s="16">
        <f>IFERROR(VLOOKUP(A131, KEEPA!$A:$AW, 47, FALSE), 0)</f>
        <v/>
      </c>
      <c r="J131">
        <f>IFERROR(VLOOKUP(A131, AZInsight_Data!$A:$AS, 25, FALSE), 0)</f>
        <v/>
      </c>
      <c r="K131" s="15">
        <f>IFERROR(VLOOKUP(A131, AZInsight_Data!$A:$AS, 16, FALSE), 0)</f>
        <v/>
      </c>
      <c r="L131" s="15">
        <f>IFERROR(K131-T131-J131, 0)</f>
        <v/>
      </c>
      <c r="M131" s="16">
        <f>IFERROR(IF(T131=0, 0, L131/T131), 0)</f>
        <v/>
      </c>
      <c r="N131" s="14">
        <f>IFERROR(C131*($V$2/30), 0)</f>
        <v/>
      </c>
      <c r="O131">
        <f>IFERROR(VLOOKUP(A131, AZInsight_Data!$A:$AS, 40, FALSE), 1)</f>
        <v/>
      </c>
      <c r="P131" s="13">
        <f>IF(O131&gt;0, O131, 1)</f>
        <v/>
      </c>
      <c r="Q131" s="13">
        <f>IFERROR(U131/P131, 0)</f>
        <v/>
      </c>
      <c r="R131">
        <f>IFERROR(VLOOKUP(A131, AZInsight_Data!$A:$AS, 36, FALSE), "")</f>
        <v/>
      </c>
      <c r="S131">
        <f>IFERROR(VLOOKUP(A131, AZInsight_Data!$A:$AS, 3, FALSE), "")</f>
        <v/>
      </c>
      <c r="T131" s="17">
        <f>IFERROR(VLOOKUP(A131, AZInsight_Data!$A:$AS, 13, FALSE), 0)</f>
        <v/>
      </c>
      <c r="U131" s="13">
        <f>AH131</f>
        <v/>
      </c>
      <c r="V131" s="15">
        <f>T131*U131</f>
        <v/>
      </c>
      <c r="W131" s="16" t="n"/>
      <c r="X131" s="12">
        <f>IFERROR(VLOOKUP(A131, AZInsight_Data!$A:$AS, 40, FALSE), 1)</f>
        <v/>
      </c>
      <c r="Y131" s="13">
        <f>IFERROR(VLOOKUP(A131, IP Qty!$D:$R, 5, FALSE), 0)</f>
        <v/>
      </c>
      <c r="Z131" s="14">
        <f>IFERROR(VLOOKUP(A131, IP Qty!$D:$R, 6, FALSE), 0)</f>
        <v/>
      </c>
      <c r="AA131">
        <f>IFERROR(VLOOKUP(A131, IP Qty!$D:$R, 7, FALSE), 0)</f>
        <v/>
      </c>
      <c r="AB131">
        <f>IFERROR(VLOOKUP(A131, IP Qty!$D:$R, 9, FALSE), 0)</f>
        <v/>
      </c>
      <c r="AC131">
        <f>IFERROR(VLOOKUP(A131, IP Qty!$D:$R, 8, FALSE), 0)</f>
        <v/>
      </c>
      <c r="AD131" s="14">
        <f>IFERROR(VLOOKUP(A131, KEEPA!$A:$AW, 34, FALSE), 0)</f>
        <v/>
      </c>
      <c r="AE131" s="15">
        <f>IF(P131&gt;1, ((((M131&gt;=$AD$2)*(L131&gt;=$AH$2)) + ((M131&lt;$AD$2)*(M131&gt;=$AE$2)*(L131&gt;=$AG$2)) + ((M131&lt;$AE$2)*(M131&gt;=$AC$2)*(L131&gt;=0)))*2 * IF($AI$2=0, 1, AI131&lt;=$AI$2) * IF($AK$2=0, 1, AK131&lt;=$AK$2) * AND(N131&gt;=$D$1, H131&lt;=$I$2, G131&gt;=$H$2)), ((((M131&gt;=$AD$2)*(L131&gt;=$AH$2)) + ((M131&lt;$AD$2)*(M131&gt;=$AE$2)*(L131&gt;=$AG$2)) + ((M131&lt;$AE$2)*(M131&gt;=$AC$2)*(L131&gt;=0))) * IF($AI$2=0, 1, AI131&lt;=$AI$2) * IF($AK$2=0, 1, AK131&lt;=$AK$2) * AND(N131&gt;=$D$1, H131&lt;=$I$2, G131&gt;=$H$2)))</f>
        <v/>
      </c>
      <c r="AF131">
        <f>IF(AE131&gt;0, 1, 0)</f>
        <v/>
      </c>
      <c r="AG131">
        <f>IFERROR(IF(ISNUMBER(W131), IF(AN131, N131*W131*$AN$2, N131*W131), NA()), NA())</f>
        <v/>
      </c>
      <c r="AH131" s="13">
        <f>IFERROR(MIN(AG131, $U$2), 0)</f>
        <v/>
      </c>
      <c r="AI131" s="14">
        <f>IFERROR(VLOOKUP(A131, KEEPA!$A:$AW, 26, FALSE), 0)</f>
        <v/>
      </c>
      <c r="AJ131" s="16">
        <f>IFERROR(IF(AI131=0, 0, (AI131-H131)/H131), 0)</f>
        <v/>
      </c>
      <c r="AK131" s="14">
        <f>IFERROR(VLOOKUP(A131, KEEPA!$A:$AW, 28, FALSE), 0)</f>
        <v/>
      </c>
      <c r="AL131" s="16">
        <f>IFERROR(IF(AK131=0, 0, (AK131-H131)/H131), 0)</f>
        <v/>
      </c>
      <c r="AM131" s="13">
        <f>IFERROR(VLOOKUP(A131, AZInsight_Data!$A:$AS, 34, FALSE), 0)</f>
        <v/>
      </c>
      <c r="AN131">
        <f>IFERROR(AND(VLOOKUP(A131, KEEPA!$A:$AW, 2, FALSE)&lt;=$AO$2, N131 &gt;= $AM$2), FALSE)</f>
        <v/>
      </c>
      <c r="AO131" s="16">
        <f>IFERROR(VLOOKUP(A131, KEEPA!$A:$AW, 24, FALSE), 0)</f>
        <v/>
      </c>
      <c r="AP131" s="16">
        <f>IFERROR(VLOOKUP(A131, KEEPA!$A:$AW, 48, FALSE), 0)</f>
        <v/>
      </c>
      <c r="AQ131">
        <f>IFERROR(VLOOKUP(A131, AZInsight_Data!$A:$AS, 5, FALSE), "SL")</f>
        <v/>
      </c>
      <c r="AR131">
        <f>IF(OR(A131="", A131=0), "", HYPERLINK("https://keepa.com/#!product/1-"&amp;A131, "Keepa"))</f>
        <v/>
      </c>
      <c r="AS131">
        <f>IF(OR(A131="", A131=0), "", HYPERLINK("https://www.amazon.com/dp/"&amp;A131, "Amazon"))</f>
        <v/>
      </c>
      <c r="AT131">
        <f>IF(OR(A131="", A131=0), "", HYPERLINK("https://sellercentral.amazon.com/product-search/search?q="&amp;A131, "Check Gated"))</f>
        <v/>
      </c>
      <c r="AU131" s="12" t="n"/>
      <c r="AV131" s="12" t="n"/>
      <c r="AW131" s="12" t="n"/>
    </row>
    <row r="132">
      <c r="A132" s="12" t="n"/>
      <c r="B132" s="12">
        <f>IFERROR(VLOOKUP(A132, AZInsight_Data!$A:$AS, 3, FALSE), "")</f>
        <v/>
      </c>
      <c r="C132" s="13">
        <f>IFERROR(VLOOKUP(A132, AZInsight_Data!$A:$AS, 9, FALSE), 0)</f>
        <v/>
      </c>
      <c r="D132">
        <f>IFERROR(VLOOKUP(A132, AZInsight_Data!$A:$AS, 17, FALSE), 0)</f>
        <v/>
      </c>
      <c r="E132">
        <f>IFERROR(VLOOKUP(A132, AZInsight_Data!$A:$AS, 18, FALSE), 0)</f>
        <v/>
      </c>
      <c r="F132" s="14">
        <f>IFERROR(VLOOKUP(A132, AZInsight_Data!$A:$AS, 7, FALSE), 0)</f>
        <v/>
      </c>
      <c r="G132" s="15">
        <f>IFERROR(VLOOKUP(A132, AZInsight_Data!$A:$AS, 14, FALSE), 0)</f>
        <v/>
      </c>
      <c r="H132" s="14">
        <f>IFERROR(VLOOKUP(A132, AZInsight_Data!$A:$AS, 8, FALSE), 0)</f>
        <v/>
      </c>
      <c r="I132" s="16">
        <f>IFERROR(VLOOKUP(A132, KEEPA!$A:$AW, 47, FALSE), 0)</f>
        <v/>
      </c>
      <c r="J132">
        <f>IFERROR(VLOOKUP(A132, AZInsight_Data!$A:$AS, 25, FALSE), 0)</f>
        <v/>
      </c>
      <c r="K132" s="15">
        <f>IFERROR(VLOOKUP(A132, AZInsight_Data!$A:$AS, 16, FALSE), 0)</f>
        <v/>
      </c>
      <c r="L132" s="15">
        <f>IFERROR(K132-T132-J132, 0)</f>
        <v/>
      </c>
      <c r="M132" s="16">
        <f>IFERROR(IF(T132=0, 0, L132/T132), 0)</f>
        <v/>
      </c>
      <c r="N132" s="14">
        <f>IFERROR(C132*($V$2/30), 0)</f>
        <v/>
      </c>
      <c r="O132">
        <f>IFERROR(VLOOKUP(A132, AZInsight_Data!$A:$AS, 40, FALSE), 1)</f>
        <v/>
      </c>
      <c r="P132" s="13">
        <f>IF(O132&gt;0, O132, 1)</f>
        <v/>
      </c>
      <c r="Q132" s="13">
        <f>IFERROR(U132/P132, 0)</f>
        <v/>
      </c>
      <c r="R132">
        <f>IFERROR(VLOOKUP(A132, AZInsight_Data!$A:$AS, 36, FALSE), "")</f>
        <v/>
      </c>
      <c r="S132">
        <f>IFERROR(VLOOKUP(A132, AZInsight_Data!$A:$AS, 3, FALSE), "")</f>
        <v/>
      </c>
      <c r="T132" s="17">
        <f>IFERROR(VLOOKUP(A132, AZInsight_Data!$A:$AS, 13, FALSE), 0)</f>
        <v/>
      </c>
      <c r="U132" s="13">
        <f>AH132</f>
        <v/>
      </c>
      <c r="V132" s="15">
        <f>T132*U132</f>
        <v/>
      </c>
      <c r="W132" s="16" t="n"/>
      <c r="X132" s="12">
        <f>IFERROR(VLOOKUP(A132, AZInsight_Data!$A:$AS, 40, FALSE), 1)</f>
        <v/>
      </c>
      <c r="Y132" s="13">
        <f>IFERROR(VLOOKUP(A132, IP Qty!$D:$R, 5, FALSE), 0)</f>
        <v/>
      </c>
      <c r="Z132" s="14">
        <f>IFERROR(VLOOKUP(A132, IP Qty!$D:$R, 6, FALSE), 0)</f>
        <v/>
      </c>
      <c r="AA132">
        <f>IFERROR(VLOOKUP(A132, IP Qty!$D:$R, 7, FALSE), 0)</f>
        <v/>
      </c>
      <c r="AB132">
        <f>IFERROR(VLOOKUP(A132, IP Qty!$D:$R, 9, FALSE), 0)</f>
        <v/>
      </c>
      <c r="AC132">
        <f>IFERROR(VLOOKUP(A132, IP Qty!$D:$R, 8, FALSE), 0)</f>
        <v/>
      </c>
      <c r="AD132" s="14">
        <f>IFERROR(VLOOKUP(A132, KEEPA!$A:$AW, 34, FALSE), 0)</f>
        <v/>
      </c>
      <c r="AE132" s="15">
        <f>IF(P132&gt;1, ((((M132&gt;=$AD$2)*(L132&gt;=$AH$2)) + ((M132&lt;$AD$2)*(M132&gt;=$AE$2)*(L132&gt;=$AG$2)) + ((M132&lt;$AE$2)*(M132&gt;=$AC$2)*(L132&gt;=0)))*2 * IF($AI$2=0, 1, AI132&lt;=$AI$2) * IF($AK$2=0, 1, AK132&lt;=$AK$2) * AND(N132&gt;=$D$1, H132&lt;=$I$2, G132&gt;=$H$2)), ((((M132&gt;=$AD$2)*(L132&gt;=$AH$2)) + ((M132&lt;$AD$2)*(M132&gt;=$AE$2)*(L132&gt;=$AG$2)) + ((M132&lt;$AE$2)*(M132&gt;=$AC$2)*(L132&gt;=0))) * IF($AI$2=0, 1, AI132&lt;=$AI$2) * IF($AK$2=0, 1, AK132&lt;=$AK$2) * AND(N132&gt;=$D$1, H132&lt;=$I$2, G132&gt;=$H$2)))</f>
        <v/>
      </c>
      <c r="AF132">
        <f>IF(AE132&gt;0, 1, 0)</f>
        <v/>
      </c>
      <c r="AG132">
        <f>IFERROR(IF(ISNUMBER(W132), IF(AN132, N132*W132*$AN$2, N132*W132), NA()), NA())</f>
        <v/>
      </c>
      <c r="AH132" s="13">
        <f>IFERROR(MIN(AG132, $U$2), 0)</f>
        <v/>
      </c>
      <c r="AI132" s="14">
        <f>IFERROR(VLOOKUP(A132, KEEPA!$A:$AW, 26, FALSE), 0)</f>
        <v/>
      </c>
      <c r="AJ132" s="16">
        <f>IFERROR(IF(AI132=0, 0, (AI132-H132)/H132), 0)</f>
        <v/>
      </c>
      <c r="AK132" s="14">
        <f>IFERROR(VLOOKUP(A132, KEEPA!$A:$AW, 28, FALSE), 0)</f>
        <v/>
      </c>
      <c r="AL132" s="16">
        <f>IFERROR(IF(AK132=0, 0, (AK132-H132)/H132), 0)</f>
        <v/>
      </c>
      <c r="AM132" s="13">
        <f>IFERROR(VLOOKUP(A132, AZInsight_Data!$A:$AS, 34, FALSE), 0)</f>
        <v/>
      </c>
      <c r="AN132">
        <f>IFERROR(AND(VLOOKUP(A132, KEEPA!$A:$AW, 2, FALSE)&lt;=$AO$2, N132 &gt;= $AM$2), FALSE)</f>
        <v/>
      </c>
      <c r="AO132" s="16">
        <f>IFERROR(VLOOKUP(A132, KEEPA!$A:$AW, 24, FALSE), 0)</f>
        <v/>
      </c>
      <c r="AP132" s="16">
        <f>IFERROR(VLOOKUP(A132, KEEPA!$A:$AW, 48, FALSE), 0)</f>
        <v/>
      </c>
      <c r="AQ132">
        <f>IFERROR(VLOOKUP(A132, AZInsight_Data!$A:$AS, 5, FALSE), "SL")</f>
        <v/>
      </c>
      <c r="AR132">
        <f>IF(OR(A132="", A132=0), "", HYPERLINK("https://keepa.com/#!product/1-"&amp;A132, "Keepa"))</f>
        <v/>
      </c>
      <c r="AS132">
        <f>IF(OR(A132="", A132=0), "", HYPERLINK("https://www.amazon.com/dp/"&amp;A132, "Amazon"))</f>
        <v/>
      </c>
      <c r="AT132">
        <f>IF(OR(A132="", A132=0), "", HYPERLINK("https://sellercentral.amazon.com/product-search/search?q="&amp;A132, "Check Gated"))</f>
        <v/>
      </c>
      <c r="AU132" s="12" t="n"/>
      <c r="AV132" s="12" t="n"/>
      <c r="AW132" s="12" t="n"/>
    </row>
    <row r="133">
      <c r="A133" s="12" t="n"/>
      <c r="B133" s="12">
        <f>IFERROR(VLOOKUP(A133, AZInsight_Data!$A:$AS, 3, FALSE), "")</f>
        <v/>
      </c>
      <c r="C133" s="13">
        <f>IFERROR(VLOOKUP(A133, AZInsight_Data!$A:$AS, 9, FALSE), 0)</f>
        <v/>
      </c>
      <c r="D133">
        <f>IFERROR(VLOOKUP(A133, AZInsight_Data!$A:$AS, 17, FALSE), 0)</f>
        <v/>
      </c>
      <c r="E133">
        <f>IFERROR(VLOOKUP(A133, AZInsight_Data!$A:$AS, 18, FALSE), 0)</f>
        <v/>
      </c>
      <c r="F133" s="14">
        <f>IFERROR(VLOOKUP(A133, AZInsight_Data!$A:$AS, 7, FALSE), 0)</f>
        <v/>
      </c>
      <c r="G133" s="15">
        <f>IFERROR(VLOOKUP(A133, AZInsight_Data!$A:$AS, 14, FALSE), 0)</f>
        <v/>
      </c>
      <c r="H133" s="14">
        <f>IFERROR(VLOOKUP(A133, AZInsight_Data!$A:$AS, 8, FALSE), 0)</f>
        <v/>
      </c>
      <c r="I133" s="16">
        <f>IFERROR(VLOOKUP(A133, KEEPA!$A:$AW, 47, FALSE), 0)</f>
        <v/>
      </c>
      <c r="J133">
        <f>IFERROR(VLOOKUP(A133, AZInsight_Data!$A:$AS, 25, FALSE), 0)</f>
        <v/>
      </c>
      <c r="K133" s="15">
        <f>IFERROR(VLOOKUP(A133, AZInsight_Data!$A:$AS, 16, FALSE), 0)</f>
        <v/>
      </c>
      <c r="L133" s="15">
        <f>IFERROR(K133-T133-J133, 0)</f>
        <v/>
      </c>
      <c r="M133" s="16">
        <f>IFERROR(IF(T133=0, 0, L133/T133), 0)</f>
        <v/>
      </c>
      <c r="N133" s="14">
        <f>IFERROR(C133*($V$2/30), 0)</f>
        <v/>
      </c>
      <c r="O133">
        <f>IFERROR(VLOOKUP(A133, AZInsight_Data!$A:$AS, 40, FALSE), 1)</f>
        <v/>
      </c>
      <c r="P133" s="13">
        <f>IF(O133&gt;0, O133, 1)</f>
        <v/>
      </c>
      <c r="Q133" s="13">
        <f>IFERROR(U133/P133, 0)</f>
        <v/>
      </c>
      <c r="R133">
        <f>IFERROR(VLOOKUP(A133, AZInsight_Data!$A:$AS, 36, FALSE), "")</f>
        <v/>
      </c>
      <c r="S133">
        <f>IFERROR(VLOOKUP(A133, AZInsight_Data!$A:$AS, 3, FALSE), "")</f>
        <v/>
      </c>
      <c r="T133" s="17">
        <f>IFERROR(VLOOKUP(A133, AZInsight_Data!$A:$AS, 13, FALSE), 0)</f>
        <v/>
      </c>
      <c r="U133" s="13">
        <f>AH133</f>
        <v/>
      </c>
      <c r="V133" s="15">
        <f>T133*U133</f>
        <v/>
      </c>
      <c r="W133" s="16" t="n"/>
      <c r="X133" s="12">
        <f>IFERROR(VLOOKUP(A133, AZInsight_Data!$A:$AS, 40, FALSE), 1)</f>
        <v/>
      </c>
      <c r="Y133" s="13">
        <f>IFERROR(VLOOKUP(A133, IP Qty!$D:$R, 5, FALSE), 0)</f>
        <v/>
      </c>
      <c r="Z133" s="14">
        <f>IFERROR(VLOOKUP(A133, IP Qty!$D:$R, 6, FALSE), 0)</f>
        <v/>
      </c>
      <c r="AA133">
        <f>IFERROR(VLOOKUP(A133, IP Qty!$D:$R, 7, FALSE), 0)</f>
        <v/>
      </c>
      <c r="AB133">
        <f>IFERROR(VLOOKUP(A133, IP Qty!$D:$R, 9, FALSE), 0)</f>
        <v/>
      </c>
      <c r="AC133">
        <f>IFERROR(VLOOKUP(A133, IP Qty!$D:$R, 8, FALSE), 0)</f>
        <v/>
      </c>
      <c r="AD133" s="14">
        <f>IFERROR(VLOOKUP(A133, KEEPA!$A:$AW, 34, FALSE), 0)</f>
        <v/>
      </c>
      <c r="AE133" s="15">
        <f>IF(P133&gt;1, ((((M133&gt;=$AD$2)*(L133&gt;=$AH$2)) + ((M133&lt;$AD$2)*(M133&gt;=$AE$2)*(L133&gt;=$AG$2)) + ((M133&lt;$AE$2)*(M133&gt;=$AC$2)*(L133&gt;=0)))*2 * IF($AI$2=0, 1, AI133&lt;=$AI$2) * IF($AK$2=0, 1, AK133&lt;=$AK$2) * AND(N133&gt;=$D$1, H133&lt;=$I$2, G133&gt;=$H$2)), ((((M133&gt;=$AD$2)*(L133&gt;=$AH$2)) + ((M133&lt;$AD$2)*(M133&gt;=$AE$2)*(L133&gt;=$AG$2)) + ((M133&lt;$AE$2)*(M133&gt;=$AC$2)*(L133&gt;=0))) * IF($AI$2=0, 1, AI133&lt;=$AI$2) * IF($AK$2=0, 1, AK133&lt;=$AK$2) * AND(N133&gt;=$D$1, H133&lt;=$I$2, G133&gt;=$H$2)))</f>
        <v/>
      </c>
      <c r="AF133">
        <f>IF(AE133&gt;0, 1, 0)</f>
        <v/>
      </c>
      <c r="AG133">
        <f>IFERROR(IF(ISNUMBER(W133), IF(AN133, N133*W133*$AN$2, N133*W133), NA()), NA())</f>
        <v/>
      </c>
      <c r="AH133" s="13">
        <f>IFERROR(MIN(AG133, $U$2), 0)</f>
        <v/>
      </c>
      <c r="AI133" s="14">
        <f>IFERROR(VLOOKUP(A133, KEEPA!$A:$AW, 26, FALSE), 0)</f>
        <v/>
      </c>
      <c r="AJ133" s="16">
        <f>IFERROR(IF(AI133=0, 0, (AI133-H133)/H133), 0)</f>
        <v/>
      </c>
      <c r="AK133" s="14">
        <f>IFERROR(VLOOKUP(A133, KEEPA!$A:$AW, 28, FALSE), 0)</f>
        <v/>
      </c>
      <c r="AL133" s="16">
        <f>IFERROR(IF(AK133=0, 0, (AK133-H133)/H133), 0)</f>
        <v/>
      </c>
      <c r="AM133" s="13">
        <f>IFERROR(VLOOKUP(A133, AZInsight_Data!$A:$AS, 34, FALSE), 0)</f>
        <v/>
      </c>
      <c r="AN133">
        <f>IFERROR(AND(VLOOKUP(A133, KEEPA!$A:$AW, 2, FALSE)&lt;=$AO$2, N133 &gt;= $AM$2), FALSE)</f>
        <v/>
      </c>
      <c r="AO133" s="16">
        <f>IFERROR(VLOOKUP(A133, KEEPA!$A:$AW, 24, FALSE), 0)</f>
        <v/>
      </c>
      <c r="AP133" s="16">
        <f>IFERROR(VLOOKUP(A133, KEEPA!$A:$AW, 48, FALSE), 0)</f>
        <v/>
      </c>
      <c r="AQ133">
        <f>IFERROR(VLOOKUP(A133, AZInsight_Data!$A:$AS, 5, FALSE), "SL")</f>
        <v/>
      </c>
      <c r="AR133">
        <f>IF(OR(A133="", A133=0), "", HYPERLINK("https://keepa.com/#!product/1-"&amp;A133, "Keepa"))</f>
        <v/>
      </c>
      <c r="AS133">
        <f>IF(OR(A133="", A133=0), "", HYPERLINK("https://www.amazon.com/dp/"&amp;A133, "Amazon"))</f>
        <v/>
      </c>
      <c r="AT133">
        <f>IF(OR(A133="", A133=0), "", HYPERLINK("https://sellercentral.amazon.com/product-search/search?q="&amp;A133, "Check Gated"))</f>
        <v/>
      </c>
      <c r="AU133" s="12" t="n"/>
      <c r="AV133" s="12" t="n"/>
      <c r="AW133" s="12" t="n"/>
    </row>
    <row r="134">
      <c r="A134" s="12" t="n"/>
      <c r="B134" s="12">
        <f>IFERROR(VLOOKUP(A134, AZInsight_Data!$A:$AS, 3, FALSE), "")</f>
        <v/>
      </c>
      <c r="C134" s="13">
        <f>IFERROR(VLOOKUP(A134, AZInsight_Data!$A:$AS, 9, FALSE), 0)</f>
        <v/>
      </c>
      <c r="D134">
        <f>IFERROR(VLOOKUP(A134, AZInsight_Data!$A:$AS, 17, FALSE), 0)</f>
        <v/>
      </c>
      <c r="E134">
        <f>IFERROR(VLOOKUP(A134, AZInsight_Data!$A:$AS, 18, FALSE), 0)</f>
        <v/>
      </c>
      <c r="F134" s="14">
        <f>IFERROR(VLOOKUP(A134, AZInsight_Data!$A:$AS, 7, FALSE), 0)</f>
        <v/>
      </c>
      <c r="G134" s="15">
        <f>IFERROR(VLOOKUP(A134, AZInsight_Data!$A:$AS, 14, FALSE), 0)</f>
        <v/>
      </c>
      <c r="H134" s="14">
        <f>IFERROR(VLOOKUP(A134, AZInsight_Data!$A:$AS, 8, FALSE), 0)</f>
        <v/>
      </c>
      <c r="I134" s="16">
        <f>IFERROR(VLOOKUP(A134, KEEPA!$A:$AW, 47, FALSE), 0)</f>
        <v/>
      </c>
      <c r="J134">
        <f>IFERROR(VLOOKUP(A134, AZInsight_Data!$A:$AS, 25, FALSE), 0)</f>
        <v/>
      </c>
      <c r="K134" s="15">
        <f>IFERROR(VLOOKUP(A134, AZInsight_Data!$A:$AS, 16, FALSE), 0)</f>
        <v/>
      </c>
      <c r="L134" s="15">
        <f>IFERROR(K134-T134-J134, 0)</f>
        <v/>
      </c>
      <c r="M134" s="16">
        <f>IFERROR(IF(T134=0, 0, L134/T134), 0)</f>
        <v/>
      </c>
      <c r="N134" s="14">
        <f>IFERROR(C134*($V$2/30), 0)</f>
        <v/>
      </c>
      <c r="O134">
        <f>IFERROR(VLOOKUP(A134, AZInsight_Data!$A:$AS, 40, FALSE), 1)</f>
        <v/>
      </c>
      <c r="P134" s="13">
        <f>IF(O134&gt;0, O134, 1)</f>
        <v/>
      </c>
      <c r="Q134" s="13">
        <f>IFERROR(U134/P134, 0)</f>
        <v/>
      </c>
      <c r="R134">
        <f>IFERROR(VLOOKUP(A134, AZInsight_Data!$A:$AS, 36, FALSE), "")</f>
        <v/>
      </c>
      <c r="S134">
        <f>IFERROR(VLOOKUP(A134, AZInsight_Data!$A:$AS, 3, FALSE), "")</f>
        <v/>
      </c>
      <c r="T134" s="17">
        <f>IFERROR(VLOOKUP(A134, AZInsight_Data!$A:$AS, 13, FALSE), 0)</f>
        <v/>
      </c>
      <c r="U134" s="13">
        <f>AH134</f>
        <v/>
      </c>
      <c r="V134" s="15">
        <f>T134*U134</f>
        <v/>
      </c>
      <c r="W134" s="16" t="n"/>
      <c r="X134" s="12">
        <f>IFERROR(VLOOKUP(A134, AZInsight_Data!$A:$AS, 40, FALSE), 1)</f>
        <v/>
      </c>
      <c r="Y134" s="13">
        <f>IFERROR(VLOOKUP(A134, IP Qty!$D:$R, 5, FALSE), 0)</f>
        <v/>
      </c>
      <c r="Z134" s="14">
        <f>IFERROR(VLOOKUP(A134, IP Qty!$D:$R, 6, FALSE), 0)</f>
        <v/>
      </c>
      <c r="AA134">
        <f>IFERROR(VLOOKUP(A134, IP Qty!$D:$R, 7, FALSE), 0)</f>
        <v/>
      </c>
      <c r="AB134">
        <f>IFERROR(VLOOKUP(A134, IP Qty!$D:$R, 9, FALSE), 0)</f>
        <v/>
      </c>
      <c r="AC134">
        <f>IFERROR(VLOOKUP(A134, IP Qty!$D:$R, 8, FALSE), 0)</f>
        <v/>
      </c>
      <c r="AD134" s="14">
        <f>IFERROR(VLOOKUP(A134, KEEPA!$A:$AW, 34, FALSE), 0)</f>
        <v/>
      </c>
      <c r="AE134" s="15">
        <f>IF(P134&gt;1, ((((M134&gt;=$AD$2)*(L134&gt;=$AH$2)) + ((M134&lt;$AD$2)*(M134&gt;=$AE$2)*(L134&gt;=$AG$2)) + ((M134&lt;$AE$2)*(M134&gt;=$AC$2)*(L134&gt;=0)))*2 * IF($AI$2=0, 1, AI134&lt;=$AI$2) * IF($AK$2=0, 1, AK134&lt;=$AK$2) * AND(N134&gt;=$D$1, H134&lt;=$I$2, G134&gt;=$H$2)), ((((M134&gt;=$AD$2)*(L134&gt;=$AH$2)) + ((M134&lt;$AD$2)*(M134&gt;=$AE$2)*(L134&gt;=$AG$2)) + ((M134&lt;$AE$2)*(M134&gt;=$AC$2)*(L134&gt;=0))) * IF($AI$2=0, 1, AI134&lt;=$AI$2) * IF($AK$2=0, 1, AK134&lt;=$AK$2) * AND(N134&gt;=$D$1, H134&lt;=$I$2, G134&gt;=$H$2)))</f>
        <v/>
      </c>
      <c r="AF134">
        <f>IF(AE134&gt;0, 1, 0)</f>
        <v/>
      </c>
      <c r="AG134">
        <f>IFERROR(IF(ISNUMBER(W134), IF(AN134, N134*W134*$AN$2, N134*W134), NA()), NA())</f>
        <v/>
      </c>
      <c r="AH134" s="13">
        <f>IFERROR(MIN(AG134, $U$2), 0)</f>
        <v/>
      </c>
      <c r="AI134" s="14">
        <f>IFERROR(VLOOKUP(A134, KEEPA!$A:$AW, 26, FALSE), 0)</f>
        <v/>
      </c>
      <c r="AJ134" s="16">
        <f>IFERROR(IF(AI134=0, 0, (AI134-H134)/H134), 0)</f>
        <v/>
      </c>
      <c r="AK134" s="14">
        <f>IFERROR(VLOOKUP(A134, KEEPA!$A:$AW, 28, FALSE), 0)</f>
        <v/>
      </c>
      <c r="AL134" s="16">
        <f>IFERROR(IF(AK134=0, 0, (AK134-H134)/H134), 0)</f>
        <v/>
      </c>
      <c r="AM134" s="13">
        <f>IFERROR(VLOOKUP(A134, AZInsight_Data!$A:$AS, 34, FALSE), 0)</f>
        <v/>
      </c>
      <c r="AN134">
        <f>IFERROR(AND(VLOOKUP(A134, KEEPA!$A:$AW, 2, FALSE)&lt;=$AO$2, N134 &gt;= $AM$2), FALSE)</f>
        <v/>
      </c>
      <c r="AO134" s="16">
        <f>IFERROR(VLOOKUP(A134, KEEPA!$A:$AW, 24, FALSE), 0)</f>
        <v/>
      </c>
      <c r="AP134" s="16">
        <f>IFERROR(VLOOKUP(A134, KEEPA!$A:$AW, 48, FALSE), 0)</f>
        <v/>
      </c>
      <c r="AQ134">
        <f>IFERROR(VLOOKUP(A134, AZInsight_Data!$A:$AS, 5, FALSE), "SL")</f>
        <v/>
      </c>
      <c r="AR134">
        <f>IF(OR(A134="", A134=0), "", HYPERLINK("https://keepa.com/#!product/1-"&amp;A134, "Keepa"))</f>
        <v/>
      </c>
      <c r="AS134">
        <f>IF(OR(A134="", A134=0), "", HYPERLINK("https://www.amazon.com/dp/"&amp;A134, "Amazon"))</f>
        <v/>
      </c>
      <c r="AT134">
        <f>IF(OR(A134="", A134=0), "", HYPERLINK("https://sellercentral.amazon.com/product-search/search?q="&amp;A134, "Check Gated"))</f>
        <v/>
      </c>
      <c r="AU134" s="12" t="n"/>
      <c r="AV134" s="12" t="n"/>
      <c r="AW134" s="12" t="n"/>
    </row>
    <row r="135">
      <c r="A135" s="12" t="n"/>
      <c r="B135" s="12">
        <f>IFERROR(VLOOKUP(A135, AZInsight_Data!$A:$AS, 3, FALSE), "")</f>
        <v/>
      </c>
      <c r="C135" s="13">
        <f>IFERROR(VLOOKUP(A135, AZInsight_Data!$A:$AS, 9, FALSE), 0)</f>
        <v/>
      </c>
      <c r="D135">
        <f>IFERROR(VLOOKUP(A135, AZInsight_Data!$A:$AS, 17, FALSE), 0)</f>
        <v/>
      </c>
      <c r="E135">
        <f>IFERROR(VLOOKUP(A135, AZInsight_Data!$A:$AS, 18, FALSE), 0)</f>
        <v/>
      </c>
      <c r="F135" s="14">
        <f>IFERROR(VLOOKUP(A135, AZInsight_Data!$A:$AS, 7, FALSE), 0)</f>
        <v/>
      </c>
      <c r="G135" s="15">
        <f>IFERROR(VLOOKUP(A135, AZInsight_Data!$A:$AS, 14, FALSE), 0)</f>
        <v/>
      </c>
      <c r="H135" s="14">
        <f>IFERROR(VLOOKUP(A135, AZInsight_Data!$A:$AS, 8, FALSE), 0)</f>
        <v/>
      </c>
      <c r="I135" s="16">
        <f>IFERROR(VLOOKUP(A135, KEEPA!$A:$AW, 47, FALSE), 0)</f>
        <v/>
      </c>
      <c r="J135">
        <f>IFERROR(VLOOKUP(A135, AZInsight_Data!$A:$AS, 25, FALSE), 0)</f>
        <v/>
      </c>
      <c r="K135" s="15">
        <f>IFERROR(VLOOKUP(A135, AZInsight_Data!$A:$AS, 16, FALSE), 0)</f>
        <v/>
      </c>
      <c r="L135" s="15">
        <f>IFERROR(K135-T135-J135, 0)</f>
        <v/>
      </c>
      <c r="M135" s="16">
        <f>IFERROR(IF(T135=0, 0, L135/T135), 0)</f>
        <v/>
      </c>
      <c r="N135" s="14">
        <f>IFERROR(C135*($V$2/30), 0)</f>
        <v/>
      </c>
      <c r="O135">
        <f>IFERROR(VLOOKUP(A135, AZInsight_Data!$A:$AS, 40, FALSE), 1)</f>
        <v/>
      </c>
      <c r="P135" s="13">
        <f>IF(O135&gt;0, O135, 1)</f>
        <v/>
      </c>
      <c r="Q135" s="13">
        <f>IFERROR(U135/P135, 0)</f>
        <v/>
      </c>
      <c r="R135">
        <f>IFERROR(VLOOKUP(A135, AZInsight_Data!$A:$AS, 36, FALSE), "")</f>
        <v/>
      </c>
      <c r="S135">
        <f>IFERROR(VLOOKUP(A135, AZInsight_Data!$A:$AS, 3, FALSE), "")</f>
        <v/>
      </c>
      <c r="T135" s="17">
        <f>IFERROR(VLOOKUP(A135, AZInsight_Data!$A:$AS, 13, FALSE), 0)</f>
        <v/>
      </c>
      <c r="U135" s="13">
        <f>AH135</f>
        <v/>
      </c>
      <c r="V135" s="15">
        <f>T135*U135</f>
        <v/>
      </c>
      <c r="W135" s="16" t="n"/>
      <c r="X135" s="12">
        <f>IFERROR(VLOOKUP(A135, AZInsight_Data!$A:$AS, 40, FALSE), 1)</f>
        <v/>
      </c>
      <c r="Y135" s="13">
        <f>IFERROR(VLOOKUP(A135, IP Qty!$D:$R, 5, FALSE), 0)</f>
        <v/>
      </c>
      <c r="Z135" s="14">
        <f>IFERROR(VLOOKUP(A135, IP Qty!$D:$R, 6, FALSE), 0)</f>
        <v/>
      </c>
      <c r="AA135">
        <f>IFERROR(VLOOKUP(A135, IP Qty!$D:$R, 7, FALSE), 0)</f>
        <v/>
      </c>
      <c r="AB135">
        <f>IFERROR(VLOOKUP(A135, IP Qty!$D:$R, 9, FALSE), 0)</f>
        <v/>
      </c>
      <c r="AC135">
        <f>IFERROR(VLOOKUP(A135, IP Qty!$D:$R, 8, FALSE), 0)</f>
        <v/>
      </c>
      <c r="AD135" s="14">
        <f>IFERROR(VLOOKUP(A135, KEEPA!$A:$AW, 34, FALSE), 0)</f>
        <v/>
      </c>
      <c r="AE135" s="15">
        <f>IF(P135&gt;1, ((((M135&gt;=$AD$2)*(L135&gt;=$AH$2)) + ((M135&lt;$AD$2)*(M135&gt;=$AE$2)*(L135&gt;=$AG$2)) + ((M135&lt;$AE$2)*(M135&gt;=$AC$2)*(L135&gt;=0)))*2 * IF($AI$2=0, 1, AI135&lt;=$AI$2) * IF($AK$2=0, 1, AK135&lt;=$AK$2) * AND(N135&gt;=$D$1, H135&lt;=$I$2, G135&gt;=$H$2)), ((((M135&gt;=$AD$2)*(L135&gt;=$AH$2)) + ((M135&lt;$AD$2)*(M135&gt;=$AE$2)*(L135&gt;=$AG$2)) + ((M135&lt;$AE$2)*(M135&gt;=$AC$2)*(L135&gt;=0))) * IF($AI$2=0, 1, AI135&lt;=$AI$2) * IF($AK$2=0, 1, AK135&lt;=$AK$2) * AND(N135&gt;=$D$1, H135&lt;=$I$2, G135&gt;=$H$2)))</f>
        <v/>
      </c>
      <c r="AF135">
        <f>IF(AE135&gt;0, 1, 0)</f>
        <v/>
      </c>
      <c r="AG135">
        <f>IFERROR(IF(ISNUMBER(W135), IF(AN135, N135*W135*$AN$2, N135*W135), NA()), NA())</f>
        <v/>
      </c>
      <c r="AH135" s="13">
        <f>IFERROR(MIN(AG135, $U$2), 0)</f>
        <v/>
      </c>
      <c r="AI135" s="14">
        <f>IFERROR(VLOOKUP(A135, KEEPA!$A:$AW, 26, FALSE), 0)</f>
        <v/>
      </c>
      <c r="AJ135" s="16">
        <f>IFERROR(IF(AI135=0, 0, (AI135-H135)/H135), 0)</f>
        <v/>
      </c>
      <c r="AK135" s="14">
        <f>IFERROR(VLOOKUP(A135, KEEPA!$A:$AW, 28, FALSE), 0)</f>
        <v/>
      </c>
      <c r="AL135" s="16">
        <f>IFERROR(IF(AK135=0, 0, (AK135-H135)/H135), 0)</f>
        <v/>
      </c>
      <c r="AM135" s="13">
        <f>IFERROR(VLOOKUP(A135, AZInsight_Data!$A:$AS, 34, FALSE), 0)</f>
        <v/>
      </c>
      <c r="AN135">
        <f>IFERROR(AND(VLOOKUP(A135, KEEPA!$A:$AW, 2, FALSE)&lt;=$AO$2, N135 &gt;= $AM$2), FALSE)</f>
        <v/>
      </c>
      <c r="AO135" s="16">
        <f>IFERROR(VLOOKUP(A135, KEEPA!$A:$AW, 24, FALSE), 0)</f>
        <v/>
      </c>
      <c r="AP135" s="16">
        <f>IFERROR(VLOOKUP(A135, KEEPA!$A:$AW, 48, FALSE), 0)</f>
        <v/>
      </c>
      <c r="AQ135">
        <f>IFERROR(VLOOKUP(A135, AZInsight_Data!$A:$AS, 5, FALSE), "SL")</f>
        <v/>
      </c>
      <c r="AR135">
        <f>IF(OR(A135="", A135=0), "", HYPERLINK("https://keepa.com/#!product/1-"&amp;A135, "Keepa"))</f>
        <v/>
      </c>
      <c r="AS135">
        <f>IF(OR(A135="", A135=0), "", HYPERLINK("https://www.amazon.com/dp/"&amp;A135, "Amazon"))</f>
        <v/>
      </c>
      <c r="AT135">
        <f>IF(OR(A135="", A135=0), "", HYPERLINK("https://sellercentral.amazon.com/product-search/search?q="&amp;A135, "Check Gated"))</f>
        <v/>
      </c>
      <c r="AU135" s="12" t="n"/>
      <c r="AV135" s="12" t="n"/>
      <c r="AW135" s="12" t="n"/>
    </row>
    <row r="136">
      <c r="A136" s="12" t="n"/>
      <c r="B136" s="12">
        <f>IFERROR(VLOOKUP(A136, AZInsight_Data!$A:$AS, 3, FALSE), "")</f>
        <v/>
      </c>
      <c r="C136" s="13">
        <f>IFERROR(VLOOKUP(A136, AZInsight_Data!$A:$AS, 9, FALSE), 0)</f>
        <v/>
      </c>
      <c r="D136">
        <f>IFERROR(VLOOKUP(A136, AZInsight_Data!$A:$AS, 17, FALSE), 0)</f>
        <v/>
      </c>
      <c r="E136">
        <f>IFERROR(VLOOKUP(A136, AZInsight_Data!$A:$AS, 18, FALSE), 0)</f>
        <v/>
      </c>
      <c r="F136" s="14">
        <f>IFERROR(VLOOKUP(A136, AZInsight_Data!$A:$AS, 7, FALSE), 0)</f>
        <v/>
      </c>
      <c r="G136" s="15">
        <f>IFERROR(VLOOKUP(A136, AZInsight_Data!$A:$AS, 14, FALSE), 0)</f>
        <v/>
      </c>
      <c r="H136" s="14">
        <f>IFERROR(VLOOKUP(A136, AZInsight_Data!$A:$AS, 8, FALSE), 0)</f>
        <v/>
      </c>
      <c r="I136" s="16">
        <f>IFERROR(VLOOKUP(A136, KEEPA!$A:$AW, 47, FALSE), 0)</f>
        <v/>
      </c>
      <c r="J136">
        <f>IFERROR(VLOOKUP(A136, AZInsight_Data!$A:$AS, 25, FALSE), 0)</f>
        <v/>
      </c>
      <c r="K136" s="15">
        <f>IFERROR(VLOOKUP(A136, AZInsight_Data!$A:$AS, 16, FALSE), 0)</f>
        <v/>
      </c>
      <c r="L136" s="15">
        <f>IFERROR(K136-T136-J136, 0)</f>
        <v/>
      </c>
      <c r="M136" s="16">
        <f>IFERROR(IF(T136=0, 0, L136/T136), 0)</f>
        <v/>
      </c>
      <c r="N136" s="14">
        <f>IFERROR(C136*($V$2/30), 0)</f>
        <v/>
      </c>
      <c r="O136">
        <f>IFERROR(VLOOKUP(A136, AZInsight_Data!$A:$AS, 40, FALSE), 1)</f>
        <v/>
      </c>
      <c r="P136" s="13">
        <f>IF(O136&gt;0, O136, 1)</f>
        <v/>
      </c>
      <c r="Q136" s="13">
        <f>IFERROR(U136/P136, 0)</f>
        <v/>
      </c>
      <c r="R136">
        <f>IFERROR(VLOOKUP(A136, AZInsight_Data!$A:$AS, 36, FALSE), "")</f>
        <v/>
      </c>
      <c r="S136">
        <f>IFERROR(VLOOKUP(A136, AZInsight_Data!$A:$AS, 3, FALSE), "")</f>
        <v/>
      </c>
      <c r="T136" s="17">
        <f>IFERROR(VLOOKUP(A136, AZInsight_Data!$A:$AS, 13, FALSE), 0)</f>
        <v/>
      </c>
      <c r="U136" s="13">
        <f>AH136</f>
        <v/>
      </c>
      <c r="V136" s="15">
        <f>T136*U136</f>
        <v/>
      </c>
      <c r="W136" s="16" t="n"/>
      <c r="X136" s="12">
        <f>IFERROR(VLOOKUP(A136, AZInsight_Data!$A:$AS, 40, FALSE), 1)</f>
        <v/>
      </c>
      <c r="Y136" s="13">
        <f>IFERROR(VLOOKUP(A136, IP Qty!$D:$R, 5, FALSE), 0)</f>
        <v/>
      </c>
      <c r="Z136" s="14">
        <f>IFERROR(VLOOKUP(A136, IP Qty!$D:$R, 6, FALSE), 0)</f>
        <v/>
      </c>
      <c r="AA136">
        <f>IFERROR(VLOOKUP(A136, IP Qty!$D:$R, 7, FALSE), 0)</f>
        <v/>
      </c>
      <c r="AB136">
        <f>IFERROR(VLOOKUP(A136, IP Qty!$D:$R, 9, FALSE), 0)</f>
        <v/>
      </c>
      <c r="AC136">
        <f>IFERROR(VLOOKUP(A136, IP Qty!$D:$R, 8, FALSE), 0)</f>
        <v/>
      </c>
      <c r="AD136" s="14">
        <f>IFERROR(VLOOKUP(A136, KEEPA!$A:$AW, 34, FALSE), 0)</f>
        <v/>
      </c>
      <c r="AE136" s="15">
        <f>IF(P136&gt;1, ((((M136&gt;=$AD$2)*(L136&gt;=$AH$2)) + ((M136&lt;$AD$2)*(M136&gt;=$AE$2)*(L136&gt;=$AG$2)) + ((M136&lt;$AE$2)*(M136&gt;=$AC$2)*(L136&gt;=0)))*2 * IF($AI$2=0, 1, AI136&lt;=$AI$2) * IF($AK$2=0, 1, AK136&lt;=$AK$2) * AND(N136&gt;=$D$1, H136&lt;=$I$2, G136&gt;=$H$2)), ((((M136&gt;=$AD$2)*(L136&gt;=$AH$2)) + ((M136&lt;$AD$2)*(M136&gt;=$AE$2)*(L136&gt;=$AG$2)) + ((M136&lt;$AE$2)*(M136&gt;=$AC$2)*(L136&gt;=0))) * IF($AI$2=0, 1, AI136&lt;=$AI$2) * IF($AK$2=0, 1, AK136&lt;=$AK$2) * AND(N136&gt;=$D$1, H136&lt;=$I$2, G136&gt;=$H$2)))</f>
        <v/>
      </c>
      <c r="AF136">
        <f>IF(AE136&gt;0, 1, 0)</f>
        <v/>
      </c>
      <c r="AG136">
        <f>IFERROR(IF(ISNUMBER(W136), IF(AN136, N136*W136*$AN$2, N136*W136), NA()), NA())</f>
        <v/>
      </c>
      <c r="AH136" s="13">
        <f>IFERROR(MIN(AG136, $U$2), 0)</f>
        <v/>
      </c>
      <c r="AI136" s="14">
        <f>IFERROR(VLOOKUP(A136, KEEPA!$A:$AW, 26, FALSE), 0)</f>
        <v/>
      </c>
      <c r="AJ136" s="16">
        <f>IFERROR(IF(AI136=0, 0, (AI136-H136)/H136), 0)</f>
        <v/>
      </c>
      <c r="AK136" s="14">
        <f>IFERROR(VLOOKUP(A136, KEEPA!$A:$AW, 28, FALSE), 0)</f>
        <v/>
      </c>
      <c r="AL136" s="16">
        <f>IFERROR(IF(AK136=0, 0, (AK136-H136)/H136), 0)</f>
        <v/>
      </c>
      <c r="AM136" s="13">
        <f>IFERROR(VLOOKUP(A136, AZInsight_Data!$A:$AS, 34, FALSE), 0)</f>
        <v/>
      </c>
      <c r="AN136">
        <f>IFERROR(AND(VLOOKUP(A136, KEEPA!$A:$AW, 2, FALSE)&lt;=$AO$2, N136 &gt;= $AM$2), FALSE)</f>
        <v/>
      </c>
      <c r="AO136" s="16">
        <f>IFERROR(VLOOKUP(A136, KEEPA!$A:$AW, 24, FALSE), 0)</f>
        <v/>
      </c>
      <c r="AP136" s="16">
        <f>IFERROR(VLOOKUP(A136, KEEPA!$A:$AW, 48, FALSE), 0)</f>
        <v/>
      </c>
      <c r="AQ136">
        <f>IFERROR(VLOOKUP(A136, AZInsight_Data!$A:$AS, 5, FALSE), "SL")</f>
        <v/>
      </c>
      <c r="AR136">
        <f>IF(OR(A136="", A136=0), "", HYPERLINK("https://keepa.com/#!product/1-"&amp;A136, "Keepa"))</f>
        <v/>
      </c>
      <c r="AS136">
        <f>IF(OR(A136="", A136=0), "", HYPERLINK("https://www.amazon.com/dp/"&amp;A136, "Amazon"))</f>
        <v/>
      </c>
      <c r="AT136">
        <f>IF(OR(A136="", A136=0), "", HYPERLINK("https://sellercentral.amazon.com/product-search/search?q="&amp;A136, "Check Gated"))</f>
        <v/>
      </c>
      <c r="AU136" s="12" t="n"/>
      <c r="AV136" s="12" t="n"/>
      <c r="AW136" s="12" t="n"/>
    </row>
    <row r="137">
      <c r="A137" s="12" t="n"/>
      <c r="B137" s="12">
        <f>IFERROR(VLOOKUP(A137, AZInsight_Data!$A:$AS, 3, FALSE), "")</f>
        <v/>
      </c>
      <c r="C137" s="13">
        <f>IFERROR(VLOOKUP(A137, AZInsight_Data!$A:$AS, 9, FALSE), 0)</f>
        <v/>
      </c>
      <c r="D137">
        <f>IFERROR(VLOOKUP(A137, AZInsight_Data!$A:$AS, 17, FALSE), 0)</f>
        <v/>
      </c>
      <c r="E137">
        <f>IFERROR(VLOOKUP(A137, AZInsight_Data!$A:$AS, 18, FALSE), 0)</f>
        <v/>
      </c>
      <c r="F137" s="14">
        <f>IFERROR(VLOOKUP(A137, AZInsight_Data!$A:$AS, 7, FALSE), 0)</f>
        <v/>
      </c>
      <c r="G137" s="15">
        <f>IFERROR(VLOOKUP(A137, AZInsight_Data!$A:$AS, 14, FALSE), 0)</f>
        <v/>
      </c>
      <c r="H137" s="14">
        <f>IFERROR(VLOOKUP(A137, AZInsight_Data!$A:$AS, 8, FALSE), 0)</f>
        <v/>
      </c>
      <c r="I137" s="16">
        <f>IFERROR(VLOOKUP(A137, KEEPA!$A:$AW, 47, FALSE), 0)</f>
        <v/>
      </c>
      <c r="J137">
        <f>IFERROR(VLOOKUP(A137, AZInsight_Data!$A:$AS, 25, FALSE), 0)</f>
        <v/>
      </c>
      <c r="K137" s="15">
        <f>IFERROR(VLOOKUP(A137, AZInsight_Data!$A:$AS, 16, FALSE), 0)</f>
        <v/>
      </c>
      <c r="L137" s="15">
        <f>IFERROR(K137-T137-J137, 0)</f>
        <v/>
      </c>
      <c r="M137" s="16">
        <f>IFERROR(IF(T137=0, 0, L137/T137), 0)</f>
        <v/>
      </c>
      <c r="N137" s="14">
        <f>IFERROR(C137*($V$2/30), 0)</f>
        <v/>
      </c>
      <c r="O137">
        <f>IFERROR(VLOOKUP(A137, AZInsight_Data!$A:$AS, 40, FALSE), 1)</f>
        <v/>
      </c>
      <c r="P137" s="13">
        <f>IF(O137&gt;0, O137, 1)</f>
        <v/>
      </c>
      <c r="Q137" s="13">
        <f>IFERROR(U137/P137, 0)</f>
        <v/>
      </c>
      <c r="R137">
        <f>IFERROR(VLOOKUP(A137, AZInsight_Data!$A:$AS, 36, FALSE), "")</f>
        <v/>
      </c>
      <c r="S137">
        <f>IFERROR(VLOOKUP(A137, AZInsight_Data!$A:$AS, 3, FALSE), "")</f>
        <v/>
      </c>
      <c r="T137" s="17">
        <f>IFERROR(VLOOKUP(A137, AZInsight_Data!$A:$AS, 13, FALSE), 0)</f>
        <v/>
      </c>
      <c r="U137" s="13">
        <f>AH137</f>
        <v/>
      </c>
      <c r="V137" s="15">
        <f>T137*U137</f>
        <v/>
      </c>
      <c r="W137" s="16" t="n"/>
      <c r="X137" s="12">
        <f>IFERROR(VLOOKUP(A137, AZInsight_Data!$A:$AS, 40, FALSE), 1)</f>
        <v/>
      </c>
      <c r="Y137" s="13">
        <f>IFERROR(VLOOKUP(A137, IP Qty!$D:$R, 5, FALSE), 0)</f>
        <v/>
      </c>
      <c r="Z137" s="14">
        <f>IFERROR(VLOOKUP(A137, IP Qty!$D:$R, 6, FALSE), 0)</f>
        <v/>
      </c>
      <c r="AA137">
        <f>IFERROR(VLOOKUP(A137, IP Qty!$D:$R, 7, FALSE), 0)</f>
        <v/>
      </c>
      <c r="AB137">
        <f>IFERROR(VLOOKUP(A137, IP Qty!$D:$R, 9, FALSE), 0)</f>
        <v/>
      </c>
      <c r="AC137">
        <f>IFERROR(VLOOKUP(A137, IP Qty!$D:$R, 8, FALSE), 0)</f>
        <v/>
      </c>
      <c r="AD137" s="14">
        <f>IFERROR(VLOOKUP(A137, KEEPA!$A:$AW, 34, FALSE), 0)</f>
        <v/>
      </c>
      <c r="AE137" s="15">
        <f>IF(P137&gt;1, ((((M137&gt;=$AD$2)*(L137&gt;=$AH$2)) + ((M137&lt;$AD$2)*(M137&gt;=$AE$2)*(L137&gt;=$AG$2)) + ((M137&lt;$AE$2)*(M137&gt;=$AC$2)*(L137&gt;=0)))*2 * IF($AI$2=0, 1, AI137&lt;=$AI$2) * IF($AK$2=0, 1, AK137&lt;=$AK$2) * AND(N137&gt;=$D$1, H137&lt;=$I$2, G137&gt;=$H$2)), ((((M137&gt;=$AD$2)*(L137&gt;=$AH$2)) + ((M137&lt;$AD$2)*(M137&gt;=$AE$2)*(L137&gt;=$AG$2)) + ((M137&lt;$AE$2)*(M137&gt;=$AC$2)*(L137&gt;=0))) * IF($AI$2=0, 1, AI137&lt;=$AI$2) * IF($AK$2=0, 1, AK137&lt;=$AK$2) * AND(N137&gt;=$D$1, H137&lt;=$I$2, G137&gt;=$H$2)))</f>
        <v/>
      </c>
      <c r="AF137">
        <f>IF(AE137&gt;0, 1, 0)</f>
        <v/>
      </c>
      <c r="AG137">
        <f>IFERROR(IF(ISNUMBER(W137), IF(AN137, N137*W137*$AN$2, N137*W137), NA()), NA())</f>
        <v/>
      </c>
      <c r="AH137" s="13">
        <f>IFERROR(MIN(AG137, $U$2), 0)</f>
        <v/>
      </c>
      <c r="AI137" s="14">
        <f>IFERROR(VLOOKUP(A137, KEEPA!$A:$AW, 26, FALSE), 0)</f>
        <v/>
      </c>
      <c r="AJ137" s="16">
        <f>IFERROR(IF(AI137=0, 0, (AI137-H137)/H137), 0)</f>
        <v/>
      </c>
      <c r="AK137" s="14">
        <f>IFERROR(VLOOKUP(A137, KEEPA!$A:$AW, 28, FALSE), 0)</f>
        <v/>
      </c>
      <c r="AL137" s="16">
        <f>IFERROR(IF(AK137=0, 0, (AK137-H137)/H137), 0)</f>
        <v/>
      </c>
      <c r="AM137" s="13">
        <f>IFERROR(VLOOKUP(A137, AZInsight_Data!$A:$AS, 34, FALSE), 0)</f>
        <v/>
      </c>
      <c r="AN137">
        <f>IFERROR(AND(VLOOKUP(A137, KEEPA!$A:$AW, 2, FALSE)&lt;=$AO$2, N137 &gt;= $AM$2), FALSE)</f>
        <v/>
      </c>
      <c r="AO137" s="16">
        <f>IFERROR(VLOOKUP(A137, KEEPA!$A:$AW, 24, FALSE), 0)</f>
        <v/>
      </c>
      <c r="AP137" s="16">
        <f>IFERROR(VLOOKUP(A137, KEEPA!$A:$AW, 48, FALSE), 0)</f>
        <v/>
      </c>
      <c r="AQ137">
        <f>IFERROR(VLOOKUP(A137, AZInsight_Data!$A:$AS, 5, FALSE), "SL")</f>
        <v/>
      </c>
      <c r="AR137">
        <f>IF(OR(A137="", A137=0), "", HYPERLINK("https://keepa.com/#!product/1-"&amp;A137, "Keepa"))</f>
        <v/>
      </c>
      <c r="AS137">
        <f>IF(OR(A137="", A137=0), "", HYPERLINK("https://www.amazon.com/dp/"&amp;A137, "Amazon"))</f>
        <v/>
      </c>
      <c r="AT137">
        <f>IF(OR(A137="", A137=0), "", HYPERLINK("https://sellercentral.amazon.com/product-search/search?q="&amp;A137, "Check Gated"))</f>
        <v/>
      </c>
      <c r="AU137" s="12" t="n"/>
      <c r="AV137" s="12" t="n"/>
      <c r="AW137" s="12" t="n"/>
    </row>
    <row r="138">
      <c r="A138" s="12" t="n"/>
      <c r="B138" s="12">
        <f>IFERROR(VLOOKUP(A138, AZInsight_Data!$A:$AS, 3, FALSE), "")</f>
        <v/>
      </c>
      <c r="C138" s="13">
        <f>IFERROR(VLOOKUP(A138, AZInsight_Data!$A:$AS, 9, FALSE), 0)</f>
        <v/>
      </c>
      <c r="D138">
        <f>IFERROR(VLOOKUP(A138, AZInsight_Data!$A:$AS, 17, FALSE), 0)</f>
        <v/>
      </c>
      <c r="E138">
        <f>IFERROR(VLOOKUP(A138, AZInsight_Data!$A:$AS, 18, FALSE), 0)</f>
        <v/>
      </c>
      <c r="F138" s="14">
        <f>IFERROR(VLOOKUP(A138, AZInsight_Data!$A:$AS, 7, FALSE), 0)</f>
        <v/>
      </c>
      <c r="G138" s="15">
        <f>IFERROR(VLOOKUP(A138, AZInsight_Data!$A:$AS, 14, FALSE), 0)</f>
        <v/>
      </c>
      <c r="H138" s="14">
        <f>IFERROR(VLOOKUP(A138, AZInsight_Data!$A:$AS, 8, FALSE), 0)</f>
        <v/>
      </c>
      <c r="I138" s="16">
        <f>IFERROR(VLOOKUP(A138, KEEPA!$A:$AW, 47, FALSE), 0)</f>
        <v/>
      </c>
      <c r="J138">
        <f>IFERROR(VLOOKUP(A138, AZInsight_Data!$A:$AS, 25, FALSE), 0)</f>
        <v/>
      </c>
      <c r="K138" s="15">
        <f>IFERROR(VLOOKUP(A138, AZInsight_Data!$A:$AS, 16, FALSE), 0)</f>
        <v/>
      </c>
      <c r="L138" s="15">
        <f>IFERROR(K138-T138-J138, 0)</f>
        <v/>
      </c>
      <c r="M138" s="16">
        <f>IFERROR(IF(T138=0, 0, L138/T138), 0)</f>
        <v/>
      </c>
      <c r="N138" s="14">
        <f>IFERROR(C138*($V$2/30), 0)</f>
        <v/>
      </c>
      <c r="O138">
        <f>IFERROR(VLOOKUP(A138, AZInsight_Data!$A:$AS, 40, FALSE), 1)</f>
        <v/>
      </c>
      <c r="P138" s="13">
        <f>IF(O138&gt;0, O138, 1)</f>
        <v/>
      </c>
      <c r="Q138" s="13">
        <f>IFERROR(U138/P138, 0)</f>
        <v/>
      </c>
      <c r="R138">
        <f>IFERROR(VLOOKUP(A138, AZInsight_Data!$A:$AS, 36, FALSE), "")</f>
        <v/>
      </c>
      <c r="S138">
        <f>IFERROR(VLOOKUP(A138, AZInsight_Data!$A:$AS, 3, FALSE), "")</f>
        <v/>
      </c>
      <c r="T138" s="17">
        <f>IFERROR(VLOOKUP(A138, AZInsight_Data!$A:$AS, 13, FALSE), 0)</f>
        <v/>
      </c>
      <c r="U138" s="13">
        <f>AH138</f>
        <v/>
      </c>
      <c r="V138" s="15">
        <f>T138*U138</f>
        <v/>
      </c>
      <c r="W138" s="16" t="n"/>
      <c r="X138" s="12">
        <f>IFERROR(VLOOKUP(A138, AZInsight_Data!$A:$AS, 40, FALSE), 1)</f>
        <v/>
      </c>
      <c r="Y138" s="13">
        <f>IFERROR(VLOOKUP(A138, IP Qty!$D:$R, 5, FALSE), 0)</f>
        <v/>
      </c>
      <c r="Z138" s="14">
        <f>IFERROR(VLOOKUP(A138, IP Qty!$D:$R, 6, FALSE), 0)</f>
        <v/>
      </c>
      <c r="AA138">
        <f>IFERROR(VLOOKUP(A138, IP Qty!$D:$R, 7, FALSE), 0)</f>
        <v/>
      </c>
      <c r="AB138">
        <f>IFERROR(VLOOKUP(A138, IP Qty!$D:$R, 9, FALSE), 0)</f>
        <v/>
      </c>
      <c r="AC138">
        <f>IFERROR(VLOOKUP(A138, IP Qty!$D:$R, 8, FALSE), 0)</f>
        <v/>
      </c>
      <c r="AD138" s="14">
        <f>IFERROR(VLOOKUP(A138, KEEPA!$A:$AW, 34, FALSE), 0)</f>
        <v/>
      </c>
      <c r="AE138" s="15">
        <f>IF(P138&gt;1, ((((M138&gt;=$AD$2)*(L138&gt;=$AH$2)) + ((M138&lt;$AD$2)*(M138&gt;=$AE$2)*(L138&gt;=$AG$2)) + ((M138&lt;$AE$2)*(M138&gt;=$AC$2)*(L138&gt;=0)))*2 * IF($AI$2=0, 1, AI138&lt;=$AI$2) * IF($AK$2=0, 1, AK138&lt;=$AK$2) * AND(N138&gt;=$D$1, H138&lt;=$I$2, G138&gt;=$H$2)), ((((M138&gt;=$AD$2)*(L138&gt;=$AH$2)) + ((M138&lt;$AD$2)*(M138&gt;=$AE$2)*(L138&gt;=$AG$2)) + ((M138&lt;$AE$2)*(M138&gt;=$AC$2)*(L138&gt;=0))) * IF($AI$2=0, 1, AI138&lt;=$AI$2) * IF($AK$2=0, 1, AK138&lt;=$AK$2) * AND(N138&gt;=$D$1, H138&lt;=$I$2, G138&gt;=$H$2)))</f>
        <v/>
      </c>
      <c r="AF138">
        <f>IF(AE138&gt;0, 1, 0)</f>
        <v/>
      </c>
      <c r="AG138">
        <f>IFERROR(IF(ISNUMBER(W138), IF(AN138, N138*W138*$AN$2, N138*W138), NA()), NA())</f>
        <v/>
      </c>
      <c r="AH138" s="13">
        <f>IFERROR(MIN(AG138, $U$2), 0)</f>
        <v/>
      </c>
      <c r="AI138" s="14">
        <f>IFERROR(VLOOKUP(A138, KEEPA!$A:$AW, 26, FALSE), 0)</f>
        <v/>
      </c>
      <c r="AJ138" s="16">
        <f>IFERROR(IF(AI138=0, 0, (AI138-H138)/H138), 0)</f>
        <v/>
      </c>
      <c r="AK138" s="14">
        <f>IFERROR(VLOOKUP(A138, KEEPA!$A:$AW, 28, FALSE), 0)</f>
        <v/>
      </c>
      <c r="AL138" s="16">
        <f>IFERROR(IF(AK138=0, 0, (AK138-H138)/H138), 0)</f>
        <v/>
      </c>
      <c r="AM138" s="13">
        <f>IFERROR(VLOOKUP(A138, AZInsight_Data!$A:$AS, 34, FALSE), 0)</f>
        <v/>
      </c>
      <c r="AN138">
        <f>IFERROR(AND(VLOOKUP(A138, KEEPA!$A:$AW, 2, FALSE)&lt;=$AO$2, N138 &gt;= $AM$2), FALSE)</f>
        <v/>
      </c>
      <c r="AO138" s="16">
        <f>IFERROR(VLOOKUP(A138, KEEPA!$A:$AW, 24, FALSE), 0)</f>
        <v/>
      </c>
      <c r="AP138" s="16">
        <f>IFERROR(VLOOKUP(A138, KEEPA!$A:$AW, 48, FALSE), 0)</f>
        <v/>
      </c>
      <c r="AQ138">
        <f>IFERROR(VLOOKUP(A138, AZInsight_Data!$A:$AS, 5, FALSE), "SL")</f>
        <v/>
      </c>
      <c r="AR138">
        <f>IF(OR(A138="", A138=0), "", HYPERLINK("https://keepa.com/#!product/1-"&amp;A138, "Keepa"))</f>
        <v/>
      </c>
      <c r="AS138">
        <f>IF(OR(A138="", A138=0), "", HYPERLINK("https://www.amazon.com/dp/"&amp;A138, "Amazon"))</f>
        <v/>
      </c>
      <c r="AT138">
        <f>IF(OR(A138="", A138=0), "", HYPERLINK("https://sellercentral.amazon.com/product-search/search?q="&amp;A138, "Check Gated"))</f>
        <v/>
      </c>
      <c r="AU138" s="12" t="n"/>
      <c r="AV138" s="12" t="n"/>
      <c r="AW138" s="12" t="n"/>
    </row>
    <row r="139">
      <c r="A139" s="12" t="n"/>
      <c r="B139" s="12">
        <f>IFERROR(VLOOKUP(A139, AZInsight_Data!$A:$AS, 3, FALSE), "")</f>
        <v/>
      </c>
      <c r="C139" s="13">
        <f>IFERROR(VLOOKUP(A139, AZInsight_Data!$A:$AS, 9, FALSE), 0)</f>
        <v/>
      </c>
      <c r="D139">
        <f>IFERROR(VLOOKUP(A139, AZInsight_Data!$A:$AS, 17, FALSE), 0)</f>
        <v/>
      </c>
      <c r="E139">
        <f>IFERROR(VLOOKUP(A139, AZInsight_Data!$A:$AS, 18, FALSE), 0)</f>
        <v/>
      </c>
      <c r="F139" s="14">
        <f>IFERROR(VLOOKUP(A139, AZInsight_Data!$A:$AS, 7, FALSE), 0)</f>
        <v/>
      </c>
      <c r="G139" s="15">
        <f>IFERROR(VLOOKUP(A139, AZInsight_Data!$A:$AS, 14, FALSE), 0)</f>
        <v/>
      </c>
      <c r="H139" s="14">
        <f>IFERROR(VLOOKUP(A139, AZInsight_Data!$A:$AS, 8, FALSE), 0)</f>
        <v/>
      </c>
      <c r="I139" s="16">
        <f>IFERROR(VLOOKUP(A139, KEEPA!$A:$AW, 47, FALSE), 0)</f>
        <v/>
      </c>
      <c r="J139">
        <f>IFERROR(VLOOKUP(A139, AZInsight_Data!$A:$AS, 25, FALSE), 0)</f>
        <v/>
      </c>
      <c r="K139" s="15">
        <f>IFERROR(VLOOKUP(A139, AZInsight_Data!$A:$AS, 16, FALSE), 0)</f>
        <v/>
      </c>
      <c r="L139" s="15">
        <f>IFERROR(K139-T139-J139, 0)</f>
        <v/>
      </c>
      <c r="M139" s="16">
        <f>IFERROR(IF(T139=0, 0, L139/T139), 0)</f>
        <v/>
      </c>
      <c r="N139" s="14">
        <f>IFERROR(C139*($V$2/30), 0)</f>
        <v/>
      </c>
      <c r="O139">
        <f>IFERROR(VLOOKUP(A139, AZInsight_Data!$A:$AS, 40, FALSE), 1)</f>
        <v/>
      </c>
      <c r="P139" s="13">
        <f>IF(O139&gt;0, O139, 1)</f>
        <v/>
      </c>
      <c r="Q139" s="13">
        <f>IFERROR(U139/P139, 0)</f>
        <v/>
      </c>
      <c r="R139">
        <f>IFERROR(VLOOKUP(A139, AZInsight_Data!$A:$AS, 36, FALSE), "")</f>
        <v/>
      </c>
      <c r="S139">
        <f>IFERROR(VLOOKUP(A139, AZInsight_Data!$A:$AS, 3, FALSE), "")</f>
        <v/>
      </c>
      <c r="T139" s="17">
        <f>IFERROR(VLOOKUP(A139, AZInsight_Data!$A:$AS, 13, FALSE), 0)</f>
        <v/>
      </c>
      <c r="U139" s="13">
        <f>AH139</f>
        <v/>
      </c>
      <c r="V139" s="15">
        <f>T139*U139</f>
        <v/>
      </c>
      <c r="W139" s="16" t="n"/>
      <c r="X139" s="12">
        <f>IFERROR(VLOOKUP(A139, AZInsight_Data!$A:$AS, 40, FALSE), 1)</f>
        <v/>
      </c>
      <c r="Y139" s="13">
        <f>IFERROR(VLOOKUP(A139, IP Qty!$D:$R, 5, FALSE), 0)</f>
        <v/>
      </c>
      <c r="Z139" s="14">
        <f>IFERROR(VLOOKUP(A139, IP Qty!$D:$R, 6, FALSE), 0)</f>
        <v/>
      </c>
      <c r="AA139">
        <f>IFERROR(VLOOKUP(A139, IP Qty!$D:$R, 7, FALSE), 0)</f>
        <v/>
      </c>
      <c r="AB139">
        <f>IFERROR(VLOOKUP(A139, IP Qty!$D:$R, 9, FALSE), 0)</f>
        <v/>
      </c>
      <c r="AC139">
        <f>IFERROR(VLOOKUP(A139, IP Qty!$D:$R, 8, FALSE), 0)</f>
        <v/>
      </c>
      <c r="AD139" s="14">
        <f>IFERROR(VLOOKUP(A139, KEEPA!$A:$AW, 34, FALSE), 0)</f>
        <v/>
      </c>
      <c r="AE139" s="15">
        <f>IF(P139&gt;1, ((((M139&gt;=$AD$2)*(L139&gt;=$AH$2)) + ((M139&lt;$AD$2)*(M139&gt;=$AE$2)*(L139&gt;=$AG$2)) + ((M139&lt;$AE$2)*(M139&gt;=$AC$2)*(L139&gt;=0)))*2 * IF($AI$2=0, 1, AI139&lt;=$AI$2) * IF($AK$2=0, 1, AK139&lt;=$AK$2) * AND(N139&gt;=$D$1, H139&lt;=$I$2, G139&gt;=$H$2)), ((((M139&gt;=$AD$2)*(L139&gt;=$AH$2)) + ((M139&lt;$AD$2)*(M139&gt;=$AE$2)*(L139&gt;=$AG$2)) + ((M139&lt;$AE$2)*(M139&gt;=$AC$2)*(L139&gt;=0))) * IF($AI$2=0, 1, AI139&lt;=$AI$2) * IF($AK$2=0, 1, AK139&lt;=$AK$2) * AND(N139&gt;=$D$1, H139&lt;=$I$2, G139&gt;=$H$2)))</f>
        <v/>
      </c>
      <c r="AF139">
        <f>IF(AE139&gt;0, 1, 0)</f>
        <v/>
      </c>
      <c r="AG139">
        <f>IFERROR(IF(ISNUMBER(W139), IF(AN139, N139*W139*$AN$2, N139*W139), NA()), NA())</f>
        <v/>
      </c>
      <c r="AH139" s="13">
        <f>IFERROR(MIN(AG139, $U$2), 0)</f>
        <v/>
      </c>
      <c r="AI139" s="14">
        <f>IFERROR(VLOOKUP(A139, KEEPA!$A:$AW, 26, FALSE), 0)</f>
        <v/>
      </c>
      <c r="AJ139" s="16">
        <f>IFERROR(IF(AI139=0, 0, (AI139-H139)/H139), 0)</f>
        <v/>
      </c>
      <c r="AK139" s="14">
        <f>IFERROR(VLOOKUP(A139, KEEPA!$A:$AW, 28, FALSE), 0)</f>
        <v/>
      </c>
      <c r="AL139" s="16">
        <f>IFERROR(IF(AK139=0, 0, (AK139-H139)/H139), 0)</f>
        <v/>
      </c>
      <c r="AM139" s="13">
        <f>IFERROR(VLOOKUP(A139, AZInsight_Data!$A:$AS, 34, FALSE), 0)</f>
        <v/>
      </c>
      <c r="AN139">
        <f>IFERROR(AND(VLOOKUP(A139, KEEPA!$A:$AW, 2, FALSE)&lt;=$AO$2, N139 &gt;= $AM$2), FALSE)</f>
        <v/>
      </c>
      <c r="AO139" s="16">
        <f>IFERROR(VLOOKUP(A139, KEEPA!$A:$AW, 24, FALSE), 0)</f>
        <v/>
      </c>
      <c r="AP139" s="16">
        <f>IFERROR(VLOOKUP(A139, KEEPA!$A:$AW, 48, FALSE), 0)</f>
        <v/>
      </c>
      <c r="AQ139">
        <f>IFERROR(VLOOKUP(A139, AZInsight_Data!$A:$AS, 5, FALSE), "SL")</f>
        <v/>
      </c>
      <c r="AR139">
        <f>IF(OR(A139="", A139=0), "", HYPERLINK("https://keepa.com/#!product/1-"&amp;A139, "Keepa"))</f>
        <v/>
      </c>
      <c r="AS139">
        <f>IF(OR(A139="", A139=0), "", HYPERLINK("https://www.amazon.com/dp/"&amp;A139, "Amazon"))</f>
        <v/>
      </c>
      <c r="AT139">
        <f>IF(OR(A139="", A139=0), "", HYPERLINK("https://sellercentral.amazon.com/product-search/search?q="&amp;A139, "Check Gated"))</f>
        <v/>
      </c>
      <c r="AU139" s="12" t="n"/>
      <c r="AV139" s="12" t="n"/>
      <c r="AW139" s="12" t="n"/>
    </row>
    <row r="140">
      <c r="A140" s="12" t="n"/>
      <c r="B140" s="12">
        <f>IFERROR(VLOOKUP(A140, AZInsight_Data!$A:$AS, 3, FALSE), "")</f>
        <v/>
      </c>
      <c r="C140" s="13">
        <f>IFERROR(VLOOKUP(A140, AZInsight_Data!$A:$AS, 9, FALSE), 0)</f>
        <v/>
      </c>
      <c r="D140">
        <f>IFERROR(VLOOKUP(A140, AZInsight_Data!$A:$AS, 17, FALSE), 0)</f>
        <v/>
      </c>
      <c r="E140">
        <f>IFERROR(VLOOKUP(A140, AZInsight_Data!$A:$AS, 18, FALSE), 0)</f>
        <v/>
      </c>
      <c r="F140" s="14">
        <f>IFERROR(VLOOKUP(A140, AZInsight_Data!$A:$AS, 7, FALSE), 0)</f>
        <v/>
      </c>
      <c r="G140" s="15">
        <f>IFERROR(VLOOKUP(A140, AZInsight_Data!$A:$AS, 14, FALSE), 0)</f>
        <v/>
      </c>
      <c r="H140" s="14">
        <f>IFERROR(VLOOKUP(A140, AZInsight_Data!$A:$AS, 8, FALSE), 0)</f>
        <v/>
      </c>
      <c r="I140" s="16">
        <f>IFERROR(VLOOKUP(A140, KEEPA!$A:$AW, 47, FALSE), 0)</f>
        <v/>
      </c>
      <c r="J140">
        <f>IFERROR(VLOOKUP(A140, AZInsight_Data!$A:$AS, 25, FALSE), 0)</f>
        <v/>
      </c>
      <c r="K140" s="15">
        <f>IFERROR(VLOOKUP(A140, AZInsight_Data!$A:$AS, 16, FALSE), 0)</f>
        <v/>
      </c>
      <c r="L140" s="15">
        <f>IFERROR(K140-T140-J140, 0)</f>
        <v/>
      </c>
      <c r="M140" s="16">
        <f>IFERROR(IF(T140=0, 0, L140/T140), 0)</f>
        <v/>
      </c>
      <c r="N140" s="14">
        <f>IFERROR(C140*($V$2/30), 0)</f>
        <v/>
      </c>
      <c r="O140">
        <f>IFERROR(VLOOKUP(A140, AZInsight_Data!$A:$AS, 40, FALSE), 1)</f>
        <v/>
      </c>
      <c r="P140" s="13">
        <f>IF(O140&gt;0, O140, 1)</f>
        <v/>
      </c>
      <c r="Q140" s="13">
        <f>IFERROR(U140/P140, 0)</f>
        <v/>
      </c>
      <c r="R140">
        <f>IFERROR(VLOOKUP(A140, AZInsight_Data!$A:$AS, 36, FALSE), "")</f>
        <v/>
      </c>
      <c r="S140">
        <f>IFERROR(VLOOKUP(A140, AZInsight_Data!$A:$AS, 3, FALSE), "")</f>
        <v/>
      </c>
      <c r="T140" s="17">
        <f>IFERROR(VLOOKUP(A140, AZInsight_Data!$A:$AS, 13, FALSE), 0)</f>
        <v/>
      </c>
      <c r="U140" s="13">
        <f>AH140</f>
        <v/>
      </c>
      <c r="V140" s="15">
        <f>T140*U140</f>
        <v/>
      </c>
      <c r="W140" s="16" t="n"/>
      <c r="X140" s="12">
        <f>IFERROR(VLOOKUP(A140, AZInsight_Data!$A:$AS, 40, FALSE), 1)</f>
        <v/>
      </c>
      <c r="Y140" s="13">
        <f>IFERROR(VLOOKUP(A140, IP Qty!$D:$R, 5, FALSE), 0)</f>
        <v/>
      </c>
      <c r="Z140" s="14">
        <f>IFERROR(VLOOKUP(A140, IP Qty!$D:$R, 6, FALSE), 0)</f>
        <v/>
      </c>
      <c r="AA140">
        <f>IFERROR(VLOOKUP(A140, IP Qty!$D:$R, 7, FALSE), 0)</f>
        <v/>
      </c>
      <c r="AB140">
        <f>IFERROR(VLOOKUP(A140, IP Qty!$D:$R, 9, FALSE), 0)</f>
        <v/>
      </c>
      <c r="AC140">
        <f>IFERROR(VLOOKUP(A140, IP Qty!$D:$R, 8, FALSE), 0)</f>
        <v/>
      </c>
      <c r="AD140" s="14">
        <f>IFERROR(VLOOKUP(A140, KEEPA!$A:$AW, 34, FALSE), 0)</f>
        <v/>
      </c>
      <c r="AE140" s="15">
        <f>IF(P140&gt;1, ((((M140&gt;=$AD$2)*(L140&gt;=$AH$2)) + ((M140&lt;$AD$2)*(M140&gt;=$AE$2)*(L140&gt;=$AG$2)) + ((M140&lt;$AE$2)*(M140&gt;=$AC$2)*(L140&gt;=0)))*2 * IF($AI$2=0, 1, AI140&lt;=$AI$2) * IF($AK$2=0, 1, AK140&lt;=$AK$2) * AND(N140&gt;=$D$1, H140&lt;=$I$2, G140&gt;=$H$2)), ((((M140&gt;=$AD$2)*(L140&gt;=$AH$2)) + ((M140&lt;$AD$2)*(M140&gt;=$AE$2)*(L140&gt;=$AG$2)) + ((M140&lt;$AE$2)*(M140&gt;=$AC$2)*(L140&gt;=0))) * IF($AI$2=0, 1, AI140&lt;=$AI$2) * IF($AK$2=0, 1, AK140&lt;=$AK$2) * AND(N140&gt;=$D$1, H140&lt;=$I$2, G140&gt;=$H$2)))</f>
        <v/>
      </c>
      <c r="AF140">
        <f>IF(AE140&gt;0, 1, 0)</f>
        <v/>
      </c>
      <c r="AG140">
        <f>IFERROR(IF(ISNUMBER(W140), IF(AN140, N140*W140*$AN$2, N140*W140), NA()), NA())</f>
        <v/>
      </c>
      <c r="AH140" s="13">
        <f>IFERROR(MIN(AG140, $U$2), 0)</f>
        <v/>
      </c>
      <c r="AI140" s="14">
        <f>IFERROR(VLOOKUP(A140, KEEPA!$A:$AW, 26, FALSE), 0)</f>
        <v/>
      </c>
      <c r="AJ140" s="16">
        <f>IFERROR(IF(AI140=0, 0, (AI140-H140)/H140), 0)</f>
        <v/>
      </c>
      <c r="AK140" s="14">
        <f>IFERROR(VLOOKUP(A140, KEEPA!$A:$AW, 28, FALSE), 0)</f>
        <v/>
      </c>
      <c r="AL140" s="16">
        <f>IFERROR(IF(AK140=0, 0, (AK140-H140)/H140), 0)</f>
        <v/>
      </c>
      <c r="AM140" s="13">
        <f>IFERROR(VLOOKUP(A140, AZInsight_Data!$A:$AS, 34, FALSE), 0)</f>
        <v/>
      </c>
      <c r="AN140">
        <f>IFERROR(AND(VLOOKUP(A140, KEEPA!$A:$AW, 2, FALSE)&lt;=$AO$2, N140 &gt;= $AM$2), FALSE)</f>
        <v/>
      </c>
      <c r="AO140" s="16">
        <f>IFERROR(VLOOKUP(A140, KEEPA!$A:$AW, 24, FALSE), 0)</f>
        <v/>
      </c>
      <c r="AP140" s="16">
        <f>IFERROR(VLOOKUP(A140, KEEPA!$A:$AW, 48, FALSE), 0)</f>
        <v/>
      </c>
      <c r="AQ140">
        <f>IFERROR(VLOOKUP(A140, AZInsight_Data!$A:$AS, 5, FALSE), "SL")</f>
        <v/>
      </c>
      <c r="AR140">
        <f>IF(OR(A140="", A140=0), "", HYPERLINK("https://keepa.com/#!product/1-"&amp;A140, "Keepa"))</f>
        <v/>
      </c>
      <c r="AS140">
        <f>IF(OR(A140="", A140=0), "", HYPERLINK("https://www.amazon.com/dp/"&amp;A140, "Amazon"))</f>
        <v/>
      </c>
      <c r="AT140">
        <f>IF(OR(A140="", A140=0), "", HYPERLINK("https://sellercentral.amazon.com/product-search/search?q="&amp;A140, "Check Gated"))</f>
        <v/>
      </c>
      <c r="AU140" s="12" t="n"/>
      <c r="AV140" s="12" t="n"/>
      <c r="AW140" s="12" t="n"/>
    </row>
    <row r="141">
      <c r="A141" s="12" t="n"/>
      <c r="B141" s="12">
        <f>IFERROR(VLOOKUP(A141, AZInsight_Data!$A:$AS, 3, FALSE), "")</f>
        <v/>
      </c>
      <c r="C141" s="13">
        <f>IFERROR(VLOOKUP(A141, AZInsight_Data!$A:$AS, 9, FALSE), 0)</f>
        <v/>
      </c>
      <c r="D141">
        <f>IFERROR(VLOOKUP(A141, AZInsight_Data!$A:$AS, 17, FALSE), 0)</f>
        <v/>
      </c>
      <c r="E141">
        <f>IFERROR(VLOOKUP(A141, AZInsight_Data!$A:$AS, 18, FALSE), 0)</f>
        <v/>
      </c>
      <c r="F141" s="14">
        <f>IFERROR(VLOOKUP(A141, AZInsight_Data!$A:$AS, 7, FALSE), 0)</f>
        <v/>
      </c>
      <c r="G141" s="15">
        <f>IFERROR(VLOOKUP(A141, AZInsight_Data!$A:$AS, 14, FALSE), 0)</f>
        <v/>
      </c>
      <c r="H141" s="14">
        <f>IFERROR(VLOOKUP(A141, AZInsight_Data!$A:$AS, 8, FALSE), 0)</f>
        <v/>
      </c>
      <c r="I141" s="16">
        <f>IFERROR(VLOOKUP(A141, KEEPA!$A:$AW, 47, FALSE), 0)</f>
        <v/>
      </c>
      <c r="J141">
        <f>IFERROR(VLOOKUP(A141, AZInsight_Data!$A:$AS, 25, FALSE), 0)</f>
        <v/>
      </c>
      <c r="K141" s="15">
        <f>IFERROR(VLOOKUP(A141, AZInsight_Data!$A:$AS, 16, FALSE), 0)</f>
        <v/>
      </c>
      <c r="L141" s="15">
        <f>IFERROR(K141-T141-J141, 0)</f>
        <v/>
      </c>
      <c r="M141" s="16">
        <f>IFERROR(IF(T141=0, 0, L141/T141), 0)</f>
        <v/>
      </c>
      <c r="N141" s="14">
        <f>IFERROR(C141*($V$2/30), 0)</f>
        <v/>
      </c>
      <c r="O141">
        <f>IFERROR(VLOOKUP(A141, AZInsight_Data!$A:$AS, 40, FALSE), 1)</f>
        <v/>
      </c>
      <c r="P141" s="13">
        <f>IF(O141&gt;0, O141, 1)</f>
        <v/>
      </c>
      <c r="Q141" s="13">
        <f>IFERROR(U141/P141, 0)</f>
        <v/>
      </c>
      <c r="R141">
        <f>IFERROR(VLOOKUP(A141, AZInsight_Data!$A:$AS, 36, FALSE), "")</f>
        <v/>
      </c>
      <c r="S141">
        <f>IFERROR(VLOOKUP(A141, AZInsight_Data!$A:$AS, 3, FALSE), "")</f>
        <v/>
      </c>
      <c r="T141" s="17">
        <f>IFERROR(VLOOKUP(A141, AZInsight_Data!$A:$AS, 13, FALSE), 0)</f>
        <v/>
      </c>
      <c r="U141" s="13">
        <f>AH141</f>
        <v/>
      </c>
      <c r="V141" s="15">
        <f>T141*U141</f>
        <v/>
      </c>
      <c r="W141" s="16" t="n"/>
      <c r="X141" s="12">
        <f>IFERROR(VLOOKUP(A141, AZInsight_Data!$A:$AS, 40, FALSE), 1)</f>
        <v/>
      </c>
      <c r="Y141" s="13">
        <f>IFERROR(VLOOKUP(A141, IP Qty!$D:$R, 5, FALSE), 0)</f>
        <v/>
      </c>
      <c r="Z141" s="14">
        <f>IFERROR(VLOOKUP(A141, IP Qty!$D:$R, 6, FALSE), 0)</f>
        <v/>
      </c>
      <c r="AA141">
        <f>IFERROR(VLOOKUP(A141, IP Qty!$D:$R, 7, FALSE), 0)</f>
        <v/>
      </c>
      <c r="AB141">
        <f>IFERROR(VLOOKUP(A141, IP Qty!$D:$R, 9, FALSE), 0)</f>
        <v/>
      </c>
      <c r="AC141">
        <f>IFERROR(VLOOKUP(A141, IP Qty!$D:$R, 8, FALSE), 0)</f>
        <v/>
      </c>
      <c r="AD141" s="14">
        <f>IFERROR(VLOOKUP(A141, KEEPA!$A:$AW, 34, FALSE), 0)</f>
        <v/>
      </c>
      <c r="AE141" s="15">
        <f>IF(P141&gt;1, ((((M141&gt;=$AD$2)*(L141&gt;=$AH$2)) + ((M141&lt;$AD$2)*(M141&gt;=$AE$2)*(L141&gt;=$AG$2)) + ((M141&lt;$AE$2)*(M141&gt;=$AC$2)*(L141&gt;=0)))*2 * IF($AI$2=0, 1, AI141&lt;=$AI$2) * IF($AK$2=0, 1, AK141&lt;=$AK$2) * AND(N141&gt;=$D$1, H141&lt;=$I$2, G141&gt;=$H$2)), ((((M141&gt;=$AD$2)*(L141&gt;=$AH$2)) + ((M141&lt;$AD$2)*(M141&gt;=$AE$2)*(L141&gt;=$AG$2)) + ((M141&lt;$AE$2)*(M141&gt;=$AC$2)*(L141&gt;=0))) * IF($AI$2=0, 1, AI141&lt;=$AI$2) * IF($AK$2=0, 1, AK141&lt;=$AK$2) * AND(N141&gt;=$D$1, H141&lt;=$I$2, G141&gt;=$H$2)))</f>
        <v/>
      </c>
      <c r="AF141">
        <f>IF(AE141&gt;0, 1, 0)</f>
        <v/>
      </c>
      <c r="AG141">
        <f>IFERROR(IF(ISNUMBER(W141), IF(AN141, N141*W141*$AN$2, N141*W141), NA()), NA())</f>
        <v/>
      </c>
      <c r="AH141" s="13">
        <f>IFERROR(MIN(AG141, $U$2), 0)</f>
        <v/>
      </c>
      <c r="AI141" s="14">
        <f>IFERROR(VLOOKUP(A141, KEEPA!$A:$AW, 26, FALSE), 0)</f>
        <v/>
      </c>
      <c r="AJ141" s="16">
        <f>IFERROR(IF(AI141=0, 0, (AI141-H141)/H141), 0)</f>
        <v/>
      </c>
      <c r="AK141" s="14">
        <f>IFERROR(VLOOKUP(A141, KEEPA!$A:$AW, 28, FALSE), 0)</f>
        <v/>
      </c>
      <c r="AL141" s="16">
        <f>IFERROR(IF(AK141=0, 0, (AK141-H141)/H141), 0)</f>
        <v/>
      </c>
      <c r="AM141" s="13">
        <f>IFERROR(VLOOKUP(A141, AZInsight_Data!$A:$AS, 34, FALSE), 0)</f>
        <v/>
      </c>
      <c r="AN141">
        <f>IFERROR(AND(VLOOKUP(A141, KEEPA!$A:$AW, 2, FALSE)&lt;=$AO$2, N141 &gt;= $AM$2), FALSE)</f>
        <v/>
      </c>
      <c r="AO141" s="16">
        <f>IFERROR(VLOOKUP(A141, KEEPA!$A:$AW, 24, FALSE), 0)</f>
        <v/>
      </c>
      <c r="AP141" s="16">
        <f>IFERROR(VLOOKUP(A141, KEEPA!$A:$AW, 48, FALSE), 0)</f>
        <v/>
      </c>
      <c r="AQ141">
        <f>IFERROR(VLOOKUP(A141, AZInsight_Data!$A:$AS, 5, FALSE), "SL")</f>
        <v/>
      </c>
      <c r="AR141">
        <f>IF(OR(A141="", A141=0), "", HYPERLINK("https://keepa.com/#!product/1-"&amp;A141, "Keepa"))</f>
        <v/>
      </c>
      <c r="AS141">
        <f>IF(OR(A141="", A141=0), "", HYPERLINK("https://www.amazon.com/dp/"&amp;A141, "Amazon"))</f>
        <v/>
      </c>
      <c r="AT141">
        <f>IF(OR(A141="", A141=0), "", HYPERLINK("https://sellercentral.amazon.com/product-search/search?q="&amp;A141, "Check Gated"))</f>
        <v/>
      </c>
      <c r="AU141" s="12" t="n"/>
      <c r="AV141" s="12" t="n"/>
      <c r="AW141" s="12" t="n"/>
    </row>
    <row r="142">
      <c r="A142" s="12" t="n"/>
      <c r="B142" s="12">
        <f>IFERROR(VLOOKUP(A142, AZInsight_Data!$A:$AS, 3, FALSE), "")</f>
        <v/>
      </c>
      <c r="C142" s="13">
        <f>IFERROR(VLOOKUP(A142, AZInsight_Data!$A:$AS, 9, FALSE), 0)</f>
        <v/>
      </c>
      <c r="D142">
        <f>IFERROR(VLOOKUP(A142, AZInsight_Data!$A:$AS, 17, FALSE), 0)</f>
        <v/>
      </c>
      <c r="E142">
        <f>IFERROR(VLOOKUP(A142, AZInsight_Data!$A:$AS, 18, FALSE), 0)</f>
        <v/>
      </c>
      <c r="F142" s="14">
        <f>IFERROR(VLOOKUP(A142, AZInsight_Data!$A:$AS, 7, FALSE), 0)</f>
        <v/>
      </c>
      <c r="G142" s="15">
        <f>IFERROR(VLOOKUP(A142, AZInsight_Data!$A:$AS, 14, FALSE), 0)</f>
        <v/>
      </c>
      <c r="H142" s="14">
        <f>IFERROR(VLOOKUP(A142, AZInsight_Data!$A:$AS, 8, FALSE), 0)</f>
        <v/>
      </c>
      <c r="I142" s="16">
        <f>IFERROR(VLOOKUP(A142, KEEPA!$A:$AW, 47, FALSE), 0)</f>
        <v/>
      </c>
      <c r="J142">
        <f>IFERROR(VLOOKUP(A142, AZInsight_Data!$A:$AS, 25, FALSE), 0)</f>
        <v/>
      </c>
      <c r="K142" s="15">
        <f>IFERROR(VLOOKUP(A142, AZInsight_Data!$A:$AS, 16, FALSE), 0)</f>
        <v/>
      </c>
      <c r="L142" s="15">
        <f>IFERROR(K142-T142-J142, 0)</f>
        <v/>
      </c>
      <c r="M142" s="16">
        <f>IFERROR(IF(T142=0, 0, L142/T142), 0)</f>
        <v/>
      </c>
      <c r="N142" s="14">
        <f>IFERROR(C142*($V$2/30), 0)</f>
        <v/>
      </c>
      <c r="O142">
        <f>IFERROR(VLOOKUP(A142, AZInsight_Data!$A:$AS, 40, FALSE), 1)</f>
        <v/>
      </c>
      <c r="P142" s="13">
        <f>IF(O142&gt;0, O142, 1)</f>
        <v/>
      </c>
      <c r="Q142" s="13">
        <f>IFERROR(U142/P142, 0)</f>
        <v/>
      </c>
      <c r="R142">
        <f>IFERROR(VLOOKUP(A142, AZInsight_Data!$A:$AS, 36, FALSE), "")</f>
        <v/>
      </c>
      <c r="S142">
        <f>IFERROR(VLOOKUP(A142, AZInsight_Data!$A:$AS, 3, FALSE), "")</f>
        <v/>
      </c>
      <c r="T142" s="17">
        <f>IFERROR(VLOOKUP(A142, AZInsight_Data!$A:$AS, 13, FALSE), 0)</f>
        <v/>
      </c>
      <c r="U142" s="13">
        <f>AH142</f>
        <v/>
      </c>
      <c r="V142" s="15">
        <f>T142*U142</f>
        <v/>
      </c>
      <c r="W142" s="16" t="n"/>
      <c r="X142" s="12">
        <f>IFERROR(VLOOKUP(A142, AZInsight_Data!$A:$AS, 40, FALSE), 1)</f>
        <v/>
      </c>
      <c r="Y142" s="13">
        <f>IFERROR(VLOOKUP(A142, IP Qty!$D:$R, 5, FALSE), 0)</f>
        <v/>
      </c>
      <c r="Z142" s="14">
        <f>IFERROR(VLOOKUP(A142, IP Qty!$D:$R, 6, FALSE), 0)</f>
        <v/>
      </c>
      <c r="AA142">
        <f>IFERROR(VLOOKUP(A142, IP Qty!$D:$R, 7, FALSE), 0)</f>
        <v/>
      </c>
      <c r="AB142">
        <f>IFERROR(VLOOKUP(A142, IP Qty!$D:$R, 9, FALSE), 0)</f>
        <v/>
      </c>
      <c r="AC142">
        <f>IFERROR(VLOOKUP(A142, IP Qty!$D:$R, 8, FALSE), 0)</f>
        <v/>
      </c>
      <c r="AD142" s="14">
        <f>IFERROR(VLOOKUP(A142, KEEPA!$A:$AW, 34, FALSE), 0)</f>
        <v/>
      </c>
      <c r="AE142" s="15">
        <f>IF(P142&gt;1, ((((M142&gt;=$AD$2)*(L142&gt;=$AH$2)) + ((M142&lt;$AD$2)*(M142&gt;=$AE$2)*(L142&gt;=$AG$2)) + ((M142&lt;$AE$2)*(M142&gt;=$AC$2)*(L142&gt;=0)))*2 * IF($AI$2=0, 1, AI142&lt;=$AI$2) * IF($AK$2=0, 1, AK142&lt;=$AK$2) * AND(N142&gt;=$D$1, H142&lt;=$I$2, G142&gt;=$H$2)), ((((M142&gt;=$AD$2)*(L142&gt;=$AH$2)) + ((M142&lt;$AD$2)*(M142&gt;=$AE$2)*(L142&gt;=$AG$2)) + ((M142&lt;$AE$2)*(M142&gt;=$AC$2)*(L142&gt;=0))) * IF($AI$2=0, 1, AI142&lt;=$AI$2) * IF($AK$2=0, 1, AK142&lt;=$AK$2) * AND(N142&gt;=$D$1, H142&lt;=$I$2, G142&gt;=$H$2)))</f>
        <v/>
      </c>
      <c r="AF142">
        <f>IF(AE142&gt;0, 1, 0)</f>
        <v/>
      </c>
      <c r="AG142">
        <f>IFERROR(IF(ISNUMBER(W142), IF(AN142, N142*W142*$AN$2, N142*W142), NA()), NA())</f>
        <v/>
      </c>
      <c r="AH142" s="13">
        <f>IFERROR(MIN(AG142, $U$2), 0)</f>
        <v/>
      </c>
      <c r="AI142" s="14">
        <f>IFERROR(VLOOKUP(A142, KEEPA!$A:$AW, 26, FALSE), 0)</f>
        <v/>
      </c>
      <c r="AJ142" s="16">
        <f>IFERROR(IF(AI142=0, 0, (AI142-H142)/H142), 0)</f>
        <v/>
      </c>
      <c r="AK142" s="14">
        <f>IFERROR(VLOOKUP(A142, KEEPA!$A:$AW, 28, FALSE), 0)</f>
        <v/>
      </c>
      <c r="AL142" s="16">
        <f>IFERROR(IF(AK142=0, 0, (AK142-H142)/H142), 0)</f>
        <v/>
      </c>
      <c r="AM142" s="13">
        <f>IFERROR(VLOOKUP(A142, AZInsight_Data!$A:$AS, 34, FALSE), 0)</f>
        <v/>
      </c>
      <c r="AN142">
        <f>IFERROR(AND(VLOOKUP(A142, KEEPA!$A:$AW, 2, FALSE)&lt;=$AO$2, N142 &gt;= $AM$2), FALSE)</f>
        <v/>
      </c>
      <c r="AO142" s="16">
        <f>IFERROR(VLOOKUP(A142, KEEPA!$A:$AW, 24, FALSE), 0)</f>
        <v/>
      </c>
      <c r="AP142" s="16">
        <f>IFERROR(VLOOKUP(A142, KEEPA!$A:$AW, 48, FALSE), 0)</f>
        <v/>
      </c>
      <c r="AQ142">
        <f>IFERROR(VLOOKUP(A142, AZInsight_Data!$A:$AS, 5, FALSE), "SL")</f>
        <v/>
      </c>
      <c r="AR142">
        <f>IF(OR(A142="", A142=0), "", HYPERLINK("https://keepa.com/#!product/1-"&amp;A142, "Keepa"))</f>
        <v/>
      </c>
      <c r="AS142">
        <f>IF(OR(A142="", A142=0), "", HYPERLINK("https://www.amazon.com/dp/"&amp;A142, "Amazon"))</f>
        <v/>
      </c>
      <c r="AT142">
        <f>IF(OR(A142="", A142=0), "", HYPERLINK("https://sellercentral.amazon.com/product-search/search?q="&amp;A142, "Check Gated"))</f>
        <v/>
      </c>
      <c r="AU142" s="12" t="n"/>
      <c r="AV142" s="12" t="n"/>
      <c r="AW142" s="12" t="n"/>
    </row>
    <row r="143">
      <c r="A143" s="12" t="n"/>
      <c r="B143" s="12">
        <f>IFERROR(VLOOKUP(A143, AZInsight_Data!$A:$AS, 3, FALSE), "")</f>
        <v/>
      </c>
      <c r="C143" s="13">
        <f>IFERROR(VLOOKUP(A143, AZInsight_Data!$A:$AS, 9, FALSE), 0)</f>
        <v/>
      </c>
      <c r="D143">
        <f>IFERROR(VLOOKUP(A143, AZInsight_Data!$A:$AS, 17, FALSE), 0)</f>
        <v/>
      </c>
      <c r="E143">
        <f>IFERROR(VLOOKUP(A143, AZInsight_Data!$A:$AS, 18, FALSE), 0)</f>
        <v/>
      </c>
      <c r="F143" s="14">
        <f>IFERROR(VLOOKUP(A143, AZInsight_Data!$A:$AS, 7, FALSE), 0)</f>
        <v/>
      </c>
      <c r="G143" s="15">
        <f>IFERROR(VLOOKUP(A143, AZInsight_Data!$A:$AS, 14, FALSE), 0)</f>
        <v/>
      </c>
      <c r="H143" s="14">
        <f>IFERROR(VLOOKUP(A143, AZInsight_Data!$A:$AS, 8, FALSE), 0)</f>
        <v/>
      </c>
      <c r="I143" s="16">
        <f>IFERROR(VLOOKUP(A143, KEEPA!$A:$AW, 47, FALSE), 0)</f>
        <v/>
      </c>
      <c r="J143">
        <f>IFERROR(VLOOKUP(A143, AZInsight_Data!$A:$AS, 25, FALSE), 0)</f>
        <v/>
      </c>
      <c r="K143" s="15">
        <f>IFERROR(VLOOKUP(A143, AZInsight_Data!$A:$AS, 16, FALSE), 0)</f>
        <v/>
      </c>
      <c r="L143" s="15">
        <f>IFERROR(K143-T143-J143, 0)</f>
        <v/>
      </c>
      <c r="M143" s="16">
        <f>IFERROR(IF(T143=0, 0, L143/T143), 0)</f>
        <v/>
      </c>
      <c r="N143" s="14">
        <f>IFERROR(C143*($V$2/30), 0)</f>
        <v/>
      </c>
      <c r="O143">
        <f>IFERROR(VLOOKUP(A143, AZInsight_Data!$A:$AS, 40, FALSE), 1)</f>
        <v/>
      </c>
      <c r="P143" s="13">
        <f>IF(O143&gt;0, O143, 1)</f>
        <v/>
      </c>
      <c r="Q143" s="13">
        <f>IFERROR(U143/P143, 0)</f>
        <v/>
      </c>
      <c r="R143">
        <f>IFERROR(VLOOKUP(A143, AZInsight_Data!$A:$AS, 36, FALSE), "")</f>
        <v/>
      </c>
      <c r="S143">
        <f>IFERROR(VLOOKUP(A143, AZInsight_Data!$A:$AS, 3, FALSE), "")</f>
        <v/>
      </c>
      <c r="T143" s="17">
        <f>IFERROR(VLOOKUP(A143, AZInsight_Data!$A:$AS, 13, FALSE), 0)</f>
        <v/>
      </c>
      <c r="U143" s="13">
        <f>AH143</f>
        <v/>
      </c>
      <c r="V143" s="15">
        <f>T143*U143</f>
        <v/>
      </c>
      <c r="W143" s="16" t="n"/>
      <c r="X143" s="12">
        <f>IFERROR(VLOOKUP(A143, AZInsight_Data!$A:$AS, 40, FALSE), 1)</f>
        <v/>
      </c>
      <c r="Y143" s="13">
        <f>IFERROR(VLOOKUP(A143, IP Qty!$D:$R, 5, FALSE), 0)</f>
        <v/>
      </c>
      <c r="Z143" s="14">
        <f>IFERROR(VLOOKUP(A143, IP Qty!$D:$R, 6, FALSE), 0)</f>
        <v/>
      </c>
      <c r="AA143">
        <f>IFERROR(VLOOKUP(A143, IP Qty!$D:$R, 7, FALSE), 0)</f>
        <v/>
      </c>
      <c r="AB143">
        <f>IFERROR(VLOOKUP(A143, IP Qty!$D:$R, 9, FALSE), 0)</f>
        <v/>
      </c>
      <c r="AC143">
        <f>IFERROR(VLOOKUP(A143, IP Qty!$D:$R, 8, FALSE), 0)</f>
        <v/>
      </c>
      <c r="AD143" s="14">
        <f>IFERROR(VLOOKUP(A143, KEEPA!$A:$AW, 34, FALSE), 0)</f>
        <v/>
      </c>
      <c r="AE143" s="15">
        <f>IF(P143&gt;1, ((((M143&gt;=$AD$2)*(L143&gt;=$AH$2)) + ((M143&lt;$AD$2)*(M143&gt;=$AE$2)*(L143&gt;=$AG$2)) + ((M143&lt;$AE$2)*(M143&gt;=$AC$2)*(L143&gt;=0)))*2 * IF($AI$2=0, 1, AI143&lt;=$AI$2) * IF($AK$2=0, 1, AK143&lt;=$AK$2) * AND(N143&gt;=$D$1, H143&lt;=$I$2, G143&gt;=$H$2)), ((((M143&gt;=$AD$2)*(L143&gt;=$AH$2)) + ((M143&lt;$AD$2)*(M143&gt;=$AE$2)*(L143&gt;=$AG$2)) + ((M143&lt;$AE$2)*(M143&gt;=$AC$2)*(L143&gt;=0))) * IF($AI$2=0, 1, AI143&lt;=$AI$2) * IF($AK$2=0, 1, AK143&lt;=$AK$2) * AND(N143&gt;=$D$1, H143&lt;=$I$2, G143&gt;=$H$2)))</f>
        <v/>
      </c>
      <c r="AF143">
        <f>IF(AE143&gt;0, 1, 0)</f>
        <v/>
      </c>
      <c r="AG143">
        <f>IFERROR(IF(ISNUMBER(W143), IF(AN143, N143*W143*$AN$2, N143*W143), NA()), NA())</f>
        <v/>
      </c>
      <c r="AH143" s="13">
        <f>IFERROR(MIN(AG143, $U$2), 0)</f>
        <v/>
      </c>
      <c r="AI143" s="14">
        <f>IFERROR(VLOOKUP(A143, KEEPA!$A:$AW, 26, FALSE), 0)</f>
        <v/>
      </c>
      <c r="AJ143" s="16">
        <f>IFERROR(IF(AI143=0, 0, (AI143-H143)/H143), 0)</f>
        <v/>
      </c>
      <c r="AK143" s="14">
        <f>IFERROR(VLOOKUP(A143, KEEPA!$A:$AW, 28, FALSE), 0)</f>
        <v/>
      </c>
      <c r="AL143" s="16">
        <f>IFERROR(IF(AK143=0, 0, (AK143-H143)/H143), 0)</f>
        <v/>
      </c>
      <c r="AM143" s="13">
        <f>IFERROR(VLOOKUP(A143, AZInsight_Data!$A:$AS, 34, FALSE), 0)</f>
        <v/>
      </c>
      <c r="AN143">
        <f>IFERROR(AND(VLOOKUP(A143, KEEPA!$A:$AW, 2, FALSE)&lt;=$AO$2, N143 &gt;= $AM$2), FALSE)</f>
        <v/>
      </c>
      <c r="AO143" s="16">
        <f>IFERROR(VLOOKUP(A143, KEEPA!$A:$AW, 24, FALSE), 0)</f>
        <v/>
      </c>
      <c r="AP143" s="16">
        <f>IFERROR(VLOOKUP(A143, KEEPA!$A:$AW, 48, FALSE), 0)</f>
        <v/>
      </c>
      <c r="AQ143">
        <f>IFERROR(VLOOKUP(A143, AZInsight_Data!$A:$AS, 5, FALSE), "SL")</f>
        <v/>
      </c>
      <c r="AR143">
        <f>IF(OR(A143="", A143=0), "", HYPERLINK("https://keepa.com/#!product/1-"&amp;A143, "Keepa"))</f>
        <v/>
      </c>
      <c r="AS143">
        <f>IF(OR(A143="", A143=0), "", HYPERLINK("https://www.amazon.com/dp/"&amp;A143, "Amazon"))</f>
        <v/>
      </c>
      <c r="AT143">
        <f>IF(OR(A143="", A143=0), "", HYPERLINK("https://sellercentral.amazon.com/product-search/search?q="&amp;A143, "Check Gated"))</f>
        <v/>
      </c>
      <c r="AU143" s="12" t="n"/>
      <c r="AV143" s="12" t="n"/>
      <c r="AW143" s="12" t="n"/>
    </row>
    <row r="144">
      <c r="A144" s="12" t="n"/>
      <c r="B144" s="12">
        <f>IFERROR(VLOOKUP(A144, AZInsight_Data!$A:$AS, 3, FALSE), "")</f>
        <v/>
      </c>
      <c r="C144" s="13">
        <f>IFERROR(VLOOKUP(A144, AZInsight_Data!$A:$AS, 9, FALSE), 0)</f>
        <v/>
      </c>
      <c r="D144">
        <f>IFERROR(VLOOKUP(A144, AZInsight_Data!$A:$AS, 17, FALSE), 0)</f>
        <v/>
      </c>
      <c r="E144">
        <f>IFERROR(VLOOKUP(A144, AZInsight_Data!$A:$AS, 18, FALSE), 0)</f>
        <v/>
      </c>
      <c r="F144" s="14">
        <f>IFERROR(VLOOKUP(A144, AZInsight_Data!$A:$AS, 7, FALSE), 0)</f>
        <v/>
      </c>
      <c r="G144" s="15">
        <f>IFERROR(VLOOKUP(A144, AZInsight_Data!$A:$AS, 14, FALSE), 0)</f>
        <v/>
      </c>
      <c r="H144" s="14">
        <f>IFERROR(VLOOKUP(A144, AZInsight_Data!$A:$AS, 8, FALSE), 0)</f>
        <v/>
      </c>
      <c r="I144" s="16">
        <f>IFERROR(VLOOKUP(A144, KEEPA!$A:$AW, 47, FALSE), 0)</f>
        <v/>
      </c>
      <c r="J144">
        <f>IFERROR(VLOOKUP(A144, AZInsight_Data!$A:$AS, 25, FALSE), 0)</f>
        <v/>
      </c>
      <c r="K144" s="15">
        <f>IFERROR(VLOOKUP(A144, AZInsight_Data!$A:$AS, 16, FALSE), 0)</f>
        <v/>
      </c>
      <c r="L144" s="15">
        <f>IFERROR(K144-T144-J144, 0)</f>
        <v/>
      </c>
      <c r="M144" s="16">
        <f>IFERROR(IF(T144=0, 0, L144/T144), 0)</f>
        <v/>
      </c>
      <c r="N144" s="14">
        <f>IFERROR(C144*($V$2/30), 0)</f>
        <v/>
      </c>
      <c r="O144">
        <f>IFERROR(VLOOKUP(A144, AZInsight_Data!$A:$AS, 40, FALSE), 1)</f>
        <v/>
      </c>
      <c r="P144" s="13">
        <f>IF(O144&gt;0, O144, 1)</f>
        <v/>
      </c>
      <c r="Q144" s="13">
        <f>IFERROR(U144/P144, 0)</f>
        <v/>
      </c>
      <c r="R144">
        <f>IFERROR(VLOOKUP(A144, AZInsight_Data!$A:$AS, 36, FALSE), "")</f>
        <v/>
      </c>
      <c r="S144">
        <f>IFERROR(VLOOKUP(A144, AZInsight_Data!$A:$AS, 3, FALSE), "")</f>
        <v/>
      </c>
      <c r="T144" s="17">
        <f>IFERROR(VLOOKUP(A144, AZInsight_Data!$A:$AS, 13, FALSE), 0)</f>
        <v/>
      </c>
      <c r="U144" s="13">
        <f>AH144</f>
        <v/>
      </c>
      <c r="V144" s="15">
        <f>T144*U144</f>
        <v/>
      </c>
      <c r="W144" s="16" t="n"/>
      <c r="X144" s="12">
        <f>IFERROR(VLOOKUP(A144, AZInsight_Data!$A:$AS, 40, FALSE), 1)</f>
        <v/>
      </c>
      <c r="Y144" s="13">
        <f>IFERROR(VLOOKUP(A144, IP Qty!$D:$R, 5, FALSE), 0)</f>
        <v/>
      </c>
      <c r="Z144" s="14">
        <f>IFERROR(VLOOKUP(A144, IP Qty!$D:$R, 6, FALSE), 0)</f>
        <v/>
      </c>
      <c r="AA144">
        <f>IFERROR(VLOOKUP(A144, IP Qty!$D:$R, 7, FALSE), 0)</f>
        <v/>
      </c>
      <c r="AB144">
        <f>IFERROR(VLOOKUP(A144, IP Qty!$D:$R, 9, FALSE), 0)</f>
        <v/>
      </c>
      <c r="AC144">
        <f>IFERROR(VLOOKUP(A144, IP Qty!$D:$R, 8, FALSE), 0)</f>
        <v/>
      </c>
      <c r="AD144" s="14">
        <f>IFERROR(VLOOKUP(A144, KEEPA!$A:$AW, 34, FALSE), 0)</f>
        <v/>
      </c>
      <c r="AE144" s="15">
        <f>IF(P144&gt;1, ((((M144&gt;=$AD$2)*(L144&gt;=$AH$2)) + ((M144&lt;$AD$2)*(M144&gt;=$AE$2)*(L144&gt;=$AG$2)) + ((M144&lt;$AE$2)*(M144&gt;=$AC$2)*(L144&gt;=0)))*2 * IF($AI$2=0, 1, AI144&lt;=$AI$2) * IF($AK$2=0, 1, AK144&lt;=$AK$2) * AND(N144&gt;=$D$1, H144&lt;=$I$2, G144&gt;=$H$2)), ((((M144&gt;=$AD$2)*(L144&gt;=$AH$2)) + ((M144&lt;$AD$2)*(M144&gt;=$AE$2)*(L144&gt;=$AG$2)) + ((M144&lt;$AE$2)*(M144&gt;=$AC$2)*(L144&gt;=0))) * IF($AI$2=0, 1, AI144&lt;=$AI$2) * IF($AK$2=0, 1, AK144&lt;=$AK$2) * AND(N144&gt;=$D$1, H144&lt;=$I$2, G144&gt;=$H$2)))</f>
        <v/>
      </c>
      <c r="AF144">
        <f>IF(AE144&gt;0, 1, 0)</f>
        <v/>
      </c>
      <c r="AG144">
        <f>IFERROR(IF(ISNUMBER(W144), IF(AN144, N144*W144*$AN$2, N144*W144), NA()), NA())</f>
        <v/>
      </c>
      <c r="AH144" s="13">
        <f>IFERROR(MIN(AG144, $U$2), 0)</f>
        <v/>
      </c>
      <c r="AI144" s="14">
        <f>IFERROR(VLOOKUP(A144, KEEPA!$A:$AW, 26, FALSE), 0)</f>
        <v/>
      </c>
      <c r="AJ144" s="16">
        <f>IFERROR(IF(AI144=0, 0, (AI144-H144)/H144), 0)</f>
        <v/>
      </c>
      <c r="AK144" s="14">
        <f>IFERROR(VLOOKUP(A144, KEEPA!$A:$AW, 28, FALSE), 0)</f>
        <v/>
      </c>
      <c r="AL144" s="16">
        <f>IFERROR(IF(AK144=0, 0, (AK144-H144)/H144), 0)</f>
        <v/>
      </c>
      <c r="AM144" s="13">
        <f>IFERROR(VLOOKUP(A144, AZInsight_Data!$A:$AS, 34, FALSE), 0)</f>
        <v/>
      </c>
      <c r="AN144">
        <f>IFERROR(AND(VLOOKUP(A144, KEEPA!$A:$AW, 2, FALSE)&lt;=$AO$2, N144 &gt;= $AM$2), FALSE)</f>
        <v/>
      </c>
      <c r="AO144" s="16">
        <f>IFERROR(VLOOKUP(A144, KEEPA!$A:$AW, 24, FALSE), 0)</f>
        <v/>
      </c>
      <c r="AP144" s="16">
        <f>IFERROR(VLOOKUP(A144, KEEPA!$A:$AW, 48, FALSE), 0)</f>
        <v/>
      </c>
      <c r="AQ144">
        <f>IFERROR(VLOOKUP(A144, AZInsight_Data!$A:$AS, 5, FALSE), "SL")</f>
        <v/>
      </c>
      <c r="AR144">
        <f>IF(OR(A144="", A144=0), "", HYPERLINK("https://keepa.com/#!product/1-"&amp;A144, "Keepa"))</f>
        <v/>
      </c>
      <c r="AS144">
        <f>IF(OR(A144="", A144=0), "", HYPERLINK("https://www.amazon.com/dp/"&amp;A144, "Amazon"))</f>
        <v/>
      </c>
      <c r="AT144">
        <f>IF(OR(A144="", A144=0), "", HYPERLINK("https://sellercentral.amazon.com/product-search/search?q="&amp;A144, "Check Gated"))</f>
        <v/>
      </c>
      <c r="AU144" s="12" t="n"/>
      <c r="AV144" s="12" t="n"/>
      <c r="AW144" s="12" t="n"/>
    </row>
    <row r="145">
      <c r="A145" s="12" t="n"/>
      <c r="B145" s="12">
        <f>IFERROR(VLOOKUP(A145, AZInsight_Data!$A:$AS, 3, FALSE), "")</f>
        <v/>
      </c>
      <c r="C145" s="13">
        <f>IFERROR(VLOOKUP(A145, AZInsight_Data!$A:$AS, 9, FALSE), 0)</f>
        <v/>
      </c>
      <c r="D145">
        <f>IFERROR(VLOOKUP(A145, AZInsight_Data!$A:$AS, 17, FALSE), 0)</f>
        <v/>
      </c>
      <c r="E145">
        <f>IFERROR(VLOOKUP(A145, AZInsight_Data!$A:$AS, 18, FALSE), 0)</f>
        <v/>
      </c>
      <c r="F145" s="14">
        <f>IFERROR(VLOOKUP(A145, AZInsight_Data!$A:$AS, 7, FALSE), 0)</f>
        <v/>
      </c>
      <c r="G145" s="15">
        <f>IFERROR(VLOOKUP(A145, AZInsight_Data!$A:$AS, 14, FALSE), 0)</f>
        <v/>
      </c>
      <c r="H145" s="14">
        <f>IFERROR(VLOOKUP(A145, AZInsight_Data!$A:$AS, 8, FALSE), 0)</f>
        <v/>
      </c>
      <c r="I145" s="16">
        <f>IFERROR(VLOOKUP(A145, KEEPA!$A:$AW, 47, FALSE), 0)</f>
        <v/>
      </c>
      <c r="J145">
        <f>IFERROR(VLOOKUP(A145, AZInsight_Data!$A:$AS, 25, FALSE), 0)</f>
        <v/>
      </c>
      <c r="K145" s="15">
        <f>IFERROR(VLOOKUP(A145, AZInsight_Data!$A:$AS, 16, FALSE), 0)</f>
        <v/>
      </c>
      <c r="L145" s="15">
        <f>IFERROR(K145-T145-J145, 0)</f>
        <v/>
      </c>
      <c r="M145" s="16">
        <f>IFERROR(IF(T145=0, 0, L145/T145), 0)</f>
        <v/>
      </c>
      <c r="N145" s="14">
        <f>IFERROR(C145*($V$2/30), 0)</f>
        <v/>
      </c>
      <c r="O145">
        <f>IFERROR(VLOOKUP(A145, AZInsight_Data!$A:$AS, 40, FALSE), 1)</f>
        <v/>
      </c>
      <c r="P145" s="13">
        <f>IF(O145&gt;0, O145, 1)</f>
        <v/>
      </c>
      <c r="Q145" s="13">
        <f>IFERROR(U145/P145, 0)</f>
        <v/>
      </c>
      <c r="R145">
        <f>IFERROR(VLOOKUP(A145, AZInsight_Data!$A:$AS, 36, FALSE), "")</f>
        <v/>
      </c>
      <c r="S145">
        <f>IFERROR(VLOOKUP(A145, AZInsight_Data!$A:$AS, 3, FALSE), "")</f>
        <v/>
      </c>
      <c r="T145" s="17">
        <f>IFERROR(VLOOKUP(A145, AZInsight_Data!$A:$AS, 13, FALSE), 0)</f>
        <v/>
      </c>
      <c r="U145" s="13">
        <f>AH145</f>
        <v/>
      </c>
      <c r="V145" s="15">
        <f>T145*U145</f>
        <v/>
      </c>
      <c r="W145" s="16" t="n"/>
      <c r="X145" s="12">
        <f>IFERROR(VLOOKUP(A145, AZInsight_Data!$A:$AS, 40, FALSE), 1)</f>
        <v/>
      </c>
      <c r="Y145" s="13">
        <f>IFERROR(VLOOKUP(A145, IP Qty!$D:$R, 5, FALSE), 0)</f>
        <v/>
      </c>
      <c r="Z145" s="14">
        <f>IFERROR(VLOOKUP(A145, IP Qty!$D:$R, 6, FALSE), 0)</f>
        <v/>
      </c>
      <c r="AA145">
        <f>IFERROR(VLOOKUP(A145, IP Qty!$D:$R, 7, FALSE), 0)</f>
        <v/>
      </c>
      <c r="AB145">
        <f>IFERROR(VLOOKUP(A145, IP Qty!$D:$R, 9, FALSE), 0)</f>
        <v/>
      </c>
      <c r="AC145">
        <f>IFERROR(VLOOKUP(A145, IP Qty!$D:$R, 8, FALSE), 0)</f>
        <v/>
      </c>
      <c r="AD145" s="14">
        <f>IFERROR(VLOOKUP(A145, KEEPA!$A:$AW, 34, FALSE), 0)</f>
        <v/>
      </c>
      <c r="AE145" s="15">
        <f>IF(P145&gt;1, ((((M145&gt;=$AD$2)*(L145&gt;=$AH$2)) + ((M145&lt;$AD$2)*(M145&gt;=$AE$2)*(L145&gt;=$AG$2)) + ((M145&lt;$AE$2)*(M145&gt;=$AC$2)*(L145&gt;=0)))*2 * IF($AI$2=0, 1, AI145&lt;=$AI$2) * IF($AK$2=0, 1, AK145&lt;=$AK$2) * AND(N145&gt;=$D$1, H145&lt;=$I$2, G145&gt;=$H$2)), ((((M145&gt;=$AD$2)*(L145&gt;=$AH$2)) + ((M145&lt;$AD$2)*(M145&gt;=$AE$2)*(L145&gt;=$AG$2)) + ((M145&lt;$AE$2)*(M145&gt;=$AC$2)*(L145&gt;=0))) * IF($AI$2=0, 1, AI145&lt;=$AI$2) * IF($AK$2=0, 1, AK145&lt;=$AK$2) * AND(N145&gt;=$D$1, H145&lt;=$I$2, G145&gt;=$H$2)))</f>
        <v/>
      </c>
      <c r="AF145">
        <f>IF(AE145&gt;0, 1, 0)</f>
        <v/>
      </c>
      <c r="AG145">
        <f>IFERROR(IF(ISNUMBER(W145), IF(AN145, N145*W145*$AN$2, N145*W145), NA()), NA())</f>
        <v/>
      </c>
      <c r="AH145" s="13">
        <f>IFERROR(MIN(AG145, $U$2), 0)</f>
        <v/>
      </c>
      <c r="AI145" s="14">
        <f>IFERROR(VLOOKUP(A145, KEEPA!$A:$AW, 26, FALSE), 0)</f>
        <v/>
      </c>
      <c r="AJ145" s="16">
        <f>IFERROR(IF(AI145=0, 0, (AI145-H145)/H145), 0)</f>
        <v/>
      </c>
      <c r="AK145" s="14">
        <f>IFERROR(VLOOKUP(A145, KEEPA!$A:$AW, 28, FALSE), 0)</f>
        <v/>
      </c>
      <c r="AL145" s="16">
        <f>IFERROR(IF(AK145=0, 0, (AK145-H145)/H145), 0)</f>
        <v/>
      </c>
      <c r="AM145" s="13">
        <f>IFERROR(VLOOKUP(A145, AZInsight_Data!$A:$AS, 34, FALSE), 0)</f>
        <v/>
      </c>
      <c r="AN145">
        <f>IFERROR(AND(VLOOKUP(A145, KEEPA!$A:$AW, 2, FALSE)&lt;=$AO$2, N145 &gt;= $AM$2), FALSE)</f>
        <v/>
      </c>
      <c r="AO145" s="16">
        <f>IFERROR(VLOOKUP(A145, KEEPA!$A:$AW, 24, FALSE), 0)</f>
        <v/>
      </c>
      <c r="AP145" s="16">
        <f>IFERROR(VLOOKUP(A145, KEEPA!$A:$AW, 48, FALSE), 0)</f>
        <v/>
      </c>
      <c r="AQ145">
        <f>IFERROR(VLOOKUP(A145, AZInsight_Data!$A:$AS, 5, FALSE), "SL")</f>
        <v/>
      </c>
      <c r="AR145">
        <f>IF(OR(A145="", A145=0), "", HYPERLINK("https://keepa.com/#!product/1-"&amp;A145, "Keepa"))</f>
        <v/>
      </c>
      <c r="AS145">
        <f>IF(OR(A145="", A145=0), "", HYPERLINK("https://www.amazon.com/dp/"&amp;A145, "Amazon"))</f>
        <v/>
      </c>
      <c r="AT145">
        <f>IF(OR(A145="", A145=0), "", HYPERLINK("https://sellercentral.amazon.com/product-search/search?q="&amp;A145, "Check Gated"))</f>
        <v/>
      </c>
      <c r="AU145" s="12" t="n"/>
      <c r="AV145" s="12" t="n"/>
      <c r="AW145" s="12" t="n"/>
    </row>
    <row r="146">
      <c r="A146" s="12" t="n"/>
      <c r="B146" s="12">
        <f>IFERROR(VLOOKUP(A146, AZInsight_Data!$A:$AS, 3, FALSE), "")</f>
        <v/>
      </c>
      <c r="C146" s="13">
        <f>IFERROR(VLOOKUP(A146, AZInsight_Data!$A:$AS, 9, FALSE), 0)</f>
        <v/>
      </c>
      <c r="D146">
        <f>IFERROR(VLOOKUP(A146, AZInsight_Data!$A:$AS, 17, FALSE), 0)</f>
        <v/>
      </c>
      <c r="E146">
        <f>IFERROR(VLOOKUP(A146, AZInsight_Data!$A:$AS, 18, FALSE), 0)</f>
        <v/>
      </c>
      <c r="F146" s="14">
        <f>IFERROR(VLOOKUP(A146, AZInsight_Data!$A:$AS, 7, FALSE), 0)</f>
        <v/>
      </c>
      <c r="G146" s="15">
        <f>IFERROR(VLOOKUP(A146, AZInsight_Data!$A:$AS, 14, FALSE), 0)</f>
        <v/>
      </c>
      <c r="H146" s="14">
        <f>IFERROR(VLOOKUP(A146, AZInsight_Data!$A:$AS, 8, FALSE), 0)</f>
        <v/>
      </c>
      <c r="I146" s="16">
        <f>IFERROR(VLOOKUP(A146, KEEPA!$A:$AW, 47, FALSE), 0)</f>
        <v/>
      </c>
      <c r="J146">
        <f>IFERROR(VLOOKUP(A146, AZInsight_Data!$A:$AS, 25, FALSE), 0)</f>
        <v/>
      </c>
      <c r="K146" s="15">
        <f>IFERROR(VLOOKUP(A146, AZInsight_Data!$A:$AS, 16, FALSE), 0)</f>
        <v/>
      </c>
      <c r="L146" s="15">
        <f>IFERROR(K146-T146-J146, 0)</f>
        <v/>
      </c>
      <c r="M146" s="16">
        <f>IFERROR(IF(T146=0, 0, L146/T146), 0)</f>
        <v/>
      </c>
      <c r="N146" s="14">
        <f>IFERROR(C146*($V$2/30), 0)</f>
        <v/>
      </c>
      <c r="O146">
        <f>IFERROR(VLOOKUP(A146, AZInsight_Data!$A:$AS, 40, FALSE), 1)</f>
        <v/>
      </c>
      <c r="P146" s="13">
        <f>IF(O146&gt;0, O146, 1)</f>
        <v/>
      </c>
      <c r="Q146" s="13">
        <f>IFERROR(U146/P146, 0)</f>
        <v/>
      </c>
      <c r="R146">
        <f>IFERROR(VLOOKUP(A146, AZInsight_Data!$A:$AS, 36, FALSE), "")</f>
        <v/>
      </c>
      <c r="S146">
        <f>IFERROR(VLOOKUP(A146, AZInsight_Data!$A:$AS, 3, FALSE), "")</f>
        <v/>
      </c>
      <c r="T146" s="17">
        <f>IFERROR(VLOOKUP(A146, AZInsight_Data!$A:$AS, 13, FALSE), 0)</f>
        <v/>
      </c>
      <c r="U146" s="13">
        <f>AH146</f>
        <v/>
      </c>
      <c r="V146" s="15">
        <f>T146*U146</f>
        <v/>
      </c>
      <c r="W146" s="16" t="n"/>
      <c r="X146" s="12">
        <f>IFERROR(VLOOKUP(A146, AZInsight_Data!$A:$AS, 40, FALSE), 1)</f>
        <v/>
      </c>
      <c r="Y146" s="13">
        <f>IFERROR(VLOOKUP(A146, IP Qty!$D:$R, 5, FALSE), 0)</f>
        <v/>
      </c>
      <c r="Z146" s="14">
        <f>IFERROR(VLOOKUP(A146, IP Qty!$D:$R, 6, FALSE), 0)</f>
        <v/>
      </c>
      <c r="AA146">
        <f>IFERROR(VLOOKUP(A146, IP Qty!$D:$R, 7, FALSE), 0)</f>
        <v/>
      </c>
      <c r="AB146">
        <f>IFERROR(VLOOKUP(A146, IP Qty!$D:$R, 9, FALSE), 0)</f>
        <v/>
      </c>
      <c r="AC146">
        <f>IFERROR(VLOOKUP(A146, IP Qty!$D:$R, 8, FALSE), 0)</f>
        <v/>
      </c>
      <c r="AD146" s="14">
        <f>IFERROR(VLOOKUP(A146, KEEPA!$A:$AW, 34, FALSE), 0)</f>
        <v/>
      </c>
      <c r="AE146" s="15">
        <f>IF(P146&gt;1, ((((M146&gt;=$AD$2)*(L146&gt;=$AH$2)) + ((M146&lt;$AD$2)*(M146&gt;=$AE$2)*(L146&gt;=$AG$2)) + ((M146&lt;$AE$2)*(M146&gt;=$AC$2)*(L146&gt;=0)))*2 * IF($AI$2=0, 1, AI146&lt;=$AI$2) * IF($AK$2=0, 1, AK146&lt;=$AK$2) * AND(N146&gt;=$D$1, H146&lt;=$I$2, G146&gt;=$H$2)), ((((M146&gt;=$AD$2)*(L146&gt;=$AH$2)) + ((M146&lt;$AD$2)*(M146&gt;=$AE$2)*(L146&gt;=$AG$2)) + ((M146&lt;$AE$2)*(M146&gt;=$AC$2)*(L146&gt;=0))) * IF($AI$2=0, 1, AI146&lt;=$AI$2) * IF($AK$2=0, 1, AK146&lt;=$AK$2) * AND(N146&gt;=$D$1, H146&lt;=$I$2, G146&gt;=$H$2)))</f>
        <v/>
      </c>
      <c r="AF146">
        <f>IF(AE146&gt;0, 1, 0)</f>
        <v/>
      </c>
      <c r="AG146">
        <f>IFERROR(IF(ISNUMBER(W146), IF(AN146, N146*W146*$AN$2, N146*W146), NA()), NA())</f>
        <v/>
      </c>
      <c r="AH146" s="13">
        <f>IFERROR(MIN(AG146, $U$2), 0)</f>
        <v/>
      </c>
      <c r="AI146" s="14">
        <f>IFERROR(VLOOKUP(A146, KEEPA!$A:$AW, 26, FALSE), 0)</f>
        <v/>
      </c>
      <c r="AJ146" s="16">
        <f>IFERROR(IF(AI146=0, 0, (AI146-H146)/H146), 0)</f>
        <v/>
      </c>
      <c r="AK146" s="14">
        <f>IFERROR(VLOOKUP(A146, KEEPA!$A:$AW, 28, FALSE), 0)</f>
        <v/>
      </c>
      <c r="AL146" s="16">
        <f>IFERROR(IF(AK146=0, 0, (AK146-H146)/H146), 0)</f>
        <v/>
      </c>
      <c r="AM146" s="13">
        <f>IFERROR(VLOOKUP(A146, AZInsight_Data!$A:$AS, 34, FALSE), 0)</f>
        <v/>
      </c>
      <c r="AN146">
        <f>IFERROR(AND(VLOOKUP(A146, KEEPA!$A:$AW, 2, FALSE)&lt;=$AO$2, N146 &gt;= $AM$2), FALSE)</f>
        <v/>
      </c>
      <c r="AO146" s="16">
        <f>IFERROR(VLOOKUP(A146, KEEPA!$A:$AW, 24, FALSE), 0)</f>
        <v/>
      </c>
      <c r="AP146" s="16">
        <f>IFERROR(VLOOKUP(A146, KEEPA!$A:$AW, 48, FALSE), 0)</f>
        <v/>
      </c>
      <c r="AQ146">
        <f>IFERROR(VLOOKUP(A146, AZInsight_Data!$A:$AS, 5, FALSE), "SL")</f>
        <v/>
      </c>
      <c r="AR146">
        <f>IF(OR(A146="", A146=0), "", HYPERLINK("https://keepa.com/#!product/1-"&amp;A146, "Keepa"))</f>
        <v/>
      </c>
      <c r="AS146">
        <f>IF(OR(A146="", A146=0), "", HYPERLINK("https://www.amazon.com/dp/"&amp;A146, "Amazon"))</f>
        <v/>
      </c>
      <c r="AT146">
        <f>IF(OR(A146="", A146=0), "", HYPERLINK("https://sellercentral.amazon.com/product-search/search?q="&amp;A146, "Check Gated"))</f>
        <v/>
      </c>
      <c r="AU146" s="12" t="n"/>
      <c r="AV146" s="12" t="n"/>
      <c r="AW146" s="12" t="n"/>
    </row>
    <row r="147">
      <c r="A147" s="12" t="n"/>
      <c r="B147" s="12">
        <f>IFERROR(VLOOKUP(A147, AZInsight_Data!$A:$AS, 3, FALSE), "")</f>
        <v/>
      </c>
      <c r="C147" s="13">
        <f>IFERROR(VLOOKUP(A147, AZInsight_Data!$A:$AS, 9, FALSE), 0)</f>
        <v/>
      </c>
      <c r="D147">
        <f>IFERROR(VLOOKUP(A147, AZInsight_Data!$A:$AS, 17, FALSE), 0)</f>
        <v/>
      </c>
      <c r="E147">
        <f>IFERROR(VLOOKUP(A147, AZInsight_Data!$A:$AS, 18, FALSE), 0)</f>
        <v/>
      </c>
      <c r="F147" s="14">
        <f>IFERROR(VLOOKUP(A147, AZInsight_Data!$A:$AS, 7, FALSE), 0)</f>
        <v/>
      </c>
      <c r="G147" s="15">
        <f>IFERROR(VLOOKUP(A147, AZInsight_Data!$A:$AS, 14, FALSE), 0)</f>
        <v/>
      </c>
      <c r="H147" s="14">
        <f>IFERROR(VLOOKUP(A147, AZInsight_Data!$A:$AS, 8, FALSE), 0)</f>
        <v/>
      </c>
      <c r="I147" s="16">
        <f>IFERROR(VLOOKUP(A147, KEEPA!$A:$AW, 47, FALSE), 0)</f>
        <v/>
      </c>
      <c r="J147">
        <f>IFERROR(VLOOKUP(A147, AZInsight_Data!$A:$AS, 25, FALSE), 0)</f>
        <v/>
      </c>
      <c r="K147" s="15">
        <f>IFERROR(VLOOKUP(A147, AZInsight_Data!$A:$AS, 16, FALSE), 0)</f>
        <v/>
      </c>
      <c r="L147" s="15">
        <f>IFERROR(K147-T147-J147, 0)</f>
        <v/>
      </c>
      <c r="M147" s="16">
        <f>IFERROR(IF(T147=0, 0, L147/T147), 0)</f>
        <v/>
      </c>
      <c r="N147" s="14">
        <f>IFERROR(C147*($V$2/30), 0)</f>
        <v/>
      </c>
      <c r="O147">
        <f>IFERROR(VLOOKUP(A147, AZInsight_Data!$A:$AS, 40, FALSE), 1)</f>
        <v/>
      </c>
      <c r="P147" s="13">
        <f>IF(O147&gt;0, O147, 1)</f>
        <v/>
      </c>
      <c r="Q147" s="13">
        <f>IFERROR(U147/P147, 0)</f>
        <v/>
      </c>
      <c r="R147">
        <f>IFERROR(VLOOKUP(A147, AZInsight_Data!$A:$AS, 36, FALSE), "")</f>
        <v/>
      </c>
      <c r="S147">
        <f>IFERROR(VLOOKUP(A147, AZInsight_Data!$A:$AS, 3, FALSE), "")</f>
        <v/>
      </c>
      <c r="T147" s="17">
        <f>IFERROR(VLOOKUP(A147, AZInsight_Data!$A:$AS, 13, FALSE), 0)</f>
        <v/>
      </c>
      <c r="U147" s="13">
        <f>AH147</f>
        <v/>
      </c>
      <c r="V147" s="15">
        <f>T147*U147</f>
        <v/>
      </c>
      <c r="W147" s="16" t="n"/>
      <c r="X147" s="12">
        <f>IFERROR(VLOOKUP(A147, AZInsight_Data!$A:$AS, 40, FALSE), 1)</f>
        <v/>
      </c>
      <c r="Y147" s="13">
        <f>IFERROR(VLOOKUP(A147, IP Qty!$D:$R, 5, FALSE), 0)</f>
        <v/>
      </c>
      <c r="Z147" s="14">
        <f>IFERROR(VLOOKUP(A147, IP Qty!$D:$R, 6, FALSE), 0)</f>
        <v/>
      </c>
      <c r="AA147">
        <f>IFERROR(VLOOKUP(A147, IP Qty!$D:$R, 7, FALSE), 0)</f>
        <v/>
      </c>
      <c r="AB147">
        <f>IFERROR(VLOOKUP(A147, IP Qty!$D:$R, 9, FALSE), 0)</f>
        <v/>
      </c>
      <c r="AC147">
        <f>IFERROR(VLOOKUP(A147, IP Qty!$D:$R, 8, FALSE), 0)</f>
        <v/>
      </c>
      <c r="AD147" s="14">
        <f>IFERROR(VLOOKUP(A147, KEEPA!$A:$AW, 34, FALSE), 0)</f>
        <v/>
      </c>
      <c r="AE147" s="15">
        <f>IF(P147&gt;1, ((((M147&gt;=$AD$2)*(L147&gt;=$AH$2)) + ((M147&lt;$AD$2)*(M147&gt;=$AE$2)*(L147&gt;=$AG$2)) + ((M147&lt;$AE$2)*(M147&gt;=$AC$2)*(L147&gt;=0)))*2 * IF($AI$2=0, 1, AI147&lt;=$AI$2) * IF($AK$2=0, 1, AK147&lt;=$AK$2) * AND(N147&gt;=$D$1, H147&lt;=$I$2, G147&gt;=$H$2)), ((((M147&gt;=$AD$2)*(L147&gt;=$AH$2)) + ((M147&lt;$AD$2)*(M147&gt;=$AE$2)*(L147&gt;=$AG$2)) + ((M147&lt;$AE$2)*(M147&gt;=$AC$2)*(L147&gt;=0))) * IF($AI$2=0, 1, AI147&lt;=$AI$2) * IF($AK$2=0, 1, AK147&lt;=$AK$2) * AND(N147&gt;=$D$1, H147&lt;=$I$2, G147&gt;=$H$2)))</f>
        <v/>
      </c>
      <c r="AF147">
        <f>IF(AE147&gt;0, 1, 0)</f>
        <v/>
      </c>
      <c r="AG147">
        <f>IFERROR(IF(ISNUMBER(W147), IF(AN147, N147*W147*$AN$2, N147*W147), NA()), NA())</f>
        <v/>
      </c>
      <c r="AH147" s="13">
        <f>IFERROR(MIN(AG147, $U$2), 0)</f>
        <v/>
      </c>
      <c r="AI147" s="14">
        <f>IFERROR(VLOOKUP(A147, KEEPA!$A:$AW, 26, FALSE), 0)</f>
        <v/>
      </c>
      <c r="AJ147" s="16">
        <f>IFERROR(IF(AI147=0, 0, (AI147-H147)/H147), 0)</f>
        <v/>
      </c>
      <c r="AK147" s="14">
        <f>IFERROR(VLOOKUP(A147, KEEPA!$A:$AW, 28, FALSE), 0)</f>
        <v/>
      </c>
      <c r="AL147" s="16">
        <f>IFERROR(IF(AK147=0, 0, (AK147-H147)/H147), 0)</f>
        <v/>
      </c>
      <c r="AM147" s="13">
        <f>IFERROR(VLOOKUP(A147, AZInsight_Data!$A:$AS, 34, FALSE), 0)</f>
        <v/>
      </c>
      <c r="AN147">
        <f>IFERROR(AND(VLOOKUP(A147, KEEPA!$A:$AW, 2, FALSE)&lt;=$AO$2, N147 &gt;= $AM$2), FALSE)</f>
        <v/>
      </c>
      <c r="AO147" s="16">
        <f>IFERROR(VLOOKUP(A147, KEEPA!$A:$AW, 24, FALSE), 0)</f>
        <v/>
      </c>
      <c r="AP147" s="16">
        <f>IFERROR(VLOOKUP(A147, KEEPA!$A:$AW, 48, FALSE), 0)</f>
        <v/>
      </c>
      <c r="AQ147">
        <f>IFERROR(VLOOKUP(A147, AZInsight_Data!$A:$AS, 5, FALSE), "SL")</f>
        <v/>
      </c>
      <c r="AR147">
        <f>IF(OR(A147="", A147=0), "", HYPERLINK("https://keepa.com/#!product/1-"&amp;A147, "Keepa"))</f>
        <v/>
      </c>
      <c r="AS147">
        <f>IF(OR(A147="", A147=0), "", HYPERLINK("https://www.amazon.com/dp/"&amp;A147, "Amazon"))</f>
        <v/>
      </c>
      <c r="AT147">
        <f>IF(OR(A147="", A147=0), "", HYPERLINK("https://sellercentral.amazon.com/product-search/search?q="&amp;A147, "Check Gated"))</f>
        <v/>
      </c>
      <c r="AU147" s="12" t="n"/>
      <c r="AV147" s="12" t="n"/>
      <c r="AW147" s="12" t="n"/>
    </row>
    <row r="148">
      <c r="A148" s="12" t="n"/>
      <c r="B148" s="12">
        <f>IFERROR(VLOOKUP(A148, AZInsight_Data!$A:$AS, 3, FALSE), "")</f>
        <v/>
      </c>
      <c r="C148" s="13">
        <f>IFERROR(VLOOKUP(A148, AZInsight_Data!$A:$AS, 9, FALSE), 0)</f>
        <v/>
      </c>
      <c r="D148">
        <f>IFERROR(VLOOKUP(A148, AZInsight_Data!$A:$AS, 17, FALSE), 0)</f>
        <v/>
      </c>
      <c r="E148">
        <f>IFERROR(VLOOKUP(A148, AZInsight_Data!$A:$AS, 18, FALSE), 0)</f>
        <v/>
      </c>
      <c r="F148" s="14">
        <f>IFERROR(VLOOKUP(A148, AZInsight_Data!$A:$AS, 7, FALSE), 0)</f>
        <v/>
      </c>
      <c r="G148" s="15">
        <f>IFERROR(VLOOKUP(A148, AZInsight_Data!$A:$AS, 14, FALSE), 0)</f>
        <v/>
      </c>
      <c r="H148" s="14">
        <f>IFERROR(VLOOKUP(A148, AZInsight_Data!$A:$AS, 8, FALSE), 0)</f>
        <v/>
      </c>
      <c r="I148" s="16">
        <f>IFERROR(VLOOKUP(A148, KEEPA!$A:$AW, 47, FALSE), 0)</f>
        <v/>
      </c>
      <c r="J148">
        <f>IFERROR(VLOOKUP(A148, AZInsight_Data!$A:$AS, 25, FALSE), 0)</f>
        <v/>
      </c>
      <c r="K148" s="15">
        <f>IFERROR(VLOOKUP(A148, AZInsight_Data!$A:$AS, 16, FALSE), 0)</f>
        <v/>
      </c>
      <c r="L148" s="15">
        <f>IFERROR(K148-T148-J148, 0)</f>
        <v/>
      </c>
      <c r="M148" s="16">
        <f>IFERROR(IF(T148=0, 0, L148/T148), 0)</f>
        <v/>
      </c>
      <c r="N148" s="14">
        <f>IFERROR(C148*($V$2/30), 0)</f>
        <v/>
      </c>
      <c r="O148">
        <f>IFERROR(VLOOKUP(A148, AZInsight_Data!$A:$AS, 40, FALSE), 1)</f>
        <v/>
      </c>
      <c r="P148" s="13">
        <f>IF(O148&gt;0, O148, 1)</f>
        <v/>
      </c>
      <c r="Q148" s="13">
        <f>IFERROR(U148/P148, 0)</f>
        <v/>
      </c>
      <c r="R148">
        <f>IFERROR(VLOOKUP(A148, AZInsight_Data!$A:$AS, 36, FALSE), "")</f>
        <v/>
      </c>
      <c r="S148">
        <f>IFERROR(VLOOKUP(A148, AZInsight_Data!$A:$AS, 3, FALSE), "")</f>
        <v/>
      </c>
      <c r="T148" s="17">
        <f>IFERROR(VLOOKUP(A148, AZInsight_Data!$A:$AS, 13, FALSE), 0)</f>
        <v/>
      </c>
      <c r="U148" s="13">
        <f>AH148</f>
        <v/>
      </c>
      <c r="V148" s="15">
        <f>T148*U148</f>
        <v/>
      </c>
      <c r="W148" s="16" t="n"/>
      <c r="X148" s="12">
        <f>IFERROR(VLOOKUP(A148, AZInsight_Data!$A:$AS, 40, FALSE), 1)</f>
        <v/>
      </c>
      <c r="Y148" s="13">
        <f>IFERROR(VLOOKUP(A148, IP Qty!$D:$R, 5, FALSE), 0)</f>
        <v/>
      </c>
      <c r="Z148" s="14">
        <f>IFERROR(VLOOKUP(A148, IP Qty!$D:$R, 6, FALSE), 0)</f>
        <v/>
      </c>
      <c r="AA148">
        <f>IFERROR(VLOOKUP(A148, IP Qty!$D:$R, 7, FALSE), 0)</f>
        <v/>
      </c>
      <c r="AB148">
        <f>IFERROR(VLOOKUP(A148, IP Qty!$D:$R, 9, FALSE), 0)</f>
        <v/>
      </c>
      <c r="AC148">
        <f>IFERROR(VLOOKUP(A148, IP Qty!$D:$R, 8, FALSE), 0)</f>
        <v/>
      </c>
      <c r="AD148" s="14">
        <f>IFERROR(VLOOKUP(A148, KEEPA!$A:$AW, 34, FALSE), 0)</f>
        <v/>
      </c>
      <c r="AE148" s="15">
        <f>IF(P148&gt;1, ((((M148&gt;=$AD$2)*(L148&gt;=$AH$2)) + ((M148&lt;$AD$2)*(M148&gt;=$AE$2)*(L148&gt;=$AG$2)) + ((M148&lt;$AE$2)*(M148&gt;=$AC$2)*(L148&gt;=0)))*2 * IF($AI$2=0, 1, AI148&lt;=$AI$2) * IF($AK$2=0, 1, AK148&lt;=$AK$2) * AND(N148&gt;=$D$1, H148&lt;=$I$2, G148&gt;=$H$2)), ((((M148&gt;=$AD$2)*(L148&gt;=$AH$2)) + ((M148&lt;$AD$2)*(M148&gt;=$AE$2)*(L148&gt;=$AG$2)) + ((M148&lt;$AE$2)*(M148&gt;=$AC$2)*(L148&gt;=0))) * IF($AI$2=0, 1, AI148&lt;=$AI$2) * IF($AK$2=0, 1, AK148&lt;=$AK$2) * AND(N148&gt;=$D$1, H148&lt;=$I$2, G148&gt;=$H$2)))</f>
        <v/>
      </c>
      <c r="AF148">
        <f>IF(AE148&gt;0, 1, 0)</f>
        <v/>
      </c>
      <c r="AG148">
        <f>IFERROR(IF(ISNUMBER(W148), IF(AN148, N148*W148*$AN$2, N148*W148), NA()), NA())</f>
        <v/>
      </c>
      <c r="AH148" s="13">
        <f>IFERROR(MIN(AG148, $U$2), 0)</f>
        <v/>
      </c>
      <c r="AI148" s="14">
        <f>IFERROR(VLOOKUP(A148, KEEPA!$A:$AW, 26, FALSE), 0)</f>
        <v/>
      </c>
      <c r="AJ148" s="16">
        <f>IFERROR(IF(AI148=0, 0, (AI148-H148)/H148), 0)</f>
        <v/>
      </c>
      <c r="AK148" s="14">
        <f>IFERROR(VLOOKUP(A148, KEEPA!$A:$AW, 28, FALSE), 0)</f>
        <v/>
      </c>
      <c r="AL148" s="16">
        <f>IFERROR(IF(AK148=0, 0, (AK148-H148)/H148), 0)</f>
        <v/>
      </c>
      <c r="AM148" s="13">
        <f>IFERROR(VLOOKUP(A148, AZInsight_Data!$A:$AS, 34, FALSE), 0)</f>
        <v/>
      </c>
      <c r="AN148">
        <f>IFERROR(AND(VLOOKUP(A148, KEEPA!$A:$AW, 2, FALSE)&lt;=$AO$2, N148 &gt;= $AM$2), FALSE)</f>
        <v/>
      </c>
      <c r="AO148" s="16">
        <f>IFERROR(VLOOKUP(A148, KEEPA!$A:$AW, 24, FALSE), 0)</f>
        <v/>
      </c>
      <c r="AP148" s="16">
        <f>IFERROR(VLOOKUP(A148, KEEPA!$A:$AW, 48, FALSE), 0)</f>
        <v/>
      </c>
      <c r="AQ148">
        <f>IFERROR(VLOOKUP(A148, AZInsight_Data!$A:$AS, 5, FALSE), "SL")</f>
        <v/>
      </c>
      <c r="AR148">
        <f>IF(OR(A148="", A148=0), "", HYPERLINK("https://keepa.com/#!product/1-"&amp;A148, "Keepa"))</f>
        <v/>
      </c>
      <c r="AS148">
        <f>IF(OR(A148="", A148=0), "", HYPERLINK("https://www.amazon.com/dp/"&amp;A148, "Amazon"))</f>
        <v/>
      </c>
      <c r="AT148">
        <f>IF(OR(A148="", A148=0), "", HYPERLINK("https://sellercentral.amazon.com/product-search/search?q="&amp;A148, "Check Gated"))</f>
        <v/>
      </c>
      <c r="AU148" s="12" t="n"/>
      <c r="AV148" s="12" t="n"/>
      <c r="AW148" s="12" t="n"/>
    </row>
    <row r="149">
      <c r="A149" s="12" t="n"/>
      <c r="B149" s="12">
        <f>IFERROR(VLOOKUP(A149, AZInsight_Data!$A:$AS, 3, FALSE), "")</f>
        <v/>
      </c>
      <c r="C149" s="13">
        <f>IFERROR(VLOOKUP(A149, AZInsight_Data!$A:$AS, 9, FALSE), 0)</f>
        <v/>
      </c>
      <c r="D149">
        <f>IFERROR(VLOOKUP(A149, AZInsight_Data!$A:$AS, 17, FALSE), 0)</f>
        <v/>
      </c>
      <c r="E149">
        <f>IFERROR(VLOOKUP(A149, AZInsight_Data!$A:$AS, 18, FALSE), 0)</f>
        <v/>
      </c>
      <c r="F149" s="14">
        <f>IFERROR(VLOOKUP(A149, AZInsight_Data!$A:$AS, 7, FALSE), 0)</f>
        <v/>
      </c>
      <c r="G149" s="15">
        <f>IFERROR(VLOOKUP(A149, AZInsight_Data!$A:$AS, 14, FALSE), 0)</f>
        <v/>
      </c>
      <c r="H149" s="14">
        <f>IFERROR(VLOOKUP(A149, AZInsight_Data!$A:$AS, 8, FALSE), 0)</f>
        <v/>
      </c>
      <c r="I149" s="16">
        <f>IFERROR(VLOOKUP(A149, KEEPA!$A:$AW, 47, FALSE), 0)</f>
        <v/>
      </c>
      <c r="J149">
        <f>IFERROR(VLOOKUP(A149, AZInsight_Data!$A:$AS, 25, FALSE), 0)</f>
        <v/>
      </c>
      <c r="K149" s="15">
        <f>IFERROR(VLOOKUP(A149, AZInsight_Data!$A:$AS, 16, FALSE), 0)</f>
        <v/>
      </c>
      <c r="L149" s="15">
        <f>IFERROR(K149-T149-J149, 0)</f>
        <v/>
      </c>
      <c r="M149" s="16">
        <f>IFERROR(IF(T149=0, 0, L149/T149), 0)</f>
        <v/>
      </c>
      <c r="N149" s="14">
        <f>IFERROR(C149*($V$2/30), 0)</f>
        <v/>
      </c>
      <c r="O149">
        <f>IFERROR(VLOOKUP(A149, AZInsight_Data!$A:$AS, 40, FALSE), 1)</f>
        <v/>
      </c>
      <c r="P149" s="13">
        <f>IF(O149&gt;0, O149, 1)</f>
        <v/>
      </c>
      <c r="Q149" s="13">
        <f>IFERROR(U149/P149, 0)</f>
        <v/>
      </c>
      <c r="R149">
        <f>IFERROR(VLOOKUP(A149, AZInsight_Data!$A:$AS, 36, FALSE), "")</f>
        <v/>
      </c>
      <c r="S149">
        <f>IFERROR(VLOOKUP(A149, AZInsight_Data!$A:$AS, 3, FALSE), "")</f>
        <v/>
      </c>
      <c r="T149" s="17">
        <f>IFERROR(VLOOKUP(A149, AZInsight_Data!$A:$AS, 13, FALSE), 0)</f>
        <v/>
      </c>
      <c r="U149" s="13">
        <f>AH149</f>
        <v/>
      </c>
      <c r="V149" s="15">
        <f>T149*U149</f>
        <v/>
      </c>
      <c r="W149" s="16" t="n"/>
      <c r="X149" s="12">
        <f>IFERROR(VLOOKUP(A149, AZInsight_Data!$A:$AS, 40, FALSE), 1)</f>
        <v/>
      </c>
      <c r="Y149" s="13">
        <f>IFERROR(VLOOKUP(A149, IP Qty!$D:$R, 5, FALSE), 0)</f>
        <v/>
      </c>
      <c r="Z149" s="14">
        <f>IFERROR(VLOOKUP(A149, IP Qty!$D:$R, 6, FALSE), 0)</f>
        <v/>
      </c>
      <c r="AA149">
        <f>IFERROR(VLOOKUP(A149, IP Qty!$D:$R, 7, FALSE), 0)</f>
        <v/>
      </c>
      <c r="AB149">
        <f>IFERROR(VLOOKUP(A149, IP Qty!$D:$R, 9, FALSE), 0)</f>
        <v/>
      </c>
      <c r="AC149">
        <f>IFERROR(VLOOKUP(A149, IP Qty!$D:$R, 8, FALSE), 0)</f>
        <v/>
      </c>
      <c r="AD149" s="14">
        <f>IFERROR(VLOOKUP(A149, KEEPA!$A:$AW, 34, FALSE), 0)</f>
        <v/>
      </c>
      <c r="AE149" s="15">
        <f>IF(P149&gt;1, ((((M149&gt;=$AD$2)*(L149&gt;=$AH$2)) + ((M149&lt;$AD$2)*(M149&gt;=$AE$2)*(L149&gt;=$AG$2)) + ((M149&lt;$AE$2)*(M149&gt;=$AC$2)*(L149&gt;=0)))*2 * IF($AI$2=0, 1, AI149&lt;=$AI$2) * IF($AK$2=0, 1, AK149&lt;=$AK$2) * AND(N149&gt;=$D$1, H149&lt;=$I$2, G149&gt;=$H$2)), ((((M149&gt;=$AD$2)*(L149&gt;=$AH$2)) + ((M149&lt;$AD$2)*(M149&gt;=$AE$2)*(L149&gt;=$AG$2)) + ((M149&lt;$AE$2)*(M149&gt;=$AC$2)*(L149&gt;=0))) * IF($AI$2=0, 1, AI149&lt;=$AI$2) * IF($AK$2=0, 1, AK149&lt;=$AK$2) * AND(N149&gt;=$D$1, H149&lt;=$I$2, G149&gt;=$H$2)))</f>
        <v/>
      </c>
      <c r="AF149">
        <f>IF(AE149&gt;0, 1, 0)</f>
        <v/>
      </c>
      <c r="AG149">
        <f>IFERROR(IF(ISNUMBER(W149), IF(AN149, N149*W149*$AN$2, N149*W149), NA()), NA())</f>
        <v/>
      </c>
      <c r="AH149" s="13">
        <f>IFERROR(MIN(AG149, $U$2), 0)</f>
        <v/>
      </c>
      <c r="AI149" s="14">
        <f>IFERROR(VLOOKUP(A149, KEEPA!$A:$AW, 26, FALSE), 0)</f>
        <v/>
      </c>
      <c r="AJ149" s="16">
        <f>IFERROR(IF(AI149=0, 0, (AI149-H149)/H149), 0)</f>
        <v/>
      </c>
      <c r="AK149" s="14">
        <f>IFERROR(VLOOKUP(A149, KEEPA!$A:$AW, 28, FALSE), 0)</f>
        <v/>
      </c>
      <c r="AL149" s="16">
        <f>IFERROR(IF(AK149=0, 0, (AK149-H149)/H149), 0)</f>
        <v/>
      </c>
      <c r="AM149" s="13">
        <f>IFERROR(VLOOKUP(A149, AZInsight_Data!$A:$AS, 34, FALSE), 0)</f>
        <v/>
      </c>
      <c r="AN149">
        <f>IFERROR(AND(VLOOKUP(A149, KEEPA!$A:$AW, 2, FALSE)&lt;=$AO$2, N149 &gt;= $AM$2), FALSE)</f>
        <v/>
      </c>
      <c r="AO149" s="16">
        <f>IFERROR(VLOOKUP(A149, KEEPA!$A:$AW, 24, FALSE), 0)</f>
        <v/>
      </c>
      <c r="AP149" s="16">
        <f>IFERROR(VLOOKUP(A149, KEEPA!$A:$AW, 48, FALSE), 0)</f>
        <v/>
      </c>
      <c r="AQ149">
        <f>IFERROR(VLOOKUP(A149, AZInsight_Data!$A:$AS, 5, FALSE), "SL")</f>
        <v/>
      </c>
      <c r="AR149">
        <f>IF(OR(A149="", A149=0), "", HYPERLINK("https://keepa.com/#!product/1-"&amp;A149, "Keepa"))</f>
        <v/>
      </c>
      <c r="AS149">
        <f>IF(OR(A149="", A149=0), "", HYPERLINK("https://www.amazon.com/dp/"&amp;A149, "Amazon"))</f>
        <v/>
      </c>
      <c r="AT149">
        <f>IF(OR(A149="", A149=0), "", HYPERLINK("https://sellercentral.amazon.com/product-search/search?q="&amp;A149, "Check Gated"))</f>
        <v/>
      </c>
      <c r="AU149" s="12" t="n"/>
      <c r="AV149" s="12" t="n"/>
      <c r="AW149" s="12" t="n"/>
    </row>
    <row r="150">
      <c r="A150" s="12" t="n"/>
      <c r="B150" s="12">
        <f>IFERROR(VLOOKUP(A150, AZInsight_Data!$A:$AS, 3, FALSE), "")</f>
        <v/>
      </c>
      <c r="C150" s="13">
        <f>IFERROR(VLOOKUP(A150, AZInsight_Data!$A:$AS, 9, FALSE), 0)</f>
        <v/>
      </c>
      <c r="D150">
        <f>IFERROR(VLOOKUP(A150, AZInsight_Data!$A:$AS, 17, FALSE), 0)</f>
        <v/>
      </c>
      <c r="E150">
        <f>IFERROR(VLOOKUP(A150, AZInsight_Data!$A:$AS, 18, FALSE), 0)</f>
        <v/>
      </c>
      <c r="F150" s="14">
        <f>IFERROR(VLOOKUP(A150, AZInsight_Data!$A:$AS, 7, FALSE), 0)</f>
        <v/>
      </c>
      <c r="G150" s="15">
        <f>IFERROR(VLOOKUP(A150, AZInsight_Data!$A:$AS, 14, FALSE), 0)</f>
        <v/>
      </c>
      <c r="H150" s="14">
        <f>IFERROR(VLOOKUP(A150, AZInsight_Data!$A:$AS, 8, FALSE), 0)</f>
        <v/>
      </c>
      <c r="I150" s="16">
        <f>IFERROR(VLOOKUP(A150, KEEPA!$A:$AW, 47, FALSE), 0)</f>
        <v/>
      </c>
      <c r="J150">
        <f>IFERROR(VLOOKUP(A150, AZInsight_Data!$A:$AS, 25, FALSE), 0)</f>
        <v/>
      </c>
      <c r="K150" s="15">
        <f>IFERROR(VLOOKUP(A150, AZInsight_Data!$A:$AS, 16, FALSE), 0)</f>
        <v/>
      </c>
      <c r="L150" s="15">
        <f>IFERROR(K150-T150-J150, 0)</f>
        <v/>
      </c>
      <c r="M150" s="16">
        <f>IFERROR(IF(T150=0, 0, L150/T150), 0)</f>
        <v/>
      </c>
      <c r="N150" s="14">
        <f>IFERROR(C150*($V$2/30), 0)</f>
        <v/>
      </c>
      <c r="O150">
        <f>IFERROR(VLOOKUP(A150, AZInsight_Data!$A:$AS, 40, FALSE), 1)</f>
        <v/>
      </c>
      <c r="P150" s="13">
        <f>IF(O150&gt;0, O150, 1)</f>
        <v/>
      </c>
      <c r="Q150" s="13">
        <f>IFERROR(U150/P150, 0)</f>
        <v/>
      </c>
      <c r="R150">
        <f>IFERROR(VLOOKUP(A150, AZInsight_Data!$A:$AS, 36, FALSE), "")</f>
        <v/>
      </c>
      <c r="S150">
        <f>IFERROR(VLOOKUP(A150, AZInsight_Data!$A:$AS, 3, FALSE), "")</f>
        <v/>
      </c>
      <c r="T150" s="17">
        <f>IFERROR(VLOOKUP(A150, AZInsight_Data!$A:$AS, 13, FALSE), 0)</f>
        <v/>
      </c>
      <c r="U150" s="13">
        <f>AH150</f>
        <v/>
      </c>
      <c r="V150" s="15">
        <f>T150*U150</f>
        <v/>
      </c>
      <c r="W150" s="16" t="n"/>
      <c r="X150" s="12">
        <f>IFERROR(VLOOKUP(A150, AZInsight_Data!$A:$AS, 40, FALSE), 1)</f>
        <v/>
      </c>
      <c r="Y150" s="13">
        <f>IFERROR(VLOOKUP(A150, IP Qty!$D:$R, 5, FALSE), 0)</f>
        <v/>
      </c>
      <c r="Z150" s="14">
        <f>IFERROR(VLOOKUP(A150, IP Qty!$D:$R, 6, FALSE), 0)</f>
        <v/>
      </c>
      <c r="AA150">
        <f>IFERROR(VLOOKUP(A150, IP Qty!$D:$R, 7, FALSE), 0)</f>
        <v/>
      </c>
      <c r="AB150">
        <f>IFERROR(VLOOKUP(A150, IP Qty!$D:$R, 9, FALSE), 0)</f>
        <v/>
      </c>
      <c r="AC150">
        <f>IFERROR(VLOOKUP(A150, IP Qty!$D:$R, 8, FALSE), 0)</f>
        <v/>
      </c>
      <c r="AD150" s="14">
        <f>IFERROR(VLOOKUP(A150, KEEPA!$A:$AW, 34, FALSE), 0)</f>
        <v/>
      </c>
      <c r="AE150" s="15">
        <f>IF(P150&gt;1, ((((M150&gt;=$AD$2)*(L150&gt;=$AH$2)) + ((M150&lt;$AD$2)*(M150&gt;=$AE$2)*(L150&gt;=$AG$2)) + ((M150&lt;$AE$2)*(M150&gt;=$AC$2)*(L150&gt;=0)))*2 * IF($AI$2=0, 1, AI150&lt;=$AI$2) * IF($AK$2=0, 1, AK150&lt;=$AK$2) * AND(N150&gt;=$D$1, H150&lt;=$I$2, G150&gt;=$H$2)), ((((M150&gt;=$AD$2)*(L150&gt;=$AH$2)) + ((M150&lt;$AD$2)*(M150&gt;=$AE$2)*(L150&gt;=$AG$2)) + ((M150&lt;$AE$2)*(M150&gt;=$AC$2)*(L150&gt;=0))) * IF($AI$2=0, 1, AI150&lt;=$AI$2) * IF($AK$2=0, 1, AK150&lt;=$AK$2) * AND(N150&gt;=$D$1, H150&lt;=$I$2, G150&gt;=$H$2)))</f>
        <v/>
      </c>
      <c r="AF150">
        <f>IF(AE150&gt;0, 1, 0)</f>
        <v/>
      </c>
      <c r="AG150">
        <f>IFERROR(IF(ISNUMBER(W150), IF(AN150, N150*W150*$AN$2, N150*W150), NA()), NA())</f>
        <v/>
      </c>
      <c r="AH150" s="13">
        <f>IFERROR(MIN(AG150, $U$2), 0)</f>
        <v/>
      </c>
      <c r="AI150" s="14">
        <f>IFERROR(VLOOKUP(A150, KEEPA!$A:$AW, 26, FALSE), 0)</f>
        <v/>
      </c>
      <c r="AJ150" s="16">
        <f>IFERROR(IF(AI150=0, 0, (AI150-H150)/H150), 0)</f>
        <v/>
      </c>
      <c r="AK150" s="14">
        <f>IFERROR(VLOOKUP(A150, KEEPA!$A:$AW, 28, FALSE), 0)</f>
        <v/>
      </c>
      <c r="AL150" s="16">
        <f>IFERROR(IF(AK150=0, 0, (AK150-H150)/H150), 0)</f>
        <v/>
      </c>
      <c r="AM150" s="13">
        <f>IFERROR(VLOOKUP(A150, AZInsight_Data!$A:$AS, 34, FALSE), 0)</f>
        <v/>
      </c>
      <c r="AN150">
        <f>IFERROR(AND(VLOOKUP(A150, KEEPA!$A:$AW, 2, FALSE)&lt;=$AO$2, N150 &gt;= $AM$2), FALSE)</f>
        <v/>
      </c>
      <c r="AO150" s="16">
        <f>IFERROR(VLOOKUP(A150, KEEPA!$A:$AW, 24, FALSE), 0)</f>
        <v/>
      </c>
      <c r="AP150" s="16">
        <f>IFERROR(VLOOKUP(A150, KEEPA!$A:$AW, 48, FALSE), 0)</f>
        <v/>
      </c>
      <c r="AQ150">
        <f>IFERROR(VLOOKUP(A150, AZInsight_Data!$A:$AS, 5, FALSE), "SL")</f>
        <v/>
      </c>
      <c r="AR150">
        <f>IF(OR(A150="", A150=0), "", HYPERLINK("https://keepa.com/#!product/1-"&amp;A150, "Keepa"))</f>
        <v/>
      </c>
      <c r="AS150">
        <f>IF(OR(A150="", A150=0), "", HYPERLINK("https://www.amazon.com/dp/"&amp;A150, "Amazon"))</f>
        <v/>
      </c>
      <c r="AT150">
        <f>IF(OR(A150="", A150=0), "", HYPERLINK("https://sellercentral.amazon.com/product-search/search?q="&amp;A150, "Check Gated"))</f>
        <v/>
      </c>
      <c r="AU150" s="12" t="n"/>
      <c r="AV150" s="12" t="n"/>
      <c r="AW150" s="12" t="n"/>
    </row>
    <row r="151">
      <c r="A151" s="12" t="n"/>
      <c r="B151" s="12">
        <f>IFERROR(VLOOKUP(A151, AZInsight_Data!$A:$AS, 3, FALSE), "")</f>
        <v/>
      </c>
      <c r="C151" s="13">
        <f>IFERROR(VLOOKUP(A151, AZInsight_Data!$A:$AS, 9, FALSE), 0)</f>
        <v/>
      </c>
      <c r="D151">
        <f>IFERROR(VLOOKUP(A151, AZInsight_Data!$A:$AS, 17, FALSE), 0)</f>
        <v/>
      </c>
      <c r="E151">
        <f>IFERROR(VLOOKUP(A151, AZInsight_Data!$A:$AS, 18, FALSE), 0)</f>
        <v/>
      </c>
      <c r="F151" s="14">
        <f>IFERROR(VLOOKUP(A151, AZInsight_Data!$A:$AS, 7, FALSE), 0)</f>
        <v/>
      </c>
      <c r="G151" s="15">
        <f>IFERROR(VLOOKUP(A151, AZInsight_Data!$A:$AS, 14, FALSE), 0)</f>
        <v/>
      </c>
      <c r="H151" s="14">
        <f>IFERROR(VLOOKUP(A151, AZInsight_Data!$A:$AS, 8, FALSE), 0)</f>
        <v/>
      </c>
      <c r="I151" s="16">
        <f>IFERROR(VLOOKUP(A151, KEEPA!$A:$AW, 47, FALSE), 0)</f>
        <v/>
      </c>
      <c r="J151">
        <f>IFERROR(VLOOKUP(A151, AZInsight_Data!$A:$AS, 25, FALSE), 0)</f>
        <v/>
      </c>
      <c r="K151" s="15">
        <f>IFERROR(VLOOKUP(A151, AZInsight_Data!$A:$AS, 16, FALSE), 0)</f>
        <v/>
      </c>
      <c r="L151" s="15">
        <f>IFERROR(K151-T151-J151, 0)</f>
        <v/>
      </c>
      <c r="M151" s="16">
        <f>IFERROR(IF(T151=0, 0, L151/T151), 0)</f>
        <v/>
      </c>
      <c r="N151" s="14">
        <f>IFERROR(C151*($V$2/30), 0)</f>
        <v/>
      </c>
      <c r="O151">
        <f>IFERROR(VLOOKUP(A151, AZInsight_Data!$A:$AS, 40, FALSE), 1)</f>
        <v/>
      </c>
      <c r="P151" s="13">
        <f>IF(O151&gt;0, O151, 1)</f>
        <v/>
      </c>
      <c r="Q151" s="13">
        <f>IFERROR(U151/P151, 0)</f>
        <v/>
      </c>
      <c r="R151">
        <f>IFERROR(VLOOKUP(A151, AZInsight_Data!$A:$AS, 36, FALSE), "")</f>
        <v/>
      </c>
      <c r="S151">
        <f>IFERROR(VLOOKUP(A151, AZInsight_Data!$A:$AS, 3, FALSE), "")</f>
        <v/>
      </c>
      <c r="T151" s="17">
        <f>IFERROR(VLOOKUP(A151, AZInsight_Data!$A:$AS, 13, FALSE), 0)</f>
        <v/>
      </c>
      <c r="U151" s="13">
        <f>AH151</f>
        <v/>
      </c>
      <c r="V151" s="15">
        <f>T151*U151</f>
        <v/>
      </c>
      <c r="W151" s="16" t="n"/>
      <c r="X151" s="12">
        <f>IFERROR(VLOOKUP(A151, AZInsight_Data!$A:$AS, 40, FALSE), 1)</f>
        <v/>
      </c>
      <c r="Y151" s="13">
        <f>IFERROR(VLOOKUP(A151, IP Qty!$D:$R, 5, FALSE), 0)</f>
        <v/>
      </c>
      <c r="Z151" s="14">
        <f>IFERROR(VLOOKUP(A151, IP Qty!$D:$R, 6, FALSE), 0)</f>
        <v/>
      </c>
      <c r="AA151">
        <f>IFERROR(VLOOKUP(A151, IP Qty!$D:$R, 7, FALSE), 0)</f>
        <v/>
      </c>
      <c r="AB151">
        <f>IFERROR(VLOOKUP(A151, IP Qty!$D:$R, 9, FALSE), 0)</f>
        <v/>
      </c>
      <c r="AC151">
        <f>IFERROR(VLOOKUP(A151, IP Qty!$D:$R, 8, FALSE), 0)</f>
        <v/>
      </c>
      <c r="AD151" s="14">
        <f>IFERROR(VLOOKUP(A151, KEEPA!$A:$AW, 34, FALSE), 0)</f>
        <v/>
      </c>
      <c r="AE151" s="15">
        <f>IF(P151&gt;1, ((((M151&gt;=$AD$2)*(L151&gt;=$AH$2)) + ((M151&lt;$AD$2)*(M151&gt;=$AE$2)*(L151&gt;=$AG$2)) + ((M151&lt;$AE$2)*(M151&gt;=$AC$2)*(L151&gt;=0)))*2 * IF($AI$2=0, 1, AI151&lt;=$AI$2) * IF($AK$2=0, 1, AK151&lt;=$AK$2) * AND(N151&gt;=$D$1, H151&lt;=$I$2, G151&gt;=$H$2)), ((((M151&gt;=$AD$2)*(L151&gt;=$AH$2)) + ((M151&lt;$AD$2)*(M151&gt;=$AE$2)*(L151&gt;=$AG$2)) + ((M151&lt;$AE$2)*(M151&gt;=$AC$2)*(L151&gt;=0))) * IF($AI$2=0, 1, AI151&lt;=$AI$2) * IF($AK$2=0, 1, AK151&lt;=$AK$2) * AND(N151&gt;=$D$1, H151&lt;=$I$2, G151&gt;=$H$2)))</f>
        <v/>
      </c>
      <c r="AF151">
        <f>IF(AE151&gt;0, 1, 0)</f>
        <v/>
      </c>
      <c r="AG151">
        <f>IFERROR(IF(ISNUMBER(W151), IF(AN151, N151*W151*$AN$2, N151*W151), NA()), NA())</f>
        <v/>
      </c>
      <c r="AH151" s="13">
        <f>IFERROR(MIN(AG151, $U$2), 0)</f>
        <v/>
      </c>
      <c r="AI151" s="14">
        <f>IFERROR(VLOOKUP(A151, KEEPA!$A:$AW, 26, FALSE), 0)</f>
        <v/>
      </c>
      <c r="AJ151" s="16">
        <f>IFERROR(IF(AI151=0, 0, (AI151-H151)/H151), 0)</f>
        <v/>
      </c>
      <c r="AK151" s="14">
        <f>IFERROR(VLOOKUP(A151, KEEPA!$A:$AW, 28, FALSE), 0)</f>
        <v/>
      </c>
      <c r="AL151" s="16">
        <f>IFERROR(IF(AK151=0, 0, (AK151-H151)/H151), 0)</f>
        <v/>
      </c>
      <c r="AM151" s="13">
        <f>IFERROR(VLOOKUP(A151, AZInsight_Data!$A:$AS, 34, FALSE), 0)</f>
        <v/>
      </c>
      <c r="AN151">
        <f>IFERROR(AND(VLOOKUP(A151, KEEPA!$A:$AW, 2, FALSE)&lt;=$AO$2, N151 &gt;= $AM$2), FALSE)</f>
        <v/>
      </c>
      <c r="AO151" s="16">
        <f>IFERROR(VLOOKUP(A151, KEEPA!$A:$AW, 24, FALSE), 0)</f>
        <v/>
      </c>
      <c r="AP151" s="16">
        <f>IFERROR(VLOOKUP(A151, KEEPA!$A:$AW, 48, FALSE), 0)</f>
        <v/>
      </c>
      <c r="AQ151">
        <f>IFERROR(VLOOKUP(A151, AZInsight_Data!$A:$AS, 5, FALSE), "SL")</f>
        <v/>
      </c>
      <c r="AR151">
        <f>IF(OR(A151="", A151=0), "", HYPERLINK("https://keepa.com/#!product/1-"&amp;A151, "Keepa"))</f>
        <v/>
      </c>
      <c r="AS151">
        <f>IF(OR(A151="", A151=0), "", HYPERLINK("https://www.amazon.com/dp/"&amp;A151, "Amazon"))</f>
        <v/>
      </c>
      <c r="AT151">
        <f>IF(OR(A151="", A151=0), "", HYPERLINK("https://sellercentral.amazon.com/product-search/search?q="&amp;A151, "Check Gated"))</f>
        <v/>
      </c>
      <c r="AU151" s="12" t="n"/>
      <c r="AV151" s="12" t="n"/>
      <c r="AW151" s="12" t="n"/>
    </row>
    <row r="152">
      <c r="A152" s="12" t="n"/>
      <c r="B152" s="12">
        <f>IFERROR(VLOOKUP(A152, AZInsight_Data!$A:$AS, 3, FALSE), "")</f>
        <v/>
      </c>
      <c r="C152" s="13">
        <f>IFERROR(VLOOKUP(A152, AZInsight_Data!$A:$AS, 9, FALSE), 0)</f>
        <v/>
      </c>
      <c r="D152">
        <f>IFERROR(VLOOKUP(A152, AZInsight_Data!$A:$AS, 17, FALSE), 0)</f>
        <v/>
      </c>
      <c r="E152">
        <f>IFERROR(VLOOKUP(A152, AZInsight_Data!$A:$AS, 18, FALSE), 0)</f>
        <v/>
      </c>
      <c r="F152" s="14">
        <f>IFERROR(VLOOKUP(A152, AZInsight_Data!$A:$AS, 7, FALSE), 0)</f>
        <v/>
      </c>
      <c r="G152" s="15">
        <f>IFERROR(VLOOKUP(A152, AZInsight_Data!$A:$AS, 14, FALSE), 0)</f>
        <v/>
      </c>
      <c r="H152" s="14">
        <f>IFERROR(VLOOKUP(A152, AZInsight_Data!$A:$AS, 8, FALSE), 0)</f>
        <v/>
      </c>
      <c r="I152" s="16">
        <f>IFERROR(VLOOKUP(A152, KEEPA!$A:$AW, 47, FALSE), 0)</f>
        <v/>
      </c>
      <c r="J152">
        <f>IFERROR(VLOOKUP(A152, AZInsight_Data!$A:$AS, 25, FALSE), 0)</f>
        <v/>
      </c>
      <c r="K152" s="15">
        <f>IFERROR(VLOOKUP(A152, AZInsight_Data!$A:$AS, 16, FALSE), 0)</f>
        <v/>
      </c>
      <c r="L152" s="15">
        <f>IFERROR(K152-T152-J152, 0)</f>
        <v/>
      </c>
      <c r="M152" s="16">
        <f>IFERROR(IF(T152=0, 0, L152/T152), 0)</f>
        <v/>
      </c>
      <c r="N152" s="14">
        <f>IFERROR(C152*($V$2/30), 0)</f>
        <v/>
      </c>
      <c r="O152">
        <f>IFERROR(VLOOKUP(A152, AZInsight_Data!$A:$AS, 40, FALSE), 1)</f>
        <v/>
      </c>
      <c r="P152" s="13">
        <f>IF(O152&gt;0, O152, 1)</f>
        <v/>
      </c>
      <c r="Q152" s="13">
        <f>IFERROR(U152/P152, 0)</f>
        <v/>
      </c>
      <c r="R152">
        <f>IFERROR(VLOOKUP(A152, AZInsight_Data!$A:$AS, 36, FALSE), "")</f>
        <v/>
      </c>
      <c r="S152">
        <f>IFERROR(VLOOKUP(A152, AZInsight_Data!$A:$AS, 3, FALSE), "")</f>
        <v/>
      </c>
      <c r="T152" s="17">
        <f>IFERROR(VLOOKUP(A152, AZInsight_Data!$A:$AS, 13, FALSE), 0)</f>
        <v/>
      </c>
      <c r="U152" s="13">
        <f>AH152</f>
        <v/>
      </c>
      <c r="V152" s="15">
        <f>T152*U152</f>
        <v/>
      </c>
      <c r="W152" s="16" t="n"/>
      <c r="X152" s="12">
        <f>IFERROR(VLOOKUP(A152, AZInsight_Data!$A:$AS, 40, FALSE), 1)</f>
        <v/>
      </c>
      <c r="Y152" s="13">
        <f>IFERROR(VLOOKUP(A152, IP Qty!$D:$R, 5, FALSE), 0)</f>
        <v/>
      </c>
      <c r="Z152" s="14">
        <f>IFERROR(VLOOKUP(A152, IP Qty!$D:$R, 6, FALSE), 0)</f>
        <v/>
      </c>
      <c r="AA152">
        <f>IFERROR(VLOOKUP(A152, IP Qty!$D:$R, 7, FALSE), 0)</f>
        <v/>
      </c>
      <c r="AB152">
        <f>IFERROR(VLOOKUP(A152, IP Qty!$D:$R, 9, FALSE), 0)</f>
        <v/>
      </c>
      <c r="AC152">
        <f>IFERROR(VLOOKUP(A152, IP Qty!$D:$R, 8, FALSE), 0)</f>
        <v/>
      </c>
      <c r="AD152" s="14">
        <f>IFERROR(VLOOKUP(A152, KEEPA!$A:$AW, 34, FALSE), 0)</f>
        <v/>
      </c>
      <c r="AE152" s="15">
        <f>IF(P152&gt;1, ((((M152&gt;=$AD$2)*(L152&gt;=$AH$2)) + ((M152&lt;$AD$2)*(M152&gt;=$AE$2)*(L152&gt;=$AG$2)) + ((M152&lt;$AE$2)*(M152&gt;=$AC$2)*(L152&gt;=0)))*2 * IF($AI$2=0, 1, AI152&lt;=$AI$2) * IF($AK$2=0, 1, AK152&lt;=$AK$2) * AND(N152&gt;=$D$1, H152&lt;=$I$2, G152&gt;=$H$2)), ((((M152&gt;=$AD$2)*(L152&gt;=$AH$2)) + ((M152&lt;$AD$2)*(M152&gt;=$AE$2)*(L152&gt;=$AG$2)) + ((M152&lt;$AE$2)*(M152&gt;=$AC$2)*(L152&gt;=0))) * IF($AI$2=0, 1, AI152&lt;=$AI$2) * IF($AK$2=0, 1, AK152&lt;=$AK$2) * AND(N152&gt;=$D$1, H152&lt;=$I$2, G152&gt;=$H$2)))</f>
        <v/>
      </c>
      <c r="AF152">
        <f>IF(AE152&gt;0, 1, 0)</f>
        <v/>
      </c>
      <c r="AG152">
        <f>IFERROR(IF(ISNUMBER(W152), IF(AN152, N152*W152*$AN$2, N152*W152), NA()), NA())</f>
        <v/>
      </c>
      <c r="AH152" s="13">
        <f>IFERROR(MIN(AG152, $U$2), 0)</f>
        <v/>
      </c>
      <c r="AI152" s="14">
        <f>IFERROR(VLOOKUP(A152, KEEPA!$A:$AW, 26, FALSE), 0)</f>
        <v/>
      </c>
      <c r="AJ152" s="16">
        <f>IFERROR(IF(AI152=0, 0, (AI152-H152)/H152), 0)</f>
        <v/>
      </c>
      <c r="AK152" s="14">
        <f>IFERROR(VLOOKUP(A152, KEEPA!$A:$AW, 28, FALSE), 0)</f>
        <v/>
      </c>
      <c r="AL152" s="16">
        <f>IFERROR(IF(AK152=0, 0, (AK152-H152)/H152), 0)</f>
        <v/>
      </c>
      <c r="AM152" s="13">
        <f>IFERROR(VLOOKUP(A152, AZInsight_Data!$A:$AS, 34, FALSE), 0)</f>
        <v/>
      </c>
      <c r="AN152">
        <f>IFERROR(AND(VLOOKUP(A152, KEEPA!$A:$AW, 2, FALSE)&lt;=$AO$2, N152 &gt;= $AM$2), FALSE)</f>
        <v/>
      </c>
      <c r="AO152" s="16">
        <f>IFERROR(VLOOKUP(A152, KEEPA!$A:$AW, 24, FALSE), 0)</f>
        <v/>
      </c>
      <c r="AP152" s="16">
        <f>IFERROR(VLOOKUP(A152, KEEPA!$A:$AW, 48, FALSE), 0)</f>
        <v/>
      </c>
      <c r="AQ152">
        <f>IFERROR(VLOOKUP(A152, AZInsight_Data!$A:$AS, 5, FALSE), "SL")</f>
        <v/>
      </c>
      <c r="AR152">
        <f>IF(OR(A152="", A152=0), "", HYPERLINK("https://keepa.com/#!product/1-"&amp;A152, "Keepa"))</f>
        <v/>
      </c>
      <c r="AS152">
        <f>IF(OR(A152="", A152=0), "", HYPERLINK("https://www.amazon.com/dp/"&amp;A152, "Amazon"))</f>
        <v/>
      </c>
      <c r="AT152">
        <f>IF(OR(A152="", A152=0), "", HYPERLINK("https://sellercentral.amazon.com/product-search/search?q="&amp;A152, "Check Gated"))</f>
        <v/>
      </c>
      <c r="AU152" s="12" t="n"/>
      <c r="AV152" s="12" t="n"/>
      <c r="AW152" s="12" t="n"/>
    </row>
    <row r="153">
      <c r="A153" s="12" t="n"/>
      <c r="B153" s="12">
        <f>IFERROR(VLOOKUP(A153, AZInsight_Data!$A:$AS, 3, FALSE), "")</f>
        <v/>
      </c>
      <c r="C153" s="13">
        <f>IFERROR(VLOOKUP(A153, AZInsight_Data!$A:$AS, 9, FALSE), 0)</f>
        <v/>
      </c>
      <c r="D153">
        <f>IFERROR(VLOOKUP(A153, AZInsight_Data!$A:$AS, 17, FALSE), 0)</f>
        <v/>
      </c>
      <c r="E153">
        <f>IFERROR(VLOOKUP(A153, AZInsight_Data!$A:$AS, 18, FALSE), 0)</f>
        <v/>
      </c>
      <c r="F153" s="14">
        <f>IFERROR(VLOOKUP(A153, AZInsight_Data!$A:$AS, 7, FALSE), 0)</f>
        <v/>
      </c>
      <c r="G153" s="15">
        <f>IFERROR(VLOOKUP(A153, AZInsight_Data!$A:$AS, 14, FALSE), 0)</f>
        <v/>
      </c>
      <c r="H153" s="14">
        <f>IFERROR(VLOOKUP(A153, AZInsight_Data!$A:$AS, 8, FALSE), 0)</f>
        <v/>
      </c>
      <c r="I153" s="16">
        <f>IFERROR(VLOOKUP(A153, KEEPA!$A:$AW, 47, FALSE), 0)</f>
        <v/>
      </c>
      <c r="J153">
        <f>IFERROR(VLOOKUP(A153, AZInsight_Data!$A:$AS, 25, FALSE), 0)</f>
        <v/>
      </c>
      <c r="K153" s="15">
        <f>IFERROR(VLOOKUP(A153, AZInsight_Data!$A:$AS, 16, FALSE), 0)</f>
        <v/>
      </c>
      <c r="L153" s="15">
        <f>IFERROR(K153-T153-J153, 0)</f>
        <v/>
      </c>
      <c r="M153" s="16">
        <f>IFERROR(IF(T153=0, 0, L153/T153), 0)</f>
        <v/>
      </c>
      <c r="N153" s="14">
        <f>IFERROR(C153*($V$2/30), 0)</f>
        <v/>
      </c>
      <c r="O153">
        <f>IFERROR(VLOOKUP(A153, AZInsight_Data!$A:$AS, 40, FALSE), 1)</f>
        <v/>
      </c>
      <c r="P153" s="13">
        <f>IF(O153&gt;0, O153, 1)</f>
        <v/>
      </c>
      <c r="Q153" s="13">
        <f>IFERROR(U153/P153, 0)</f>
        <v/>
      </c>
      <c r="R153">
        <f>IFERROR(VLOOKUP(A153, AZInsight_Data!$A:$AS, 36, FALSE), "")</f>
        <v/>
      </c>
      <c r="S153">
        <f>IFERROR(VLOOKUP(A153, AZInsight_Data!$A:$AS, 3, FALSE), "")</f>
        <v/>
      </c>
      <c r="T153" s="17">
        <f>IFERROR(VLOOKUP(A153, AZInsight_Data!$A:$AS, 13, FALSE), 0)</f>
        <v/>
      </c>
      <c r="U153" s="13">
        <f>AH153</f>
        <v/>
      </c>
      <c r="V153" s="15">
        <f>T153*U153</f>
        <v/>
      </c>
      <c r="W153" s="16" t="n"/>
      <c r="X153" s="12">
        <f>IFERROR(VLOOKUP(A153, AZInsight_Data!$A:$AS, 40, FALSE), 1)</f>
        <v/>
      </c>
      <c r="Y153" s="13">
        <f>IFERROR(VLOOKUP(A153, IP Qty!$D:$R, 5, FALSE), 0)</f>
        <v/>
      </c>
      <c r="Z153" s="14">
        <f>IFERROR(VLOOKUP(A153, IP Qty!$D:$R, 6, FALSE), 0)</f>
        <v/>
      </c>
      <c r="AA153">
        <f>IFERROR(VLOOKUP(A153, IP Qty!$D:$R, 7, FALSE), 0)</f>
        <v/>
      </c>
      <c r="AB153">
        <f>IFERROR(VLOOKUP(A153, IP Qty!$D:$R, 9, FALSE), 0)</f>
        <v/>
      </c>
      <c r="AC153">
        <f>IFERROR(VLOOKUP(A153, IP Qty!$D:$R, 8, FALSE), 0)</f>
        <v/>
      </c>
      <c r="AD153" s="14">
        <f>IFERROR(VLOOKUP(A153, KEEPA!$A:$AW, 34, FALSE), 0)</f>
        <v/>
      </c>
      <c r="AE153" s="15">
        <f>IF(P153&gt;1, ((((M153&gt;=$AD$2)*(L153&gt;=$AH$2)) + ((M153&lt;$AD$2)*(M153&gt;=$AE$2)*(L153&gt;=$AG$2)) + ((M153&lt;$AE$2)*(M153&gt;=$AC$2)*(L153&gt;=0)))*2 * IF($AI$2=0, 1, AI153&lt;=$AI$2) * IF($AK$2=0, 1, AK153&lt;=$AK$2) * AND(N153&gt;=$D$1, H153&lt;=$I$2, G153&gt;=$H$2)), ((((M153&gt;=$AD$2)*(L153&gt;=$AH$2)) + ((M153&lt;$AD$2)*(M153&gt;=$AE$2)*(L153&gt;=$AG$2)) + ((M153&lt;$AE$2)*(M153&gt;=$AC$2)*(L153&gt;=0))) * IF($AI$2=0, 1, AI153&lt;=$AI$2) * IF($AK$2=0, 1, AK153&lt;=$AK$2) * AND(N153&gt;=$D$1, H153&lt;=$I$2, G153&gt;=$H$2)))</f>
        <v/>
      </c>
      <c r="AF153">
        <f>IF(AE153&gt;0, 1, 0)</f>
        <v/>
      </c>
      <c r="AG153">
        <f>IFERROR(IF(ISNUMBER(W153), IF(AN153, N153*W153*$AN$2, N153*W153), NA()), NA())</f>
        <v/>
      </c>
      <c r="AH153" s="13">
        <f>IFERROR(MIN(AG153, $U$2), 0)</f>
        <v/>
      </c>
      <c r="AI153" s="14">
        <f>IFERROR(VLOOKUP(A153, KEEPA!$A:$AW, 26, FALSE), 0)</f>
        <v/>
      </c>
      <c r="AJ153" s="16">
        <f>IFERROR(IF(AI153=0, 0, (AI153-H153)/H153), 0)</f>
        <v/>
      </c>
      <c r="AK153" s="14">
        <f>IFERROR(VLOOKUP(A153, KEEPA!$A:$AW, 28, FALSE), 0)</f>
        <v/>
      </c>
      <c r="AL153" s="16">
        <f>IFERROR(IF(AK153=0, 0, (AK153-H153)/H153), 0)</f>
        <v/>
      </c>
      <c r="AM153" s="13">
        <f>IFERROR(VLOOKUP(A153, AZInsight_Data!$A:$AS, 34, FALSE), 0)</f>
        <v/>
      </c>
      <c r="AN153">
        <f>IFERROR(AND(VLOOKUP(A153, KEEPA!$A:$AW, 2, FALSE)&lt;=$AO$2, N153 &gt;= $AM$2), FALSE)</f>
        <v/>
      </c>
      <c r="AO153" s="16">
        <f>IFERROR(VLOOKUP(A153, KEEPA!$A:$AW, 24, FALSE), 0)</f>
        <v/>
      </c>
      <c r="AP153" s="16">
        <f>IFERROR(VLOOKUP(A153, KEEPA!$A:$AW, 48, FALSE), 0)</f>
        <v/>
      </c>
      <c r="AQ153">
        <f>IFERROR(VLOOKUP(A153, AZInsight_Data!$A:$AS, 5, FALSE), "SL")</f>
        <v/>
      </c>
      <c r="AR153">
        <f>IF(OR(A153="", A153=0), "", HYPERLINK("https://keepa.com/#!product/1-"&amp;A153, "Keepa"))</f>
        <v/>
      </c>
      <c r="AS153">
        <f>IF(OR(A153="", A153=0), "", HYPERLINK("https://www.amazon.com/dp/"&amp;A153, "Amazon"))</f>
        <v/>
      </c>
      <c r="AT153">
        <f>IF(OR(A153="", A153=0), "", HYPERLINK("https://sellercentral.amazon.com/product-search/search?q="&amp;A153, "Check Gated"))</f>
        <v/>
      </c>
      <c r="AU153" s="12" t="n"/>
      <c r="AV153" s="12" t="n"/>
      <c r="AW153" s="12" t="n"/>
    </row>
    <row r="154">
      <c r="A154" s="12" t="n"/>
      <c r="B154" s="12">
        <f>IFERROR(VLOOKUP(A154, AZInsight_Data!$A:$AS, 3, FALSE), "")</f>
        <v/>
      </c>
      <c r="C154" s="13">
        <f>IFERROR(VLOOKUP(A154, AZInsight_Data!$A:$AS, 9, FALSE), 0)</f>
        <v/>
      </c>
      <c r="D154">
        <f>IFERROR(VLOOKUP(A154, AZInsight_Data!$A:$AS, 17, FALSE), 0)</f>
        <v/>
      </c>
      <c r="E154">
        <f>IFERROR(VLOOKUP(A154, AZInsight_Data!$A:$AS, 18, FALSE), 0)</f>
        <v/>
      </c>
      <c r="F154" s="14">
        <f>IFERROR(VLOOKUP(A154, AZInsight_Data!$A:$AS, 7, FALSE), 0)</f>
        <v/>
      </c>
      <c r="G154" s="15">
        <f>IFERROR(VLOOKUP(A154, AZInsight_Data!$A:$AS, 14, FALSE), 0)</f>
        <v/>
      </c>
      <c r="H154" s="14">
        <f>IFERROR(VLOOKUP(A154, AZInsight_Data!$A:$AS, 8, FALSE), 0)</f>
        <v/>
      </c>
      <c r="I154" s="16">
        <f>IFERROR(VLOOKUP(A154, KEEPA!$A:$AW, 47, FALSE), 0)</f>
        <v/>
      </c>
      <c r="J154">
        <f>IFERROR(VLOOKUP(A154, AZInsight_Data!$A:$AS, 25, FALSE), 0)</f>
        <v/>
      </c>
      <c r="K154" s="15">
        <f>IFERROR(VLOOKUP(A154, AZInsight_Data!$A:$AS, 16, FALSE), 0)</f>
        <v/>
      </c>
      <c r="L154" s="15">
        <f>IFERROR(K154-T154-J154, 0)</f>
        <v/>
      </c>
      <c r="M154" s="16">
        <f>IFERROR(IF(T154=0, 0, L154/T154), 0)</f>
        <v/>
      </c>
      <c r="N154" s="14">
        <f>IFERROR(C154*($V$2/30), 0)</f>
        <v/>
      </c>
      <c r="O154">
        <f>IFERROR(VLOOKUP(A154, AZInsight_Data!$A:$AS, 40, FALSE), 1)</f>
        <v/>
      </c>
      <c r="P154" s="13">
        <f>IF(O154&gt;0, O154, 1)</f>
        <v/>
      </c>
      <c r="Q154" s="13">
        <f>IFERROR(U154/P154, 0)</f>
        <v/>
      </c>
      <c r="R154">
        <f>IFERROR(VLOOKUP(A154, AZInsight_Data!$A:$AS, 36, FALSE), "")</f>
        <v/>
      </c>
      <c r="S154">
        <f>IFERROR(VLOOKUP(A154, AZInsight_Data!$A:$AS, 3, FALSE), "")</f>
        <v/>
      </c>
      <c r="T154" s="17">
        <f>IFERROR(VLOOKUP(A154, AZInsight_Data!$A:$AS, 13, FALSE), 0)</f>
        <v/>
      </c>
      <c r="U154" s="13">
        <f>AH154</f>
        <v/>
      </c>
      <c r="V154" s="15">
        <f>T154*U154</f>
        <v/>
      </c>
      <c r="W154" s="16" t="n"/>
      <c r="X154" s="12">
        <f>IFERROR(VLOOKUP(A154, AZInsight_Data!$A:$AS, 40, FALSE), 1)</f>
        <v/>
      </c>
      <c r="Y154" s="13">
        <f>IFERROR(VLOOKUP(A154, IP Qty!$D:$R, 5, FALSE), 0)</f>
        <v/>
      </c>
      <c r="Z154" s="14">
        <f>IFERROR(VLOOKUP(A154, IP Qty!$D:$R, 6, FALSE), 0)</f>
        <v/>
      </c>
      <c r="AA154">
        <f>IFERROR(VLOOKUP(A154, IP Qty!$D:$R, 7, FALSE), 0)</f>
        <v/>
      </c>
      <c r="AB154">
        <f>IFERROR(VLOOKUP(A154, IP Qty!$D:$R, 9, FALSE), 0)</f>
        <v/>
      </c>
      <c r="AC154">
        <f>IFERROR(VLOOKUP(A154, IP Qty!$D:$R, 8, FALSE), 0)</f>
        <v/>
      </c>
      <c r="AD154" s="14">
        <f>IFERROR(VLOOKUP(A154, KEEPA!$A:$AW, 34, FALSE), 0)</f>
        <v/>
      </c>
      <c r="AE154" s="15">
        <f>IF(P154&gt;1, ((((M154&gt;=$AD$2)*(L154&gt;=$AH$2)) + ((M154&lt;$AD$2)*(M154&gt;=$AE$2)*(L154&gt;=$AG$2)) + ((M154&lt;$AE$2)*(M154&gt;=$AC$2)*(L154&gt;=0)))*2 * IF($AI$2=0, 1, AI154&lt;=$AI$2) * IF($AK$2=0, 1, AK154&lt;=$AK$2) * AND(N154&gt;=$D$1, H154&lt;=$I$2, G154&gt;=$H$2)), ((((M154&gt;=$AD$2)*(L154&gt;=$AH$2)) + ((M154&lt;$AD$2)*(M154&gt;=$AE$2)*(L154&gt;=$AG$2)) + ((M154&lt;$AE$2)*(M154&gt;=$AC$2)*(L154&gt;=0))) * IF($AI$2=0, 1, AI154&lt;=$AI$2) * IF($AK$2=0, 1, AK154&lt;=$AK$2) * AND(N154&gt;=$D$1, H154&lt;=$I$2, G154&gt;=$H$2)))</f>
        <v/>
      </c>
      <c r="AF154">
        <f>IF(AE154&gt;0, 1, 0)</f>
        <v/>
      </c>
      <c r="AG154">
        <f>IFERROR(IF(ISNUMBER(W154), IF(AN154, N154*W154*$AN$2, N154*W154), NA()), NA())</f>
        <v/>
      </c>
      <c r="AH154" s="13">
        <f>IFERROR(MIN(AG154, $U$2), 0)</f>
        <v/>
      </c>
      <c r="AI154" s="14">
        <f>IFERROR(VLOOKUP(A154, KEEPA!$A:$AW, 26, FALSE), 0)</f>
        <v/>
      </c>
      <c r="AJ154" s="16">
        <f>IFERROR(IF(AI154=0, 0, (AI154-H154)/H154), 0)</f>
        <v/>
      </c>
      <c r="AK154" s="14">
        <f>IFERROR(VLOOKUP(A154, KEEPA!$A:$AW, 28, FALSE), 0)</f>
        <v/>
      </c>
      <c r="AL154" s="16">
        <f>IFERROR(IF(AK154=0, 0, (AK154-H154)/H154), 0)</f>
        <v/>
      </c>
      <c r="AM154" s="13">
        <f>IFERROR(VLOOKUP(A154, AZInsight_Data!$A:$AS, 34, FALSE), 0)</f>
        <v/>
      </c>
      <c r="AN154">
        <f>IFERROR(AND(VLOOKUP(A154, KEEPA!$A:$AW, 2, FALSE)&lt;=$AO$2, N154 &gt;= $AM$2), FALSE)</f>
        <v/>
      </c>
      <c r="AO154" s="16">
        <f>IFERROR(VLOOKUP(A154, KEEPA!$A:$AW, 24, FALSE), 0)</f>
        <v/>
      </c>
      <c r="AP154" s="16">
        <f>IFERROR(VLOOKUP(A154, KEEPA!$A:$AW, 48, FALSE), 0)</f>
        <v/>
      </c>
      <c r="AQ154">
        <f>IFERROR(VLOOKUP(A154, AZInsight_Data!$A:$AS, 5, FALSE), "SL")</f>
        <v/>
      </c>
      <c r="AR154">
        <f>IF(OR(A154="", A154=0), "", HYPERLINK("https://keepa.com/#!product/1-"&amp;A154, "Keepa"))</f>
        <v/>
      </c>
      <c r="AS154">
        <f>IF(OR(A154="", A154=0), "", HYPERLINK("https://www.amazon.com/dp/"&amp;A154, "Amazon"))</f>
        <v/>
      </c>
      <c r="AT154">
        <f>IF(OR(A154="", A154=0), "", HYPERLINK("https://sellercentral.amazon.com/product-search/search?q="&amp;A154, "Check Gated"))</f>
        <v/>
      </c>
      <c r="AU154" s="12" t="n"/>
      <c r="AV154" s="12" t="n"/>
      <c r="AW154" s="12" t="n"/>
    </row>
    <row r="155">
      <c r="A155" s="12" t="n"/>
      <c r="B155" s="12">
        <f>IFERROR(VLOOKUP(A155, AZInsight_Data!$A:$AS, 3, FALSE), "")</f>
        <v/>
      </c>
      <c r="C155" s="13">
        <f>IFERROR(VLOOKUP(A155, AZInsight_Data!$A:$AS, 9, FALSE), 0)</f>
        <v/>
      </c>
      <c r="D155">
        <f>IFERROR(VLOOKUP(A155, AZInsight_Data!$A:$AS, 17, FALSE), 0)</f>
        <v/>
      </c>
      <c r="E155">
        <f>IFERROR(VLOOKUP(A155, AZInsight_Data!$A:$AS, 18, FALSE), 0)</f>
        <v/>
      </c>
      <c r="F155" s="14">
        <f>IFERROR(VLOOKUP(A155, AZInsight_Data!$A:$AS, 7, FALSE), 0)</f>
        <v/>
      </c>
      <c r="G155" s="15">
        <f>IFERROR(VLOOKUP(A155, AZInsight_Data!$A:$AS, 14, FALSE), 0)</f>
        <v/>
      </c>
      <c r="H155" s="14">
        <f>IFERROR(VLOOKUP(A155, AZInsight_Data!$A:$AS, 8, FALSE), 0)</f>
        <v/>
      </c>
      <c r="I155" s="16">
        <f>IFERROR(VLOOKUP(A155, KEEPA!$A:$AW, 47, FALSE), 0)</f>
        <v/>
      </c>
      <c r="J155">
        <f>IFERROR(VLOOKUP(A155, AZInsight_Data!$A:$AS, 25, FALSE), 0)</f>
        <v/>
      </c>
      <c r="K155" s="15">
        <f>IFERROR(VLOOKUP(A155, AZInsight_Data!$A:$AS, 16, FALSE), 0)</f>
        <v/>
      </c>
      <c r="L155" s="15">
        <f>IFERROR(K155-T155-J155, 0)</f>
        <v/>
      </c>
      <c r="M155" s="16">
        <f>IFERROR(IF(T155=0, 0, L155/T155), 0)</f>
        <v/>
      </c>
      <c r="N155" s="14">
        <f>IFERROR(C155*($V$2/30), 0)</f>
        <v/>
      </c>
      <c r="O155">
        <f>IFERROR(VLOOKUP(A155, AZInsight_Data!$A:$AS, 40, FALSE), 1)</f>
        <v/>
      </c>
      <c r="P155" s="13">
        <f>IF(O155&gt;0, O155, 1)</f>
        <v/>
      </c>
      <c r="Q155" s="13">
        <f>IFERROR(U155/P155, 0)</f>
        <v/>
      </c>
      <c r="R155">
        <f>IFERROR(VLOOKUP(A155, AZInsight_Data!$A:$AS, 36, FALSE), "")</f>
        <v/>
      </c>
      <c r="S155">
        <f>IFERROR(VLOOKUP(A155, AZInsight_Data!$A:$AS, 3, FALSE), "")</f>
        <v/>
      </c>
      <c r="T155" s="17">
        <f>IFERROR(VLOOKUP(A155, AZInsight_Data!$A:$AS, 13, FALSE), 0)</f>
        <v/>
      </c>
      <c r="U155" s="13">
        <f>AH155</f>
        <v/>
      </c>
      <c r="V155" s="15">
        <f>T155*U155</f>
        <v/>
      </c>
      <c r="W155" s="16" t="n"/>
      <c r="X155" s="12">
        <f>IFERROR(VLOOKUP(A155, AZInsight_Data!$A:$AS, 40, FALSE), 1)</f>
        <v/>
      </c>
      <c r="Y155" s="13">
        <f>IFERROR(VLOOKUP(A155, IP Qty!$D:$R, 5, FALSE), 0)</f>
        <v/>
      </c>
      <c r="Z155" s="14">
        <f>IFERROR(VLOOKUP(A155, IP Qty!$D:$R, 6, FALSE), 0)</f>
        <v/>
      </c>
      <c r="AA155">
        <f>IFERROR(VLOOKUP(A155, IP Qty!$D:$R, 7, FALSE), 0)</f>
        <v/>
      </c>
      <c r="AB155">
        <f>IFERROR(VLOOKUP(A155, IP Qty!$D:$R, 9, FALSE), 0)</f>
        <v/>
      </c>
      <c r="AC155">
        <f>IFERROR(VLOOKUP(A155, IP Qty!$D:$R, 8, FALSE), 0)</f>
        <v/>
      </c>
      <c r="AD155" s="14">
        <f>IFERROR(VLOOKUP(A155, KEEPA!$A:$AW, 34, FALSE), 0)</f>
        <v/>
      </c>
      <c r="AE155" s="15">
        <f>IF(P155&gt;1, ((((M155&gt;=$AD$2)*(L155&gt;=$AH$2)) + ((M155&lt;$AD$2)*(M155&gt;=$AE$2)*(L155&gt;=$AG$2)) + ((M155&lt;$AE$2)*(M155&gt;=$AC$2)*(L155&gt;=0)))*2 * IF($AI$2=0, 1, AI155&lt;=$AI$2) * IF($AK$2=0, 1, AK155&lt;=$AK$2) * AND(N155&gt;=$D$1, H155&lt;=$I$2, G155&gt;=$H$2)), ((((M155&gt;=$AD$2)*(L155&gt;=$AH$2)) + ((M155&lt;$AD$2)*(M155&gt;=$AE$2)*(L155&gt;=$AG$2)) + ((M155&lt;$AE$2)*(M155&gt;=$AC$2)*(L155&gt;=0))) * IF($AI$2=0, 1, AI155&lt;=$AI$2) * IF($AK$2=0, 1, AK155&lt;=$AK$2) * AND(N155&gt;=$D$1, H155&lt;=$I$2, G155&gt;=$H$2)))</f>
        <v/>
      </c>
      <c r="AF155">
        <f>IF(AE155&gt;0, 1, 0)</f>
        <v/>
      </c>
      <c r="AG155">
        <f>IFERROR(IF(ISNUMBER(W155), IF(AN155, N155*W155*$AN$2, N155*W155), NA()), NA())</f>
        <v/>
      </c>
      <c r="AH155" s="13">
        <f>IFERROR(MIN(AG155, $U$2), 0)</f>
        <v/>
      </c>
      <c r="AI155" s="14">
        <f>IFERROR(VLOOKUP(A155, KEEPA!$A:$AW, 26, FALSE), 0)</f>
        <v/>
      </c>
      <c r="AJ155" s="16">
        <f>IFERROR(IF(AI155=0, 0, (AI155-H155)/H155), 0)</f>
        <v/>
      </c>
      <c r="AK155" s="14">
        <f>IFERROR(VLOOKUP(A155, KEEPA!$A:$AW, 28, FALSE), 0)</f>
        <v/>
      </c>
      <c r="AL155" s="16">
        <f>IFERROR(IF(AK155=0, 0, (AK155-H155)/H155), 0)</f>
        <v/>
      </c>
      <c r="AM155" s="13">
        <f>IFERROR(VLOOKUP(A155, AZInsight_Data!$A:$AS, 34, FALSE), 0)</f>
        <v/>
      </c>
      <c r="AN155">
        <f>IFERROR(AND(VLOOKUP(A155, KEEPA!$A:$AW, 2, FALSE)&lt;=$AO$2, N155 &gt;= $AM$2), FALSE)</f>
        <v/>
      </c>
      <c r="AO155" s="16">
        <f>IFERROR(VLOOKUP(A155, KEEPA!$A:$AW, 24, FALSE), 0)</f>
        <v/>
      </c>
      <c r="AP155" s="16">
        <f>IFERROR(VLOOKUP(A155, KEEPA!$A:$AW, 48, FALSE), 0)</f>
        <v/>
      </c>
      <c r="AQ155">
        <f>IFERROR(VLOOKUP(A155, AZInsight_Data!$A:$AS, 5, FALSE), "SL")</f>
        <v/>
      </c>
      <c r="AR155">
        <f>IF(OR(A155="", A155=0), "", HYPERLINK("https://keepa.com/#!product/1-"&amp;A155, "Keepa"))</f>
        <v/>
      </c>
      <c r="AS155">
        <f>IF(OR(A155="", A155=0), "", HYPERLINK("https://www.amazon.com/dp/"&amp;A155, "Amazon"))</f>
        <v/>
      </c>
      <c r="AT155">
        <f>IF(OR(A155="", A155=0), "", HYPERLINK("https://sellercentral.amazon.com/product-search/search?q="&amp;A155, "Check Gated"))</f>
        <v/>
      </c>
      <c r="AU155" s="12" t="n"/>
      <c r="AV155" s="12" t="n"/>
      <c r="AW155" s="12" t="n"/>
    </row>
    <row r="156">
      <c r="A156" s="12" t="n"/>
      <c r="B156" s="12">
        <f>IFERROR(VLOOKUP(A156, AZInsight_Data!$A:$AS, 3, FALSE), "")</f>
        <v/>
      </c>
      <c r="C156" s="13">
        <f>IFERROR(VLOOKUP(A156, AZInsight_Data!$A:$AS, 9, FALSE), 0)</f>
        <v/>
      </c>
      <c r="D156">
        <f>IFERROR(VLOOKUP(A156, AZInsight_Data!$A:$AS, 17, FALSE), 0)</f>
        <v/>
      </c>
      <c r="E156">
        <f>IFERROR(VLOOKUP(A156, AZInsight_Data!$A:$AS, 18, FALSE), 0)</f>
        <v/>
      </c>
      <c r="F156" s="14">
        <f>IFERROR(VLOOKUP(A156, AZInsight_Data!$A:$AS, 7, FALSE), 0)</f>
        <v/>
      </c>
      <c r="G156" s="15">
        <f>IFERROR(VLOOKUP(A156, AZInsight_Data!$A:$AS, 14, FALSE), 0)</f>
        <v/>
      </c>
      <c r="H156" s="14">
        <f>IFERROR(VLOOKUP(A156, AZInsight_Data!$A:$AS, 8, FALSE), 0)</f>
        <v/>
      </c>
      <c r="I156" s="16">
        <f>IFERROR(VLOOKUP(A156, KEEPA!$A:$AW, 47, FALSE), 0)</f>
        <v/>
      </c>
      <c r="J156">
        <f>IFERROR(VLOOKUP(A156, AZInsight_Data!$A:$AS, 25, FALSE), 0)</f>
        <v/>
      </c>
      <c r="K156" s="15">
        <f>IFERROR(VLOOKUP(A156, AZInsight_Data!$A:$AS, 16, FALSE), 0)</f>
        <v/>
      </c>
      <c r="L156" s="15">
        <f>IFERROR(K156-T156-J156, 0)</f>
        <v/>
      </c>
      <c r="M156" s="16">
        <f>IFERROR(IF(T156=0, 0, L156/T156), 0)</f>
        <v/>
      </c>
      <c r="N156" s="14">
        <f>IFERROR(C156*($V$2/30), 0)</f>
        <v/>
      </c>
      <c r="O156">
        <f>IFERROR(VLOOKUP(A156, AZInsight_Data!$A:$AS, 40, FALSE), 1)</f>
        <v/>
      </c>
      <c r="P156" s="13">
        <f>IF(O156&gt;0, O156, 1)</f>
        <v/>
      </c>
      <c r="Q156" s="13">
        <f>IFERROR(U156/P156, 0)</f>
        <v/>
      </c>
      <c r="R156">
        <f>IFERROR(VLOOKUP(A156, AZInsight_Data!$A:$AS, 36, FALSE), "")</f>
        <v/>
      </c>
      <c r="S156">
        <f>IFERROR(VLOOKUP(A156, AZInsight_Data!$A:$AS, 3, FALSE), "")</f>
        <v/>
      </c>
      <c r="T156" s="17">
        <f>IFERROR(VLOOKUP(A156, AZInsight_Data!$A:$AS, 13, FALSE), 0)</f>
        <v/>
      </c>
      <c r="U156" s="13">
        <f>AH156</f>
        <v/>
      </c>
      <c r="V156" s="15">
        <f>T156*U156</f>
        <v/>
      </c>
      <c r="W156" s="16" t="n"/>
      <c r="X156" s="12">
        <f>IFERROR(VLOOKUP(A156, AZInsight_Data!$A:$AS, 40, FALSE), 1)</f>
        <v/>
      </c>
      <c r="Y156" s="13">
        <f>IFERROR(VLOOKUP(A156, IP Qty!$D:$R, 5, FALSE), 0)</f>
        <v/>
      </c>
      <c r="Z156" s="14">
        <f>IFERROR(VLOOKUP(A156, IP Qty!$D:$R, 6, FALSE), 0)</f>
        <v/>
      </c>
      <c r="AA156">
        <f>IFERROR(VLOOKUP(A156, IP Qty!$D:$R, 7, FALSE), 0)</f>
        <v/>
      </c>
      <c r="AB156">
        <f>IFERROR(VLOOKUP(A156, IP Qty!$D:$R, 9, FALSE), 0)</f>
        <v/>
      </c>
      <c r="AC156">
        <f>IFERROR(VLOOKUP(A156, IP Qty!$D:$R, 8, FALSE), 0)</f>
        <v/>
      </c>
      <c r="AD156" s="14">
        <f>IFERROR(VLOOKUP(A156, KEEPA!$A:$AW, 34, FALSE), 0)</f>
        <v/>
      </c>
      <c r="AE156" s="15">
        <f>IF(P156&gt;1, ((((M156&gt;=$AD$2)*(L156&gt;=$AH$2)) + ((M156&lt;$AD$2)*(M156&gt;=$AE$2)*(L156&gt;=$AG$2)) + ((M156&lt;$AE$2)*(M156&gt;=$AC$2)*(L156&gt;=0)))*2 * IF($AI$2=0, 1, AI156&lt;=$AI$2) * IF($AK$2=0, 1, AK156&lt;=$AK$2) * AND(N156&gt;=$D$1, H156&lt;=$I$2, G156&gt;=$H$2)), ((((M156&gt;=$AD$2)*(L156&gt;=$AH$2)) + ((M156&lt;$AD$2)*(M156&gt;=$AE$2)*(L156&gt;=$AG$2)) + ((M156&lt;$AE$2)*(M156&gt;=$AC$2)*(L156&gt;=0))) * IF($AI$2=0, 1, AI156&lt;=$AI$2) * IF($AK$2=0, 1, AK156&lt;=$AK$2) * AND(N156&gt;=$D$1, H156&lt;=$I$2, G156&gt;=$H$2)))</f>
        <v/>
      </c>
      <c r="AF156">
        <f>IF(AE156&gt;0, 1, 0)</f>
        <v/>
      </c>
      <c r="AG156">
        <f>IFERROR(IF(ISNUMBER(W156), IF(AN156, N156*W156*$AN$2, N156*W156), NA()), NA())</f>
        <v/>
      </c>
      <c r="AH156" s="13">
        <f>IFERROR(MIN(AG156, $U$2), 0)</f>
        <v/>
      </c>
      <c r="AI156" s="14">
        <f>IFERROR(VLOOKUP(A156, KEEPA!$A:$AW, 26, FALSE), 0)</f>
        <v/>
      </c>
      <c r="AJ156" s="16">
        <f>IFERROR(IF(AI156=0, 0, (AI156-H156)/H156), 0)</f>
        <v/>
      </c>
      <c r="AK156" s="14">
        <f>IFERROR(VLOOKUP(A156, KEEPA!$A:$AW, 28, FALSE), 0)</f>
        <v/>
      </c>
      <c r="AL156" s="16">
        <f>IFERROR(IF(AK156=0, 0, (AK156-H156)/H156), 0)</f>
        <v/>
      </c>
      <c r="AM156" s="13">
        <f>IFERROR(VLOOKUP(A156, AZInsight_Data!$A:$AS, 34, FALSE), 0)</f>
        <v/>
      </c>
      <c r="AN156">
        <f>IFERROR(AND(VLOOKUP(A156, KEEPA!$A:$AW, 2, FALSE)&lt;=$AO$2, N156 &gt;= $AM$2), FALSE)</f>
        <v/>
      </c>
      <c r="AO156" s="16">
        <f>IFERROR(VLOOKUP(A156, KEEPA!$A:$AW, 24, FALSE), 0)</f>
        <v/>
      </c>
      <c r="AP156" s="16">
        <f>IFERROR(VLOOKUP(A156, KEEPA!$A:$AW, 48, FALSE), 0)</f>
        <v/>
      </c>
      <c r="AQ156">
        <f>IFERROR(VLOOKUP(A156, AZInsight_Data!$A:$AS, 5, FALSE), "SL")</f>
        <v/>
      </c>
      <c r="AR156">
        <f>IF(OR(A156="", A156=0), "", HYPERLINK("https://keepa.com/#!product/1-"&amp;A156, "Keepa"))</f>
        <v/>
      </c>
      <c r="AS156">
        <f>IF(OR(A156="", A156=0), "", HYPERLINK("https://www.amazon.com/dp/"&amp;A156, "Amazon"))</f>
        <v/>
      </c>
      <c r="AT156">
        <f>IF(OR(A156="", A156=0), "", HYPERLINK("https://sellercentral.amazon.com/product-search/search?q="&amp;A156, "Check Gated"))</f>
        <v/>
      </c>
      <c r="AU156" s="12" t="n"/>
      <c r="AV156" s="12" t="n"/>
      <c r="AW156" s="12" t="n"/>
    </row>
    <row r="157">
      <c r="A157" s="12" t="n"/>
      <c r="B157" s="12">
        <f>IFERROR(VLOOKUP(A157, AZInsight_Data!$A:$AS, 3, FALSE), "")</f>
        <v/>
      </c>
      <c r="C157" s="13">
        <f>IFERROR(VLOOKUP(A157, AZInsight_Data!$A:$AS, 9, FALSE), 0)</f>
        <v/>
      </c>
      <c r="D157">
        <f>IFERROR(VLOOKUP(A157, AZInsight_Data!$A:$AS, 17, FALSE), 0)</f>
        <v/>
      </c>
      <c r="E157">
        <f>IFERROR(VLOOKUP(A157, AZInsight_Data!$A:$AS, 18, FALSE), 0)</f>
        <v/>
      </c>
      <c r="F157" s="14">
        <f>IFERROR(VLOOKUP(A157, AZInsight_Data!$A:$AS, 7, FALSE), 0)</f>
        <v/>
      </c>
      <c r="G157" s="15">
        <f>IFERROR(VLOOKUP(A157, AZInsight_Data!$A:$AS, 14, FALSE), 0)</f>
        <v/>
      </c>
      <c r="H157" s="14">
        <f>IFERROR(VLOOKUP(A157, AZInsight_Data!$A:$AS, 8, FALSE), 0)</f>
        <v/>
      </c>
      <c r="I157" s="16">
        <f>IFERROR(VLOOKUP(A157, KEEPA!$A:$AW, 47, FALSE), 0)</f>
        <v/>
      </c>
      <c r="J157">
        <f>IFERROR(VLOOKUP(A157, AZInsight_Data!$A:$AS, 25, FALSE), 0)</f>
        <v/>
      </c>
      <c r="K157" s="15">
        <f>IFERROR(VLOOKUP(A157, AZInsight_Data!$A:$AS, 16, FALSE), 0)</f>
        <v/>
      </c>
      <c r="L157" s="15">
        <f>IFERROR(K157-T157-J157, 0)</f>
        <v/>
      </c>
      <c r="M157" s="16">
        <f>IFERROR(IF(T157=0, 0, L157/T157), 0)</f>
        <v/>
      </c>
      <c r="N157" s="14">
        <f>IFERROR(C157*($V$2/30), 0)</f>
        <v/>
      </c>
      <c r="O157">
        <f>IFERROR(VLOOKUP(A157, AZInsight_Data!$A:$AS, 40, FALSE), 1)</f>
        <v/>
      </c>
      <c r="P157" s="13">
        <f>IF(O157&gt;0, O157, 1)</f>
        <v/>
      </c>
      <c r="Q157" s="13">
        <f>IFERROR(U157/P157, 0)</f>
        <v/>
      </c>
      <c r="R157">
        <f>IFERROR(VLOOKUP(A157, AZInsight_Data!$A:$AS, 36, FALSE), "")</f>
        <v/>
      </c>
      <c r="S157">
        <f>IFERROR(VLOOKUP(A157, AZInsight_Data!$A:$AS, 3, FALSE), "")</f>
        <v/>
      </c>
      <c r="T157" s="17">
        <f>IFERROR(VLOOKUP(A157, AZInsight_Data!$A:$AS, 13, FALSE), 0)</f>
        <v/>
      </c>
      <c r="U157" s="13">
        <f>AH157</f>
        <v/>
      </c>
      <c r="V157" s="15">
        <f>T157*U157</f>
        <v/>
      </c>
      <c r="W157" s="16" t="n"/>
      <c r="X157" s="12">
        <f>IFERROR(VLOOKUP(A157, AZInsight_Data!$A:$AS, 40, FALSE), 1)</f>
        <v/>
      </c>
      <c r="Y157" s="13">
        <f>IFERROR(VLOOKUP(A157, IP Qty!$D:$R, 5, FALSE), 0)</f>
        <v/>
      </c>
      <c r="Z157" s="14">
        <f>IFERROR(VLOOKUP(A157, IP Qty!$D:$R, 6, FALSE), 0)</f>
        <v/>
      </c>
      <c r="AA157">
        <f>IFERROR(VLOOKUP(A157, IP Qty!$D:$R, 7, FALSE), 0)</f>
        <v/>
      </c>
      <c r="AB157">
        <f>IFERROR(VLOOKUP(A157, IP Qty!$D:$R, 9, FALSE), 0)</f>
        <v/>
      </c>
      <c r="AC157">
        <f>IFERROR(VLOOKUP(A157, IP Qty!$D:$R, 8, FALSE), 0)</f>
        <v/>
      </c>
      <c r="AD157" s="14">
        <f>IFERROR(VLOOKUP(A157, KEEPA!$A:$AW, 34, FALSE), 0)</f>
        <v/>
      </c>
      <c r="AE157" s="15">
        <f>IF(P157&gt;1, ((((M157&gt;=$AD$2)*(L157&gt;=$AH$2)) + ((M157&lt;$AD$2)*(M157&gt;=$AE$2)*(L157&gt;=$AG$2)) + ((M157&lt;$AE$2)*(M157&gt;=$AC$2)*(L157&gt;=0)))*2 * IF($AI$2=0, 1, AI157&lt;=$AI$2) * IF($AK$2=0, 1, AK157&lt;=$AK$2) * AND(N157&gt;=$D$1, H157&lt;=$I$2, G157&gt;=$H$2)), ((((M157&gt;=$AD$2)*(L157&gt;=$AH$2)) + ((M157&lt;$AD$2)*(M157&gt;=$AE$2)*(L157&gt;=$AG$2)) + ((M157&lt;$AE$2)*(M157&gt;=$AC$2)*(L157&gt;=0))) * IF($AI$2=0, 1, AI157&lt;=$AI$2) * IF($AK$2=0, 1, AK157&lt;=$AK$2) * AND(N157&gt;=$D$1, H157&lt;=$I$2, G157&gt;=$H$2)))</f>
        <v/>
      </c>
      <c r="AF157">
        <f>IF(AE157&gt;0, 1, 0)</f>
        <v/>
      </c>
      <c r="AG157">
        <f>IFERROR(IF(ISNUMBER(W157), IF(AN157, N157*W157*$AN$2, N157*W157), NA()), NA())</f>
        <v/>
      </c>
      <c r="AH157" s="13">
        <f>IFERROR(MIN(AG157, $U$2), 0)</f>
        <v/>
      </c>
      <c r="AI157" s="14">
        <f>IFERROR(VLOOKUP(A157, KEEPA!$A:$AW, 26, FALSE), 0)</f>
        <v/>
      </c>
      <c r="AJ157" s="16">
        <f>IFERROR(IF(AI157=0, 0, (AI157-H157)/H157), 0)</f>
        <v/>
      </c>
      <c r="AK157" s="14">
        <f>IFERROR(VLOOKUP(A157, KEEPA!$A:$AW, 28, FALSE), 0)</f>
        <v/>
      </c>
      <c r="AL157" s="16">
        <f>IFERROR(IF(AK157=0, 0, (AK157-H157)/H157), 0)</f>
        <v/>
      </c>
      <c r="AM157" s="13">
        <f>IFERROR(VLOOKUP(A157, AZInsight_Data!$A:$AS, 34, FALSE), 0)</f>
        <v/>
      </c>
      <c r="AN157">
        <f>IFERROR(AND(VLOOKUP(A157, KEEPA!$A:$AW, 2, FALSE)&lt;=$AO$2, N157 &gt;= $AM$2), FALSE)</f>
        <v/>
      </c>
      <c r="AO157" s="16">
        <f>IFERROR(VLOOKUP(A157, KEEPA!$A:$AW, 24, FALSE), 0)</f>
        <v/>
      </c>
      <c r="AP157" s="16">
        <f>IFERROR(VLOOKUP(A157, KEEPA!$A:$AW, 48, FALSE), 0)</f>
        <v/>
      </c>
      <c r="AQ157">
        <f>IFERROR(VLOOKUP(A157, AZInsight_Data!$A:$AS, 5, FALSE), "SL")</f>
        <v/>
      </c>
      <c r="AR157">
        <f>IF(OR(A157="", A157=0), "", HYPERLINK("https://keepa.com/#!product/1-"&amp;A157, "Keepa"))</f>
        <v/>
      </c>
      <c r="AS157">
        <f>IF(OR(A157="", A157=0), "", HYPERLINK("https://www.amazon.com/dp/"&amp;A157, "Amazon"))</f>
        <v/>
      </c>
      <c r="AT157">
        <f>IF(OR(A157="", A157=0), "", HYPERLINK("https://sellercentral.amazon.com/product-search/search?q="&amp;A157, "Check Gated"))</f>
        <v/>
      </c>
      <c r="AU157" s="12" t="n"/>
      <c r="AV157" s="12" t="n"/>
      <c r="AW157" s="12" t="n"/>
    </row>
    <row r="158">
      <c r="A158" s="12" t="n"/>
      <c r="B158" s="12">
        <f>IFERROR(VLOOKUP(A158, AZInsight_Data!$A:$AS, 3, FALSE), "")</f>
        <v/>
      </c>
      <c r="C158" s="13">
        <f>IFERROR(VLOOKUP(A158, AZInsight_Data!$A:$AS, 9, FALSE), 0)</f>
        <v/>
      </c>
      <c r="D158">
        <f>IFERROR(VLOOKUP(A158, AZInsight_Data!$A:$AS, 17, FALSE), 0)</f>
        <v/>
      </c>
      <c r="E158">
        <f>IFERROR(VLOOKUP(A158, AZInsight_Data!$A:$AS, 18, FALSE), 0)</f>
        <v/>
      </c>
      <c r="F158" s="14">
        <f>IFERROR(VLOOKUP(A158, AZInsight_Data!$A:$AS, 7, FALSE), 0)</f>
        <v/>
      </c>
      <c r="G158" s="15">
        <f>IFERROR(VLOOKUP(A158, AZInsight_Data!$A:$AS, 14, FALSE), 0)</f>
        <v/>
      </c>
      <c r="H158" s="14">
        <f>IFERROR(VLOOKUP(A158, AZInsight_Data!$A:$AS, 8, FALSE), 0)</f>
        <v/>
      </c>
      <c r="I158" s="16">
        <f>IFERROR(VLOOKUP(A158, KEEPA!$A:$AW, 47, FALSE), 0)</f>
        <v/>
      </c>
      <c r="J158">
        <f>IFERROR(VLOOKUP(A158, AZInsight_Data!$A:$AS, 25, FALSE), 0)</f>
        <v/>
      </c>
      <c r="K158" s="15">
        <f>IFERROR(VLOOKUP(A158, AZInsight_Data!$A:$AS, 16, FALSE), 0)</f>
        <v/>
      </c>
      <c r="L158" s="15">
        <f>IFERROR(K158-T158-J158, 0)</f>
        <v/>
      </c>
      <c r="M158" s="16">
        <f>IFERROR(IF(T158=0, 0, L158/T158), 0)</f>
        <v/>
      </c>
      <c r="N158" s="14">
        <f>IFERROR(C158*($V$2/30), 0)</f>
        <v/>
      </c>
      <c r="O158">
        <f>IFERROR(VLOOKUP(A158, AZInsight_Data!$A:$AS, 40, FALSE), 1)</f>
        <v/>
      </c>
      <c r="P158" s="13">
        <f>IF(O158&gt;0, O158, 1)</f>
        <v/>
      </c>
      <c r="Q158" s="13">
        <f>IFERROR(U158/P158, 0)</f>
        <v/>
      </c>
      <c r="R158">
        <f>IFERROR(VLOOKUP(A158, AZInsight_Data!$A:$AS, 36, FALSE), "")</f>
        <v/>
      </c>
      <c r="S158">
        <f>IFERROR(VLOOKUP(A158, AZInsight_Data!$A:$AS, 3, FALSE), "")</f>
        <v/>
      </c>
      <c r="T158" s="17">
        <f>IFERROR(VLOOKUP(A158, AZInsight_Data!$A:$AS, 13, FALSE), 0)</f>
        <v/>
      </c>
      <c r="U158" s="13">
        <f>AH158</f>
        <v/>
      </c>
      <c r="V158" s="15">
        <f>T158*U158</f>
        <v/>
      </c>
      <c r="W158" s="16" t="n"/>
      <c r="X158" s="12">
        <f>IFERROR(VLOOKUP(A158, AZInsight_Data!$A:$AS, 40, FALSE), 1)</f>
        <v/>
      </c>
      <c r="Y158" s="13">
        <f>IFERROR(VLOOKUP(A158, IP Qty!$D:$R, 5, FALSE), 0)</f>
        <v/>
      </c>
      <c r="Z158" s="14">
        <f>IFERROR(VLOOKUP(A158, IP Qty!$D:$R, 6, FALSE), 0)</f>
        <v/>
      </c>
      <c r="AA158">
        <f>IFERROR(VLOOKUP(A158, IP Qty!$D:$R, 7, FALSE), 0)</f>
        <v/>
      </c>
      <c r="AB158">
        <f>IFERROR(VLOOKUP(A158, IP Qty!$D:$R, 9, FALSE), 0)</f>
        <v/>
      </c>
      <c r="AC158">
        <f>IFERROR(VLOOKUP(A158, IP Qty!$D:$R, 8, FALSE), 0)</f>
        <v/>
      </c>
      <c r="AD158" s="14">
        <f>IFERROR(VLOOKUP(A158, KEEPA!$A:$AW, 34, FALSE), 0)</f>
        <v/>
      </c>
      <c r="AE158" s="15">
        <f>IF(P158&gt;1, ((((M158&gt;=$AD$2)*(L158&gt;=$AH$2)) + ((M158&lt;$AD$2)*(M158&gt;=$AE$2)*(L158&gt;=$AG$2)) + ((M158&lt;$AE$2)*(M158&gt;=$AC$2)*(L158&gt;=0)))*2 * IF($AI$2=0, 1, AI158&lt;=$AI$2) * IF($AK$2=0, 1, AK158&lt;=$AK$2) * AND(N158&gt;=$D$1, H158&lt;=$I$2, G158&gt;=$H$2)), ((((M158&gt;=$AD$2)*(L158&gt;=$AH$2)) + ((M158&lt;$AD$2)*(M158&gt;=$AE$2)*(L158&gt;=$AG$2)) + ((M158&lt;$AE$2)*(M158&gt;=$AC$2)*(L158&gt;=0))) * IF($AI$2=0, 1, AI158&lt;=$AI$2) * IF($AK$2=0, 1, AK158&lt;=$AK$2) * AND(N158&gt;=$D$1, H158&lt;=$I$2, G158&gt;=$H$2)))</f>
        <v/>
      </c>
      <c r="AF158">
        <f>IF(AE158&gt;0, 1, 0)</f>
        <v/>
      </c>
      <c r="AG158">
        <f>IFERROR(IF(ISNUMBER(W158), IF(AN158, N158*W158*$AN$2, N158*W158), NA()), NA())</f>
        <v/>
      </c>
      <c r="AH158" s="13">
        <f>IFERROR(MIN(AG158, $U$2), 0)</f>
        <v/>
      </c>
      <c r="AI158" s="14">
        <f>IFERROR(VLOOKUP(A158, KEEPA!$A:$AW, 26, FALSE), 0)</f>
        <v/>
      </c>
      <c r="AJ158" s="16">
        <f>IFERROR(IF(AI158=0, 0, (AI158-H158)/H158), 0)</f>
        <v/>
      </c>
      <c r="AK158" s="14">
        <f>IFERROR(VLOOKUP(A158, KEEPA!$A:$AW, 28, FALSE), 0)</f>
        <v/>
      </c>
      <c r="AL158" s="16">
        <f>IFERROR(IF(AK158=0, 0, (AK158-H158)/H158), 0)</f>
        <v/>
      </c>
      <c r="AM158" s="13">
        <f>IFERROR(VLOOKUP(A158, AZInsight_Data!$A:$AS, 34, FALSE), 0)</f>
        <v/>
      </c>
      <c r="AN158">
        <f>IFERROR(AND(VLOOKUP(A158, KEEPA!$A:$AW, 2, FALSE)&lt;=$AO$2, N158 &gt;= $AM$2), FALSE)</f>
        <v/>
      </c>
      <c r="AO158" s="16">
        <f>IFERROR(VLOOKUP(A158, KEEPA!$A:$AW, 24, FALSE), 0)</f>
        <v/>
      </c>
      <c r="AP158" s="16">
        <f>IFERROR(VLOOKUP(A158, KEEPA!$A:$AW, 48, FALSE), 0)</f>
        <v/>
      </c>
      <c r="AQ158">
        <f>IFERROR(VLOOKUP(A158, AZInsight_Data!$A:$AS, 5, FALSE), "SL")</f>
        <v/>
      </c>
      <c r="AR158">
        <f>IF(OR(A158="", A158=0), "", HYPERLINK("https://keepa.com/#!product/1-"&amp;A158, "Keepa"))</f>
        <v/>
      </c>
      <c r="AS158">
        <f>IF(OR(A158="", A158=0), "", HYPERLINK("https://www.amazon.com/dp/"&amp;A158, "Amazon"))</f>
        <v/>
      </c>
      <c r="AT158">
        <f>IF(OR(A158="", A158=0), "", HYPERLINK("https://sellercentral.amazon.com/product-search/search?q="&amp;A158, "Check Gated"))</f>
        <v/>
      </c>
      <c r="AU158" s="12" t="n"/>
      <c r="AV158" s="12" t="n"/>
      <c r="AW158" s="12" t="n"/>
    </row>
    <row r="159">
      <c r="A159" s="12" t="n"/>
      <c r="B159" s="12">
        <f>IFERROR(VLOOKUP(A159, AZInsight_Data!$A:$AS, 3, FALSE), "")</f>
        <v/>
      </c>
      <c r="C159" s="13">
        <f>IFERROR(VLOOKUP(A159, AZInsight_Data!$A:$AS, 9, FALSE), 0)</f>
        <v/>
      </c>
      <c r="D159">
        <f>IFERROR(VLOOKUP(A159, AZInsight_Data!$A:$AS, 17, FALSE), 0)</f>
        <v/>
      </c>
      <c r="E159">
        <f>IFERROR(VLOOKUP(A159, AZInsight_Data!$A:$AS, 18, FALSE), 0)</f>
        <v/>
      </c>
      <c r="F159" s="14">
        <f>IFERROR(VLOOKUP(A159, AZInsight_Data!$A:$AS, 7, FALSE), 0)</f>
        <v/>
      </c>
      <c r="G159" s="15">
        <f>IFERROR(VLOOKUP(A159, AZInsight_Data!$A:$AS, 14, FALSE), 0)</f>
        <v/>
      </c>
      <c r="H159" s="14">
        <f>IFERROR(VLOOKUP(A159, AZInsight_Data!$A:$AS, 8, FALSE), 0)</f>
        <v/>
      </c>
      <c r="I159" s="16">
        <f>IFERROR(VLOOKUP(A159, KEEPA!$A:$AW, 47, FALSE), 0)</f>
        <v/>
      </c>
      <c r="J159">
        <f>IFERROR(VLOOKUP(A159, AZInsight_Data!$A:$AS, 25, FALSE), 0)</f>
        <v/>
      </c>
      <c r="K159" s="15">
        <f>IFERROR(VLOOKUP(A159, AZInsight_Data!$A:$AS, 16, FALSE), 0)</f>
        <v/>
      </c>
      <c r="L159" s="15">
        <f>IFERROR(K159-T159-J159, 0)</f>
        <v/>
      </c>
      <c r="M159" s="16">
        <f>IFERROR(IF(T159=0, 0, L159/T159), 0)</f>
        <v/>
      </c>
      <c r="N159" s="14">
        <f>IFERROR(C159*($V$2/30), 0)</f>
        <v/>
      </c>
      <c r="O159">
        <f>IFERROR(VLOOKUP(A159, AZInsight_Data!$A:$AS, 40, FALSE), 1)</f>
        <v/>
      </c>
      <c r="P159" s="13">
        <f>IF(O159&gt;0, O159, 1)</f>
        <v/>
      </c>
      <c r="Q159" s="13">
        <f>IFERROR(U159/P159, 0)</f>
        <v/>
      </c>
      <c r="R159">
        <f>IFERROR(VLOOKUP(A159, AZInsight_Data!$A:$AS, 36, FALSE), "")</f>
        <v/>
      </c>
      <c r="S159">
        <f>IFERROR(VLOOKUP(A159, AZInsight_Data!$A:$AS, 3, FALSE), "")</f>
        <v/>
      </c>
      <c r="T159" s="17">
        <f>IFERROR(VLOOKUP(A159, AZInsight_Data!$A:$AS, 13, FALSE), 0)</f>
        <v/>
      </c>
      <c r="U159" s="13">
        <f>AH159</f>
        <v/>
      </c>
      <c r="V159" s="15">
        <f>T159*U159</f>
        <v/>
      </c>
      <c r="W159" s="16" t="n"/>
      <c r="X159" s="12">
        <f>IFERROR(VLOOKUP(A159, AZInsight_Data!$A:$AS, 40, FALSE), 1)</f>
        <v/>
      </c>
      <c r="Y159" s="13">
        <f>IFERROR(VLOOKUP(A159, IP Qty!$D:$R, 5, FALSE), 0)</f>
        <v/>
      </c>
      <c r="Z159" s="14">
        <f>IFERROR(VLOOKUP(A159, IP Qty!$D:$R, 6, FALSE), 0)</f>
        <v/>
      </c>
      <c r="AA159">
        <f>IFERROR(VLOOKUP(A159, IP Qty!$D:$R, 7, FALSE), 0)</f>
        <v/>
      </c>
      <c r="AB159">
        <f>IFERROR(VLOOKUP(A159, IP Qty!$D:$R, 9, FALSE), 0)</f>
        <v/>
      </c>
      <c r="AC159">
        <f>IFERROR(VLOOKUP(A159, IP Qty!$D:$R, 8, FALSE), 0)</f>
        <v/>
      </c>
      <c r="AD159" s="14">
        <f>IFERROR(VLOOKUP(A159, KEEPA!$A:$AW, 34, FALSE), 0)</f>
        <v/>
      </c>
      <c r="AE159" s="15">
        <f>IF(P159&gt;1, ((((M159&gt;=$AD$2)*(L159&gt;=$AH$2)) + ((M159&lt;$AD$2)*(M159&gt;=$AE$2)*(L159&gt;=$AG$2)) + ((M159&lt;$AE$2)*(M159&gt;=$AC$2)*(L159&gt;=0)))*2 * IF($AI$2=0, 1, AI159&lt;=$AI$2) * IF($AK$2=0, 1, AK159&lt;=$AK$2) * AND(N159&gt;=$D$1, H159&lt;=$I$2, G159&gt;=$H$2)), ((((M159&gt;=$AD$2)*(L159&gt;=$AH$2)) + ((M159&lt;$AD$2)*(M159&gt;=$AE$2)*(L159&gt;=$AG$2)) + ((M159&lt;$AE$2)*(M159&gt;=$AC$2)*(L159&gt;=0))) * IF($AI$2=0, 1, AI159&lt;=$AI$2) * IF($AK$2=0, 1, AK159&lt;=$AK$2) * AND(N159&gt;=$D$1, H159&lt;=$I$2, G159&gt;=$H$2)))</f>
        <v/>
      </c>
      <c r="AF159">
        <f>IF(AE159&gt;0, 1, 0)</f>
        <v/>
      </c>
      <c r="AG159">
        <f>IFERROR(IF(ISNUMBER(W159), IF(AN159, N159*W159*$AN$2, N159*W159), NA()), NA())</f>
        <v/>
      </c>
      <c r="AH159" s="13">
        <f>IFERROR(MIN(AG159, $U$2), 0)</f>
        <v/>
      </c>
      <c r="AI159" s="14">
        <f>IFERROR(VLOOKUP(A159, KEEPA!$A:$AW, 26, FALSE), 0)</f>
        <v/>
      </c>
      <c r="AJ159" s="16">
        <f>IFERROR(IF(AI159=0, 0, (AI159-H159)/H159), 0)</f>
        <v/>
      </c>
      <c r="AK159" s="14">
        <f>IFERROR(VLOOKUP(A159, KEEPA!$A:$AW, 28, FALSE), 0)</f>
        <v/>
      </c>
      <c r="AL159" s="16">
        <f>IFERROR(IF(AK159=0, 0, (AK159-H159)/H159), 0)</f>
        <v/>
      </c>
      <c r="AM159" s="13">
        <f>IFERROR(VLOOKUP(A159, AZInsight_Data!$A:$AS, 34, FALSE), 0)</f>
        <v/>
      </c>
      <c r="AN159">
        <f>IFERROR(AND(VLOOKUP(A159, KEEPA!$A:$AW, 2, FALSE)&lt;=$AO$2, N159 &gt;= $AM$2), FALSE)</f>
        <v/>
      </c>
      <c r="AO159" s="16">
        <f>IFERROR(VLOOKUP(A159, KEEPA!$A:$AW, 24, FALSE), 0)</f>
        <v/>
      </c>
      <c r="AP159" s="16">
        <f>IFERROR(VLOOKUP(A159, KEEPA!$A:$AW, 48, FALSE), 0)</f>
        <v/>
      </c>
      <c r="AQ159">
        <f>IFERROR(VLOOKUP(A159, AZInsight_Data!$A:$AS, 5, FALSE), "SL")</f>
        <v/>
      </c>
      <c r="AR159">
        <f>IF(OR(A159="", A159=0), "", HYPERLINK("https://keepa.com/#!product/1-"&amp;A159, "Keepa"))</f>
        <v/>
      </c>
      <c r="AS159">
        <f>IF(OR(A159="", A159=0), "", HYPERLINK("https://www.amazon.com/dp/"&amp;A159, "Amazon"))</f>
        <v/>
      </c>
      <c r="AT159">
        <f>IF(OR(A159="", A159=0), "", HYPERLINK("https://sellercentral.amazon.com/product-search/search?q="&amp;A159, "Check Gated"))</f>
        <v/>
      </c>
      <c r="AU159" s="12" t="n"/>
      <c r="AV159" s="12" t="n"/>
      <c r="AW159" s="12" t="n"/>
    </row>
    <row r="160">
      <c r="A160" s="12" t="n"/>
      <c r="B160" s="12">
        <f>IFERROR(VLOOKUP(A160, AZInsight_Data!$A:$AS, 3, FALSE), "")</f>
        <v/>
      </c>
      <c r="C160" s="13">
        <f>IFERROR(VLOOKUP(A160, AZInsight_Data!$A:$AS, 9, FALSE), 0)</f>
        <v/>
      </c>
      <c r="D160">
        <f>IFERROR(VLOOKUP(A160, AZInsight_Data!$A:$AS, 17, FALSE), 0)</f>
        <v/>
      </c>
      <c r="E160">
        <f>IFERROR(VLOOKUP(A160, AZInsight_Data!$A:$AS, 18, FALSE), 0)</f>
        <v/>
      </c>
      <c r="F160" s="14">
        <f>IFERROR(VLOOKUP(A160, AZInsight_Data!$A:$AS, 7, FALSE), 0)</f>
        <v/>
      </c>
      <c r="G160" s="15">
        <f>IFERROR(VLOOKUP(A160, AZInsight_Data!$A:$AS, 14, FALSE), 0)</f>
        <v/>
      </c>
      <c r="H160" s="14">
        <f>IFERROR(VLOOKUP(A160, AZInsight_Data!$A:$AS, 8, FALSE), 0)</f>
        <v/>
      </c>
      <c r="I160" s="16">
        <f>IFERROR(VLOOKUP(A160, KEEPA!$A:$AW, 47, FALSE), 0)</f>
        <v/>
      </c>
      <c r="J160">
        <f>IFERROR(VLOOKUP(A160, AZInsight_Data!$A:$AS, 25, FALSE), 0)</f>
        <v/>
      </c>
      <c r="K160" s="15">
        <f>IFERROR(VLOOKUP(A160, AZInsight_Data!$A:$AS, 16, FALSE), 0)</f>
        <v/>
      </c>
      <c r="L160" s="15">
        <f>IFERROR(K160-T160-J160, 0)</f>
        <v/>
      </c>
      <c r="M160" s="16">
        <f>IFERROR(IF(T160=0, 0, L160/T160), 0)</f>
        <v/>
      </c>
      <c r="N160" s="14">
        <f>IFERROR(C160*($V$2/30), 0)</f>
        <v/>
      </c>
      <c r="O160">
        <f>IFERROR(VLOOKUP(A160, AZInsight_Data!$A:$AS, 40, FALSE), 1)</f>
        <v/>
      </c>
      <c r="P160" s="13">
        <f>IF(O160&gt;0, O160, 1)</f>
        <v/>
      </c>
      <c r="Q160" s="13">
        <f>IFERROR(U160/P160, 0)</f>
        <v/>
      </c>
      <c r="R160">
        <f>IFERROR(VLOOKUP(A160, AZInsight_Data!$A:$AS, 36, FALSE), "")</f>
        <v/>
      </c>
      <c r="S160">
        <f>IFERROR(VLOOKUP(A160, AZInsight_Data!$A:$AS, 3, FALSE), "")</f>
        <v/>
      </c>
      <c r="T160" s="17">
        <f>IFERROR(VLOOKUP(A160, AZInsight_Data!$A:$AS, 13, FALSE), 0)</f>
        <v/>
      </c>
      <c r="U160" s="13">
        <f>AH160</f>
        <v/>
      </c>
      <c r="V160" s="15">
        <f>T160*U160</f>
        <v/>
      </c>
      <c r="W160" s="16" t="n"/>
      <c r="X160" s="12">
        <f>IFERROR(VLOOKUP(A160, AZInsight_Data!$A:$AS, 40, FALSE), 1)</f>
        <v/>
      </c>
      <c r="Y160" s="13">
        <f>IFERROR(VLOOKUP(A160, IP Qty!$D:$R, 5, FALSE), 0)</f>
        <v/>
      </c>
      <c r="Z160" s="14">
        <f>IFERROR(VLOOKUP(A160, IP Qty!$D:$R, 6, FALSE), 0)</f>
        <v/>
      </c>
      <c r="AA160">
        <f>IFERROR(VLOOKUP(A160, IP Qty!$D:$R, 7, FALSE), 0)</f>
        <v/>
      </c>
      <c r="AB160">
        <f>IFERROR(VLOOKUP(A160, IP Qty!$D:$R, 9, FALSE), 0)</f>
        <v/>
      </c>
      <c r="AC160">
        <f>IFERROR(VLOOKUP(A160, IP Qty!$D:$R, 8, FALSE), 0)</f>
        <v/>
      </c>
      <c r="AD160" s="14">
        <f>IFERROR(VLOOKUP(A160, KEEPA!$A:$AW, 34, FALSE), 0)</f>
        <v/>
      </c>
      <c r="AE160" s="15">
        <f>IF(P160&gt;1, ((((M160&gt;=$AD$2)*(L160&gt;=$AH$2)) + ((M160&lt;$AD$2)*(M160&gt;=$AE$2)*(L160&gt;=$AG$2)) + ((M160&lt;$AE$2)*(M160&gt;=$AC$2)*(L160&gt;=0)))*2 * IF($AI$2=0, 1, AI160&lt;=$AI$2) * IF($AK$2=0, 1, AK160&lt;=$AK$2) * AND(N160&gt;=$D$1, H160&lt;=$I$2, G160&gt;=$H$2)), ((((M160&gt;=$AD$2)*(L160&gt;=$AH$2)) + ((M160&lt;$AD$2)*(M160&gt;=$AE$2)*(L160&gt;=$AG$2)) + ((M160&lt;$AE$2)*(M160&gt;=$AC$2)*(L160&gt;=0))) * IF($AI$2=0, 1, AI160&lt;=$AI$2) * IF($AK$2=0, 1, AK160&lt;=$AK$2) * AND(N160&gt;=$D$1, H160&lt;=$I$2, G160&gt;=$H$2)))</f>
        <v/>
      </c>
      <c r="AF160">
        <f>IF(AE160&gt;0, 1, 0)</f>
        <v/>
      </c>
      <c r="AG160">
        <f>IFERROR(IF(ISNUMBER(W160), IF(AN160, N160*W160*$AN$2, N160*W160), NA()), NA())</f>
        <v/>
      </c>
      <c r="AH160" s="13">
        <f>IFERROR(MIN(AG160, $U$2), 0)</f>
        <v/>
      </c>
      <c r="AI160" s="14">
        <f>IFERROR(VLOOKUP(A160, KEEPA!$A:$AW, 26, FALSE), 0)</f>
        <v/>
      </c>
      <c r="AJ160" s="16">
        <f>IFERROR(IF(AI160=0, 0, (AI160-H160)/H160), 0)</f>
        <v/>
      </c>
      <c r="AK160" s="14">
        <f>IFERROR(VLOOKUP(A160, KEEPA!$A:$AW, 28, FALSE), 0)</f>
        <v/>
      </c>
      <c r="AL160" s="16">
        <f>IFERROR(IF(AK160=0, 0, (AK160-H160)/H160), 0)</f>
        <v/>
      </c>
      <c r="AM160" s="13">
        <f>IFERROR(VLOOKUP(A160, AZInsight_Data!$A:$AS, 34, FALSE), 0)</f>
        <v/>
      </c>
      <c r="AN160">
        <f>IFERROR(AND(VLOOKUP(A160, KEEPA!$A:$AW, 2, FALSE)&lt;=$AO$2, N160 &gt;= $AM$2), FALSE)</f>
        <v/>
      </c>
      <c r="AO160" s="16">
        <f>IFERROR(VLOOKUP(A160, KEEPA!$A:$AW, 24, FALSE), 0)</f>
        <v/>
      </c>
      <c r="AP160" s="16">
        <f>IFERROR(VLOOKUP(A160, KEEPA!$A:$AW, 48, FALSE), 0)</f>
        <v/>
      </c>
      <c r="AQ160">
        <f>IFERROR(VLOOKUP(A160, AZInsight_Data!$A:$AS, 5, FALSE), "SL")</f>
        <v/>
      </c>
      <c r="AR160">
        <f>IF(OR(A160="", A160=0), "", HYPERLINK("https://keepa.com/#!product/1-"&amp;A160, "Keepa"))</f>
        <v/>
      </c>
      <c r="AS160">
        <f>IF(OR(A160="", A160=0), "", HYPERLINK("https://www.amazon.com/dp/"&amp;A160, "Amazon"))</f>
        <v/>
      </c>
      <c r="AT160">
        <f>IF(OR(A160="", A160=0), "", HYPERLINK("https://sellercentral.amazon.com/product-search/search?q="&amp;A160, "Check Gated"))</f>
        <v/>
      </c>
      <c r="AU160" s="12" t="n"/>
      <c r="AV160" s="12" t="n"/>
      <c r="AW160" s="12" t="n"/>
    </row>
    <row r="161">
      <c r="A161" s="12" t="n"/>
      <c r="B161" s="12">
        <f>IFERROR(VLOOKUP(A161, AZInsight_Data!$A:$AS, 3, FALSE), "")</f>
        <v/>
      </c>
      <c r="C161" s="13">
        <f>IFERROR(VLOOKUP(A161, AZInsight_Data!$A:$AS, 9, FALSE), 0)</f>
        <v/>
      </c>
      <c r="D161">
        <f>IFERROR(VLOOKUP(A161, AZInsight_Data!$A:$AS, 17, FALSE), 0)</f>
        <v/>
      </c>
      <c r="E161">
        <f>IFERROR(VLOOKUP(A161, AZInsight_Data!$A:$AS, 18, FALSE), 0)</f>
        <v/>
      </c>
      <c r="F161" s="14">
        <f>IFERROR(VLOOKUP(A161, AZInsight_Data!$A:$AS, 7, FALSE), 0)</f>
        <v/>
      </c>
      <c r="G161" s="15">
        <f>IFERROR(VLOOKUP(A161, AZInsight_Data!$A:$AS, 14, FALSE), 0)</f>
        <v/>
      </c>
      <c r="H161" s="14">
        <f>IFERROR(VLOOKUP(A161, AZInsight_Data!$A:$AS, 8, FALSE), 0)</f>
        <v/>
      </c>
      <c r="I161" s="16">
        <f>IFERROR(VLOOKUP(A161, KEEPA!$A:$AW, 47, FALSE), 0)</f>
        <v/>
      </c>
      <c r="J161">
        <f>IFERROR(VLOOKUP(A161, AZInsight_Data!$A:$AS, 25, FALSE), 0)</f>
        <v/>
      </c>
      <c r="K161" s="15">
        <f>IFERROR(VLOOKUP(A161, AZInsight_Data!$A:$AS, 16, FALSE), 0)</f>
        <v/>
      </c>
      <c r="L161" s="15">
        <f>IFERROR(K161-T161-J161, 0)</f>
        <v/>
      </c>
      <c r="M161" s="16">
        <f>IFERROR(IF(T161=0, 0, L161/T161), 0)</f>
        <v/>
      </c>
      <c r="N161" s="14">
        <f>IFERROR(C161*($V$2/30), 0)</f>
        <v/>
      </c>
      <c r="O161">
        <f>IFERROR(VLOOKUP(A161, AZInsight_Data!$A:$AS, 40, FALSE), 1)</f>
        <v/>
      </c>
      <c r="P161" s="13">
        <f>IF(O161&gt;0, O161, 1)</f>
        <v/>
      </c>
      <c r="Q161" s="13">
        <f>IFERROR(U161/P161, 0)</f>
        <v/>
      </c>
      <c r="R161">
        <f>IFERROR(VLOOKUP(A161, AZInsight_Data!$A:$AS, 36, FALSE), "")</f>
        <v/>
      </c>
      <c r="S161">
        <f>IFERROR(VLOOKUP(A161, AZInsight_Data!$A:$AS, 3, FALSE), "")</f>
        <v/>
      </c>
      <c r="T161" s="17">
        <f>IFERROR(VLOOKUP(A161, AZInsight_Data!$A:$AS, 13, FALSE), 0)</f>
        <v/>
      </c>
      <c r="U161" s="13">
        <f>AH161</f>
        <v/>
      </c>
      <c r="V161" s="15">
        <f>T161*U161</f>
        <v/>
      </c>
      <c r="W161" s="16" t="n"/>
      <c r="X161" s="12">
        <f>IFERROR(VLOOKUP(A161, AZInsight_Data!$A:$AS, 40, FALSE), 1)</f>
        <v/>
      </c>
      <c r="Y161" s="13">
        <f>IFERROR(VLOOKUP(A161, IP Qty!$D:$R, 5, FALSE), 0)</f>
        <v/>
      </c>
      <c r="Z161" s="14">
        <f>IFERROR(VLOOKUP(A161, IP Qty!$D:$R, 6, FALSE), 0)</f>
        <v/>
      </c>
      <c r="AA161">
        <f>IFERROR(VLOOKUP(A161, IP Qty!$D:$R, 7, FALSE), 0)</f>
        <v/>
      </c>
      <c r="AB161">
        <f>IFERROR(VLOOKUP(A161, IP Qty!$D:$R, 9, FALSE), 0)</f>
        <v/>
      </c>
      <c r="AC161">
        <f>IFERROR(VLOOKUP(A161, IP Qty!$D:$R, 8, FALSE), 0)</f>
        <v/>
      </c>
      <c r="AD161" s="14">
        <f>IFERROR(VLOOKUP(A161, KEEPA!$A:$AW, 34, FALSE), 0)</f>
        <v/>
      </c>
      <c r="AE161" s="15">
        <f>IF(P161&gt;1, ((((M161&gt;=$AD$2)*(L161&gt;=$AH$2)) + ((M161&lt;$AD$2)*(M161&gt;=$AE$2)*(L161&gt;=$AG$2)) + ((M161&lt;$AE$2)*(M161&gt;=$AC$2)*(L161&gt;=0)))*2 * IF($AI$2=0, 1, AI161&lt;=$AI$2) * IF($AK$2=0, 1, AK161&lt;=$AK$2) * AND(N161&gt;=$D$1, H161&lt;=$I$2, G161&gt;=$H$2)), ((((M161&gt;=$AD$2)*(L161&gt;=$AH$2)) + ((M161&lt;$AD$2)*(M161&gt;=$AE$2)*(L161&gt;=$AG$2)) + ((M161&lt;$AE$2)*(M161&gt;=$AC$2)*(L161&gt;=0))) * IF($AI$2=0, 1, AI161&lt;=$AI$2) * IF($AK$2=0, 1, AK161&lt;=$AK$2) * AND(N161&gt;=$D$1, H161&lt;=$I$2, G161&gt;=$H$2)))</f>
        <v/>
      </c>
      <c r="AF161">
        <f>IF(AE161&gt;0, 1, 0)</f>
        <v/>
      </c>
      <c r="AG161">
        <f>IFERROR(IF(ISNUMBER(W161), IF(AN161, N161*W161*$AN$2, N161*W161), NA()), NA())</f>
        <v/>
      </c>
      <c r="AH161" s="13">
        <f>IFERROR(MIN(AG161, $U$2), 0)</f>
        <v/>
      </c>
      <c r="AI161" s="14">
        <f>IFERROR(VLOOKUP(A161, KEEPA!$A:$AW, 26, FALSE), 0)</f>
        <v/>
      </c>
      <c r="AJ161" s="16">
        <f>IFERROR(IF(AI161=0, 0, (AI161-H161)/H161), 0)</f>
        <v/>
      </c>
      <c r="AK161" s="14">
        <f>IFERROR(VLOOKUP(A161, KEEPA!$A:$AW, 28, FALSE), 0)</f>
        <v/>
      </c>
      <c r="AL161" s="16">
        <f>IFERROR(IF(AK161=0, 0, (AK161-H161)/H161), 0)</f>
        <v/>
      </c>
      <c r="AM161" s="13">
        <f>IFERROR(VLOOKUP(A161, AZInsight_Data!$A:$AS, 34, FALSE), 0)</f>
        <v/>
      </c>
      <c r="AN161">
        <f>IFERROR(AND(VLOOKUP(A161, KEEPA!$A:$AW, 2, FALSE)&lt;=$AO$2, N161 &gt;= $AM$2), FALSE)</f>
        <v/>
      </c>
      <c r="AO161" s="16">
        <f>IFERROR(VLOOKUP(A161, KEEPA!$A:$AW, 24, FALSE), 0)</f>
        <v/>
      </c>
      <c r="AP161" s="16">
        <f>IFERROR(VLOOKUP(A161, KEEPA!$A:$AW, 48, FALSE), 0)</f>
        <v/>
      </c>
      <c r="AQ161">
        <f>IFERROR(VLOOKUP(A161, AZInsight_Data!$A:$AS, 5, FALSE), "SL")</f>
        <v/>
      </c>
      <c r="AR161">
        <f>IF(OR(A161="", A161=0), "", HYPERLINK("https://keepa.com/#!product/1-"&amp;A161, "Keepa"))</f>
        <v/>
      </c>
      <c r="AS161">
        <f>IF(OR(A161="", A161=0), "", HYPERLINK("https://www.amazon.com/dp/"&amp;A161, "Amazon"))</f>
        <v/>
      </c>
      <c r="AT161">
        <f>IF(OR(A161="", A161=0), "", HYPERLINK("https://sellercentral.amazon.com/product-search/search?q="&amp;A161, "Check Gated"))</f>
        <v/>
      </c>
      <c r="AU161" s="12" t="n"/>
      <c r="AV161" s="12" t="n"/>
      <c r="AW161" s="12" t="n"/>
    </row>
    <row r="162">
      <c r="A162" s="12" t="n"/>
      <c r="B162" s="12">
        <f>IFERROR(VLOOKUP(A162, AZInsight_Data!$A:$AS, 3, FALSE), "")</f>
        <v/>
      </c>
      <c r="C162" s="13">
        <f>IFERROR(VLOOKUP(A162, AZInsight_Data!$A:$AS, 9, FALSE), 0)</f>
        <v/>
      </c>
      <c r="D162">
        <f>IFERROR(VLOOKUP(A162, AZInsight_Data!$A:$AS, 17, FALSE), 0)</f>
        <v/>
      </c>
      <c r="E162">
        <f>IFERROR(VLOOKUP(A162, AZInsight_Data!$A:$AS, 18, FALSE), 0)</f>
        <v/>
      </c>
      <c r="F162" s="14">
        <f>IFERROR(VLOOKUP(A162, AZInsight_Data!$A:$AS, 7, FALSE), 0)</f>
        <v/>
      </c>
      <c r="G162" s="15">
        <f>IFERROR(VLOOKUP(A162, AZInsight_Data!$A:$AS, 14, FALSE), 0)</f>
        <v/>
      </c>
      <c r="H162" s="14">
        <f>IFERROR(VLOOKUP(A162, AZInsight_Data!$A:$AS, 8, FALSE), 0)</f>
        <v/>
      </c>
      <c r="I162" s="16">
        <f>IFERROR(VLOOKUP(A162, KEEPA!$A:$AW, 47, FALSE), 0)</f>
        <v/>
      </c>
      <c r="J162">
        <f>IFERROR(VLOOKUP(A162, AZInsight_Data!$A:$AS, 25, FALSE), 0)</f>
        <v/>
      </c>
      <c r="K162" s="15">
        <f>IFERROR(VLOOKUP(A162, AZInsight_Data!$A:$AS, 16, FALSE), 0)</f>
        <v/>
      </c>
      <c r="L162" s="15">
        <f>IFERROR(K162-T162-J162, 0)</f>
        <v/>
      </c>
      <c r="M162" s="16">
        <f>IFERROR(IF(T162=0, 0, L162/T162), 0)</f>
        <v/>
      </c>
      <c r="N162" s="14">
        <f>IFERROR(C162*($V$2/30), 0)</f>
        <v/>
      </c>
      <c r="O162">
        <f>IFERROR(VLOOKUP(A162, AZInsight_Data!$A:$AS, 40, FALSE), 1)</f>
        <v/>
      </c>
      <c r="P162" s="13">
        <f>IF(O162&gt;0, O162, 1)</f>
        <v/>
      </c>
      <c r="Q162" s="13">
        <f>IFERROR(U162/P162, 0)</f>
        <v/>
      </c>
      <c r="R162">
        <f>IFERROR(VLOOKUP(A162, AZInsight_Data!$A:$AS, 36, FALSE), "")</f>
        <v/>
      </c>
      <c r="S162">
        <f>IFERROR(VLOOKUP(A162, AZInsight_Data!$A:$AS, 3, FALSE), "")</f>
        <v/>
      </c>
      <c r="T162" s="17">
        <f>IFERROR(VLOOKUP(A162, AZInsight_Data!$A:$AS, 13, FALSE), 0)</f>
        <v/>
      </c>
      <c r="U162" s="13">
        <f>AH162</f>
        <v/>
      </c>
      <c r="V162" s="15">
        <f>T162*U162</f>
        <v/>
      </c>
      <c r="W162" s="16" t="n"/>
      <c r="X162" s="12">
        <f>IFERROR(VLOOKUP(A162, AZInsight_Data!$A:$AS, 40, FALSE), 1)</f>
        <v/>
      </c>
      <c r="Y162" s="13">
        <f>IFERROR(VLOOKUP(A162, IP Qty!$D:$R, 5, FALSE), 0)</f>
        <v/>
      </c>
      <c r="Z162" s="14">
        <f>IFERROR(VLOOKUP(A162, IP Qty!$D:$R, 6, FALSE), 0)</f>
        <v/>
      </c>
      <c r="AA162">
        <f>IFERROR(VLOOKUP(A162, IP Qty!$D:$R, 7, FALSE), 0)</f>
        <v/>
      </c>
      <c r="AB162">
        <f>IFERROR(VLOOKUP(A162, IP Qty!$D:$R, 9, FALSE), 0)</f>
        <v/>
      </c>
      <c r="AC162">
        <f>IFERROR(VLOOKUP(A162, IP Qty!$D:$R, 8, FALSE), 0)</f>
        <v/>
      </c>
      <c r="AD162" s="14">
        <f>IFERROR(VLOOKUP(A162, KEEPA!$A:$AW, 34, FALSE), 0)</f>
        <v/>
      </c>
      <c r="AE162" s="15">
        <f>IF(P162&gt;1, ((((M162&gt;=$AD$2)*(L162&gt;=$AH$2)) + ((M162&lt;$AD$2)*(M162&gt;=$AE$2)*(L162&gt;=$AG$2)) + ((M162&lt;$AE$2)*(M162&gt;=$AC$2)*(L162&gt;=0)))*2 * IF($AI$2=0, 1, AI162&lt;=$AI$2) * IF($AK$2=0, 1, AK162&lt;=$AK$2) * AND(N162&gt;=$D$1, H162&lt;=$I$2, G162&gt;=$H$2)), ((((M162&gt;=$AD$2)*(L162&gt;=$AH$2)) + ((M162&lt;$AD$2)*(M162&gt;=$AE$2)*(L162&gt;=$AG$2)) + ((M162&lt;$AE$2)*(M162&gt;=$AC$2)*(L162&gt;=0))) * IF($AI$2=0, 1, AI162&lt;=$AI$2) * IF($AK$2=0, 1, AK162&lt;=$AK$2) * AND(N162&gt;=$D$1, H162&lt;=$I$2, G162&gt;=$H$2)))</f>
        <v/>
      </c>
      <c r="AF162">
        <f>IF(AE162&gt;0, 1, 0)</f>
        <v/>
      </c>
      <c r="AG162">
        <f>IFERROR(IF(ISNUMBER(W162), IF(AN162, N162*W162*$AN$2, N162*W162), NA()), NA())</f>
        <v/>
      </c>
      <c r="AH162" s="13">
        <f>IFERROR(MIN(AG162, $U$2), 0)</f>
        <v/>
      </c>
      <c r="AI162" s="14">
        <f>IFERROR(VLOOKUP(A162, KEEPA!$A:$AW, 26, FALSE), 0)</f>
        <v/>
      </c>
      <c r="AJ162" s="16">
        <f>IFERROR(IF(AI162=0, 0, (AI162-H162)/H162), 0)</f>
        <v/>
      </c>
      <c r="AK162" s="14">
        <f>IFERROR(VLOOKUP(A162, KEEPA!$A:$AW, 28, FALSE), 0)</f>
        <v/>
      </c>
      <c r="AL162" s="16">
        <f>IFERROR(IF(AK162=0, 0, (AK162-H162)/H162), 0)</f>
        <v/>
      </c>
      <c r="AM162" s="13">
        <f>IFERROR(VLOOKUP(A162, AZInsight_Data!$A:$AS, 34, FALSE), 0)</f>
        <v/>
      </c>
      <c r="AN162">
        <f>IFERROR(AND(VLOOKUP(A162, KEEPA!$A:$AW, 2, FALSE)&lt;=$AO$2, N162 &gt;= $AM$2), FALSE)</f>
        <v/>
      </c>
      <c r="AO162" s="16">
        <f>IFERROR(VLOOKUP(A162, KEEPA!$A:$AW, 24, FALSE), 0)</f>
        <v/>
      </c>
      <c r="AP162" s="16">
        <f>IFERROR(VLOOKUP(A162, KEEPA!$A:$AW, 48, FALSE), 0)</f>
        <v/>
      </c>
      <c r="AQ162">
        <f>IFERROR(VLOOKUP(A162, AZInsight_Data!$A:$AS, 5, FALSE), "SL")</f>
        <v/>
      </c>
      <c r="AR162">
        <f>IF(OR(A162="", A162=0), "", HYPERLINK("https://keepa.com/#!product/1-"&amp;A162, "Keepa"))</f>
        <v/>
      </c>
      <c r="AS162">
        <f>IF(OR(A162="", A162=0), "", HYPERLINK("https://www.amazon.com/dp/"&amp;A162, "Amazon"))</f>
        <v/>
      </c>
      <c r="AT162">
        <f>IF(OR(A162="", A162=0), "", HYPERLINK("https://sellercentral.amazon.com/product-search/search?q="&amp;A162, "Check Gated"))</f>
        <v/>
      </c>
      <c r="AU162" s="12" t="n"/>
      <c r="AV162" s="12" t="n"/>
      <c r="AW162" s="12" t="n"/>
    </row>
    <row r="163">
      <c r="A163" s="12" t="n"/>
      <c r="B163" s="12">
        <f>IFERROR(VLOOKUP(A163, AZInsight_Data!$A:$AS, 3, FALSE), "")</f>
        <v/>
      </c>
      <c r="C163" s="13">
        <f>IFERROR(VLOOKUP(A163, AZInsight_Data!$A:$AS, 9, FALSE), 0)</f>
        <v/>
      </c>
      <c r="D163">
        <f>IFERROR(VLOOKUP(A163, AZInsight_Data!$A:$AS, 17, FALSE), 0)</f>
        <v/>
      </c>
      <c r="E163">
        <f>IFERROR(VLOOKUP(A163, AZInsight_Data!$A:$AS, 18, FALSE), 0)</f>
        <v/>
      </c>
      <c r="F163" s="14">
        <f>IFERROR(VLOOKUP(A163, AZInsight_Data!$A:$AS, 7, FALSE), 0)</f>
        <v/>
      </c>
      <c r="G163" s="15">
        <f>IFERROR(VLOOKUP(A163, AZInsight_Data!$A:$AS, 14, FALSE), 0)</f>
        <v/>
      </c>
      <c r="H163" s="14">
        <f>IFERROR(VLOOKUP(A163, AZInsight_Data!$A:$AS, 8, FALSE), 0)</f>
        <v/>
      </c>
      <c r="I163" s="16">
        <f>IFERROR(VLOOKUP(A163, KEEPA!$A:$AW, 47, FALSE), 0)</f>
        <v/>
      </c>
      <c r="J163">
        <f>IFERROR(VLOOKUP(A163, AZInsight_Data!$A:$AS, 25, FALSE), 0)</f>
        <v/>
      </c>
      <c r="K163" s="15">
        <f>IFERROR(VLOOKUP(A163, AZInsight_Data!$A:$AS, 16, FALSE), 0)</f>
        <v/>
      </c>
      <c r="L163" s="15">
        <f>IFERROR(K163-T163-J163, 0)</f>
        <v/>
      </c>
      <c r="M163" s="16">
        <f>IFERROR(IF(T163=0, 0, L163/T163), 0)</f>
        <v/>
      </c>
      <c r="N163" s="14">
        <f>IFERROR(C163*($V$2/30), 0)</f>
        <v/>
      </c>
      <c r="O163">
        <f>IFERROR(VLOOKUP(A163, AZInsight_Data!$A:$AS, 40, FALSE), 1)</f>
        <v/>
      </c>
      <c r="P163" s="13">
        <f>IF(O163&gt;0, O163, 1)</f>
        <v/>
      </c>
      <c r="Q163" s="13">
        <f>IFERROR(U163/P163, 0)</f>
        <v/>
      </c>
      <c r="R163">
        <f>IFERROR(VLOOKUP(A163, AZInsight_Data!$A:$AS, 36, FALSE), "")</f>
        <v/>
      </c>
      <c r="S163">
        <f>IFERROR(VLOOKUP(A163, AZInsight_Data!$A:$AS, 3, FALSE), "")</f>
        <v/>
      </c>
      <c r="T163" s="17">
        <f>IFERROR(VLOOKUP(A163, AZInsight_Data!$A:$AS, 13, FALSE), 0)</f>
        <v/>
      </c>
      <c r="U163" s="13">
        <f>AH163</f>
        <v/>
      </c>
      <c r="V163" s="15">
        <f>T163*U163</f>
        <v/>
      </c>
      <c r="W163" s="16" t="n"/>
      <c r="X163" s="12">
        <f>IFERROR(VLOOKUP(A163, AZInsight_Data!$A:$AS, 40, FALSE), 1)</f>
        <v/>
      </c>
      <c r="Y163" s="13">
        <f>IFERROR(VLOOKUP(A163, IP Qty!$D:$R, 5, FALSE), 0)</f>
        <v/>
      </c>
      <c r="Z163" s="14">
        <f>IFERROR(VLOOKUP(A163, IP Qty!$D:$R, 6, FALSE), 0)</f>
        <v/>
      </c>
      <c r="AA163">
        <f>IFERROR(VLOOKUP(A163, IP Qty!$D:$R, 7, FALSE), 0)</f>
        <v/>
      </c>
      <c r="AB163">
        <f>IFERROR(VLOOKUP(A163, IP Qty!$D:$R, 9, FALSE), 0)</f>
        <v/>
      </c>
      <c r="AC163">
        <f>IFERROR(VLOOKUP(A163, IP Qty!$D:$R, 8, FALSE), 0)</f>
        <v/>
      </c>
      <c r="AD163" s="14">
        <f>IFERROR(VLOOKUP(A163, KEEPA!$A:$AW, 34, FALSE), 0)</f>
        <v/>
      </c>
      <c r="AE163" s="15">
        <f>IF(P163&gt;1, ((((M163&gt;=$AD$2)*(L163&gt;=$AH$2)) + ((M163&lt;$AD$2)*(M163&gt;=$AE$2)*(L163&gt;=$AG$2)) + ((M163&lt;$AE$2)*(M163&gt;=$AC$2)*(L163&gt;=0)))*2 * IF($AI$2=0, 1, AI163&lt;=$AI$2) * IF($AK$2=0, 1, AK163&lt;=$AK$2) * AND(N163&gt;=$D$1, H163&lt;=$I$2, G163&gt;=$H$2)), ((((M163&gt;=$AD$2)*(L163&gt;=$AH$2)) + ((M163&lt;$AD$2)*(M163&gt;=$AE$2)*(L163&gt;=$AG$2)) + ((M163&lt;$AE$2)*(M163&gt;=$AC$2)*(L163&gt;=0))) * IF($AI$2=0, 1, AI163&lt;=$AI$2) * IF($AK$2=0, 1, AK163&lt;=$AK$2) * AND(N163&gt;=$D$1, H163&lt;=$I$2, G163&gt;=$H$2)))</f>
        <v/>
      </c>
      <c r="AF163">
        <f>IF(AE163&gt;0, 1, 0)</f>
        <v/>
      </c>
      <c r="AG163">
        <f>IFERROR(IF(ISNUMBER(W163), IF(AN163, N163*W163*$AN$2, N163*W163), NA()), NA())</f>
        <v/>
      </c>
      <c r="AH163" s="13">
        <f>IFERROR(MIN(AG163, $U$2), 0)</f>
        <v/>
      </c>
      <c r="AI163" s="14">
        <f>IFERROR(VLOOKUP(A163, KEEPA!$A:$AW, 26, FALSE), 0)</f>
        <v/>
      </c>
      <c r="AJ163" s="16">
        <f>IFERROR(IF(AI163=0, 0, (AI163-H163)/H163), 0)</f>
        <v/>
      </c>
      <c r="AK163" s="14">
        <f>IFERROR(VLOOKUP(A163, KEEPA!$A:$AW, 28, FALSE), 0)</f>
        <v/>
      </c>
      <c r="AL163" s="16">
        <f>IFERROR(IF(AK163=0, 0, (AK163-H163)/H163), 0)</f>
        <v/>
      </c>
      <c r="AM163" s="13">
        <f>IFERROR(VLOOKUP(A163, AZInsight_Data!$A:$AS, 34, FALSE), 0)</f>
        <v/>
      </c>
      <c r="AN163">
        <f>IFERROR(AND(VLOOKUP(A163, KEEPA!$A:$AW, 2, FALSE)&lt;=$AO$2, N163 &gt;= $AM$2), FALSE)</f>
        <v/>
      </c>
      <c r="AO163" s="16">
        <f>IFERROR(VLOOKUP(A163, KEEPA!$A:$AW, 24, FALSE), 0)</f>
        <v/>
      </c>
      <c r="AP163" s="16">
        <f>IFERROR(VLOOKUP(A163, KEEPA!$A:$AW, 48, FALSE), 0)</f>
        <v/>
      </c>
      <c r="AQ163">
        <f>IFERROR(VLOOKUP(A163, AZInsight_Data!$A:$AS, 5, FALSE), "SL")</f>
        <v/>
      </c>
      <c r="AR163">
        <f>IF(OR(A163="", A163=0), "", HYPERLINK("https://keepa.com/#!product/1-"&amp;A163, "Keepa"))</f>
        <v/>
      </c>
      <c r="AS163">
        <f>IF(OR(A163="", A163=0), "", HYPERLINK("https://www.amazon.com/dp/"&amp;A163, "Amazon"))</f>
        <v/>
      </c>
      <c r="AT163">
        <f>IF(OR(A163="", A163=0), "", HYPERLINK("https://sellercentral.amazon.com/product-search/search?q="&amp;A163, "Check Gated"))</f>
        <v/>
      </c>
      <c r="AU163" s="12" t="n"/>
      <c r="AV163" s="12" t="n"/>
      <c r="AW163" s="12" t="n"/>
    </row>
    <row r="164">
      <c r="A164" s="12" t="n"/>
      <c r="B164" s="12">
        <f>IFERROR(VLOOKUP(A164, AZInsight_Data!$A:$AS, 3, FALSE), "")</f>
        <v/>
      </c>
      <c r="C164" s="13">
        <f>IFERROR(VLOOKUP(A164, AZInsight_Data!$A:$AS, 9, FALSE), 0)</f>
        <v/>
      </c>
      <c r="D164">
        <f>IFERROR(VLOOKUP(A164, AZInsight_Data!$A:$AS, 17, FALSE), 0)</f>
        <v/>
      </c>
      <c r="E164">
        <f>IFERROR(VLOOKUP(A164, AZInsight_Data!$A:$AS, 18, FALSE), 0)</f>
        <v/>
      </c>
      <c r="F164" s="14">
        <f>IFERROR(VLOOKUP(A164, AZInsight_Data!$A:$AS, 7, FALSE), 0)</f>
        <v/>
      </c>
      <c r="G164" s="15">
        <f>IFERROR(VLOOKUP(A164, AZInsight_Data!$A:$AS, 14, FALSE), 0)</f>
        <v/>
      </c>
      <c r="H164" s="14">
        <f>IFERROR(VLOOKUP(A164, AZInsight_Data!$A:$AS, 8, FALSE), 0)</f>
        <v/>
      </c>
      <c r="I164" s="16">
        <f>IFERROR(VLOOKUP(A164, KEEPA!$A:$AW, 47, FALSE), 0)</f>
        <v/>
      </c>
      <c r="J164">
        <f>IFERROR(VLOOKUP(A164, AZInsight_Data!$A:$AS, 25, FALSE), 0)</f>
        <v/>
      </c>
      <c r="K164" s="15">
        <f>IFERROR(VLOOKUP(A164, AZInsight_Data!$A:$AS, 16, FALSE), 0)</f>
        <v/>
      </c>
      <c r="L164" s="15">
        <f>IFERROR(K164-T164-J164, 0)</f>
        <v/>
      </c>
      <c r="M164" s="16">
        <f>IFERROR(IF(T164=0, 0, L164/T164), 0)</f>
        <v/>
      </c>
      <c r="N164" s="14">
        <f>IFERROR(C164*($V$2/30), 0)</f>
        <v/>
      </c>
      <c r="O164">
        <f>IFERROR(VLOOKUP(A164, AZInsight_Data!$A:$AS, 40, FALSE), 1)</f>
        <v/>
      </c>
      <c r="P164" s="13">
        <f>IF(O164&gt;0, O164, 1)</f>
        <v/>
      </c>
      <c r="Q164" s="13">
        <f>IFERROR(U164/P164, 0)</f>
        <v/>
      </c>
      <c r="R164">
        <f>IFERROR(VLOOKUP(A164, AZInsight_Data!$A:$AS, 36, FALSE), "")</f>
        <v/>
      </c>
      <c r="S164">
        <f>IFERROR(VLOOKUP(A164, AZInsight_Data!$A:$AS, 3, FALSE), "")</f>
        <v/>
      </c>
      <c r="T164" s="17">
        <f>IFERROR(VLOOKUP(A164, AZInsight_Data!$A:$AS, 13, FALSE), 0)</f>
        <v/>
      </c>
      <c r="U164" s="13">
        <f>AH164</f>
        <v/>
      </c>
      <c r="V164" s="15">
        <f>T164*U164</f>
        <v/>
      </c>
      <c r="W164" s="16" t="n"/>
      <c r="X164" s="12">
        <f>IFERROR(VLOOKUP(A164, AZInsight_Data!$A:$AS, 40, FALSE), 1)</f>
        <v/>
      </c>
      <c r="Y164" s="13">
        <f>IFERROR(VLOOKUP(A164, IP Qty!$D:$R, 5, FALSE), 0)</f>
        <v/>
      </c>
      <c r="Z164" s="14">
        <f>IFERROR(VLOOKUP(A164, IP Qty!$D:$R, 6, FALSE), 0)</f>
        <v/>
      </c>
      <c r="AA164">
        <f>IFERROR(VLOOKUP(A164, IP Qty!$D:$R, 7, FALSE), 0)</f>
        <v/>
      </c>
      <c r="AB164">
        <f>IFERROR(VLOOKUP(A164, IP Qty!$D:$R, 9, FALSE), 0)</f>
        <v/>
      </c>
      <c r="AC164">
        <f>IFERROR(VLOOKUP(A164, IP Qty!$D:$R, 8, FALSE), 0)</f>
        <v/>
      </c>
      <c r="AD164" s="14">
        <f>IFERROR(VLOOKUP(A164, KEEPA!$A:$AW, 34, FALSE), 0)</f>
        <v/>
      </c>
      <c r="AE164" s="15">
        <f>IF(P164&gt;1, ((((M164&gt;=$AD$2)*(L164&gt;=$AH$2)) + ((M164&lt;$AD$2)*(M164&gt;=$AE$2)*(L164&gt;=$AG$2)) + ((M164&lt;$AE$2)*(M164&gt;=$AC$2)*(L164&gt;=0)))*2 * IF($AI$2=0, 1, AI164&lt;=$AI$2) * IF($AK$2=0, 1, AK164&lt;=$AK$2) * AND(N164&gt;=$D$1, H164&lt;=$I$2, G164&gt;=$H$2)), ((((M164&gt;=$AD$2)*(L164&gt;=$AH$2)) + ((M164&lt;$AD$2)*(M164&gt;=$AE$2)*(L164&gt;=$AG$2)) + ((M164&lt;$AE$2)*(M164&gt;=$AC$2)*(L164&gt;=0))) * IF($AI$2=0, 1, AI164&lt;=$AI$2) * IF($AK$2=0, 1, AK164&lt;=$AK$2) * AND(N164&gt;=$D$1, H164&lt;=$I$2, G164&gt;=$H$2)))</f>
        <v/>
      </c>
      <c r="AF164">
        <f>IF(AE164&gt;0, 1, 0)</f>
        <v/>
      </c>
      <c r="AG164">
        <f>IFERROR(IF(ISNUMBER(W164), IF(AN164, N164*W164*$AN$2, N164*W164), NA()), NA())</f>
        <v/>
      </c>
      <c r="AH164" s="13">
        <f>IFERROR(MIN(AG164, $U$2), 0)</f>
        <v/>
      </c>
      <c r="AI164" s="14">
        <f>IFERROR(VLOOKUP(A164, KEEPA!$A:$AW, 26, FALSE), 0)</f>
        <v/>
      </c>
      <c r="AJ164" s="16">
        <f>IFERROR(IF(AI164=0, 0, (AI164-H164)/H164), 0)</f>
        <v/>
      </c>
      <c r="AK164" s="14">
        <f>IFERROR(VLOOKUP(A164, KEEPA!$A:$AW, 28, FALSE), 0)</f>
        <v/>
      </c>
      <c r="AL164" s="16">
        <f>IFERROR(IF(AK164=0, 0, (AK164-H164)/H164), 0)</f>
        <v/>
      </c>
      <c r="AM164" s="13">
        <f>IFERROR(VLOOKUP(A164, AZInsight_Data!$A:$AS, 34, FALSE), 0)</f>
        <v/>
      </c>
      <c r="AN164">
        <f>IFERROR(AND(VLOOKUP(A164, KEEPA!$A:$AW, 2, FALSE)&lt;=$AO$2, N164 &gt;= $AM$2), FALSE)</f>
        <v/>
      </c>
      <c r="AO164" s="16">
        <f>IFERROR(VLOOKUP(A164, KEEPA!$A:$AW, 24, FALSE), 0)</f>
        <v/>
      </c>
      <c r="AP164" s="16">
        <f>IFERROR(VLOOKUP(A164, KEEPA!$A:$AW, 48, FALSE), 0)</f>
        <v/>
      </c>
      <c r="AQ164">
        <f>IFERROR(VLOOKUP(A164, AZInsight_Data!$A:$AS, 5, FALSE), "SL")</f>
        <v/>
      </c>
      <c r="AR164">
        <f>IF(OR(A164="", A164=0), "", HYPERLINK("https://keepa.com/#!product/1-"&amp;A164, "Keepa"))</f>
        <v/>
      </c>
      <c r="AS164">
        <f>IF(OR(A164="", A164=0), "", HYPERLINK("https://www.amazon.com/dp/"&amp;A164, "Amazon"))</f>
        <v/>
      </c>
      <c r="AT164">
        <f>IF(OR(A164="", A164=0), "", HYPERLINK("https://sellercentral.amazon.com/product-search/search?q="&amp;A164, "Check Gated"))</f>
        <v/>
      </c>
      <c r="AU164" s="12" t="n"/>
      <c r="AV164" s="12" t="n"/>
      <c r="AW164" s="12" t="n"/>
    </row>
    <row r="165">
      <c r="A165" s="12" t="n"/>
      <c r="B165" s="12">
        <f>IFERROR(VLOOKUP(A165, AZInsight_Data!$A:$AS, 3, FALSE), "")</f>
        <v/>
      </c>
      <c r="C165" s="13">
        <f>IFERROR(VLOOKUP(A165, AZInsight_Data!$A:$AS, 9, FALSE), 0)</f>
        <v/>
      </c>
      <c r="D165">
        <f>IFERROR(VLOOKUP(A165, AZInsight_Data!$A:$AS, 17, FALSE), 0)</f>
        <v/>
      </c>
      <c r="E165">
        <f>IFERROR(VLOOKUP(A165, AZInsight_Data!$A:$AS, 18, FALSE), 0)</f>
        <v/>
      </c>
      <c r="F165" s="14">
        <f>IFERROR(VLOOKUP(A165, AZInsight_Data!$A:$AS, 7, FALSE), 0)</f>
        <v/>
      </c>
      <c r="G165" s="15">
        <f>IFERROR(VLOOKUP(A165, AZInsight_Data!$A:$AS, 14, FALSE), 0)</f>
        <v/>
      </c>
      <c r="H165" s="14">
        <f>IFERROR(VLOOKUP(A165, AZInsight_Data!$A:$AS, 8, FALSE), 0)</f>
        <v/>
      </c>
      <c r="I165" s="16">
        <f>IFERROR(VLOOKUP(A165, KEEPA!$A:$AW, 47, FALSE), 0)</f>
        <v/>
      </c>
      <c r="J165">
        <f>IFERROR(VLOOKUP(A165, AZInsight_Data!$A:$AS, 25, FALSE), 0)</f>
        <v/>
      </c>
      <c r="K165" s="15">
        <f>IFERROR(VLOOKUP(A165, AZInsight_Data!$A:$AS, 16, FALSE), 0)</f>
        <v/>
      </c>
      <c r="L165" s="15">
        <f>IFERROR(K165-T165-J165, 0)</f>
        <v/>
      </c>
      <c r="M165" s="16">
        <f>IFERROR(IF(T165=0, 0, L165/T165), 0)</f>
        <v/>
      </c>
      <c r="N165" s="14">
        <f>IFERROR(C165*($V$2/30), 0)</f>
        <v/>
      </c>
      <c r="O165">
        <f>IFERROR(VLOOKUP(A165, AZInsight_Data!$A:$AS, 40, FALSE), 1)</f>
        <v/>
      </c>
      <c r="P165" s="13">
        <f>IF(O165&gt;0, O165, 1)</f>
        <v/>
      </c>
      <c r="Q165" s="13">
        <f>IFERROR(U165/P165, 0)</f>
        <v/>
      </c>
      <c r="R165">
        <f>IFERROR(VLOOKUP(A165, AZInsight_Data!$A:$AS, 36, FALSE), "")</f>
        <v/>
      </c>
      <c r="S165">
        <f>IFERROR(VLOOKUP(A165, AZInsight_Data!$A:$AS, 3, FALSE), "")</f>
        <v/>
      </c>
      <c r="T165" s="17">
        <f>IFERROR(VLOOKUP(A165, AZInsight_Data!$A:$AS, 13, FALSE), 0)</f>
        <v/>
      </c>
      <c r="U165" s="13">
        <f>AH165</f>
        <v/>
      </c>
      <c r="V165" s="15">
        <f>T165*U165</f>
        <v/>
      </c>
      <c r="W165" s="16" t="n"/>
      <c r="X165" s="12">
        <f>IFERROR(VLOOKUP(A165, AZInsight_Data!$A:$AS, 40, FALSE), 1)</f>
        <v/>
      </c>
      <c r="Y165" s="13">
        <f>IFERROR(VLOOKUP(A165, IP Qty!$D:$R, 5, FALSE), 0)</f>
        <v/>
      </c>
      <c r="Z165" s="14">
        <f>IFERROR(VLOOKUP(A165, IP Qty!$D:$R, 6, FALSE), 0)</f>
        <v/>
      </c>
      <c r="AA165">
        <f>IFERROR(VLOOKUP(A165, IP Qty!$D:$R, 7, FALSE), 0)</f>
        <v/>
      </c>
      <c r="AB165">
        <f>IFERROR(VLOOKUP(A165, IP Qty!$D:$R, 9, FALSE), 0)</f>
        <v/>
      </c>
      <c r="AC165">
        <f>IFERROR(VLOOKUP(A165, IP Qty!$D:$R, 8, FALSE), 0)</f>
        <v/>
      </c>
      <c r="AD165" s="14">
        <f>IFERROR(VLOOKUP(A165, KEEPA!$A:$AW, 34, FALSE), 0)</f>
        <v/>
      </c>
      <c r="AE165" s="15">
        <f>IF(P165&gt;1, ((((M165&gt;=$AD$2)*(L165&gt;=$AH$2)) + ((M165&lt;$AD$2)*(M165&gt;=$AE$2)*(L165&gt;=$AG$2)) + ((M165&lt;$AE$2)*(M165&gt;=$AC$2)*(L165&gt;=0)))*2 * IF($AI$2=0, 1, AI165&lt;=$AI$2) * IF($AK$2=0, 1, AK165&lt;=$AK$2) * AND(N165&gt;=$D$1, H165&lt;=$I$2, G165&gt;=$H$2)), ((((M165&gt;=$AD$2)*(L165&gt;=$AH$2)) + ((M165&lt;$AD$2)*(M165&gt;=$AE$2)*(L165&gt;=$AG$2)) + ((M165&lt;$AE$2)*(M165&gt;=$AC$2)*(L165&gt;=0))) * IF($AI$2=0, 1, AI165&lt;=$AI$2) * IF($AK$2=0, 1, AK165&lt;=$AK$2) * AND(N165&gt;=$D$1, H165&lt;=$I$2, G165&gt;=$H$2)))</f>
        <v/>
      </c>
      <c r="AF165">
        <f>IF(AE165&gt;0, 1, 0)</f>
        <v/>
      </c>
      <c r="AG165">
        <f>IFERROR(IF(ISNUMBER(W165), IF(AN165, N165*W165*$AN$2, N165*W165), NA()), NA())</f>
        <v/>
      </c>
      <c r="AH165" s="13">
        <f>IFERROR(MIN(AG165, $U$2), 0)</f>
        <v/>
      </c>
      <c r="AI165" s="14">
        <f>IFERROR(VLOOKUP(A165, KEEPA!$A:$AW, 26, FALSE), 0)</f>
        <v/>
      </c>
      <c r="AJ165" s="16">
        <f>IFERROR(IF(AI165=0, 0, (AI165-H165)/H165), 0)</f>
        <v/>
      </c>
      <c r="AK165" s="14">
        <f>IFERROR(VLOOKUP(A165, KEEPA!$A:$AW, 28, FALSE), 0)</f>
        <v/>
      </c>
      <c r="AL165" s="16">
        <f>IFERROR(IF(AK165=0, 0, (AK165-H165)/H165), 0)</f>
        <v/>
      </c>
      <c r="AM165" s="13">
        <f>IFERROR(VLOOKUP(A165, AZInsight_Data!$A:$AS, 34, FALSE), 0)</f>
        <v/>
      </c>
      <c r="AN165">
        <f>IFERROR(AND(VLOOKUP(A165, KEEPA!$A:$AW, 2, FALSE)&lt;=$AO$2, N165 &gt;= $AM$2), FALSE)</f>
        <v/>
      </c>
      <c r="AO165" s="16">
        <f>IFERROR(VLOOKUP(A165, KEEPA!$A:$AW, 24, FALSE), 0)</f>
        <v/>
      </c>
      <c r="AP165" s="16">
        <f>IFERROR(VLOOKUP(A165, KEEPA!$A:$AW, 48, FALSE), 0)</f>
        <v/>
      </c>
      <c r="AQ165">
        <f>IFERROR(VLOOKUP(A165, AZInsight_Data!$A:$AS, 5, FALSE), "SL")</f>
        <v/>
      </c>
      <c r="AR165">
        <f>IF(OR(A165="", A165=0), "", HYPERLINK("https://keepa.com/#!product/1-"&amp;A165, "Keepa"))</f>
        <v/>
      </c>
      <c r="AS165">
        <f>IF(OR(A165="", A165=0), "", HYPERLINK("https://www.amazon.com/dp/"&amp;A165, "Amazon"))</f>
        <v/>
      </c>
      <c r="AT165">
        <f>IF(OR(A165="", A165=0), "", HYPERLINK("https://sellercentral.amazon.com/product-search/search?q="&amp;A165, "Check Gated"))</f>
        <v/>
      </c>
      <c r="AU165" s="12" t="n"/>
      <c r="AV165" s="12" t="n"/>
      <c r="AW165" s="12" t="n"/>
    </row>
    <row r="166">
      <c r="A166" s="12" t="n"/>
      <c r="B166" s="12">
        <f>IFERROR(VLOOKUP(A166, AZInsight_Data!$A:$AS, 3, FALSE), "")</f>
        <v/>
      </c>
      <c r="C166" s="13">
        <f>IFERROR(VLOOKUP(A166, AZInsight_Data!$A:$AS, 9, FALSE), 0)</f>
        <v/>
      </c>
      <c r="D166">
        <f>IFERROR(VLOOKUP(A166, AZInsight_Data!$A:$AS, 17, FALSE), 0)</f>
        <v/>
      </c>
      <c r="E166">
        <f>IFERROR(VLOOKUP(A166, AZInsight_Data!$A:$AS, 18, FALSE), 0)</f>
        <v/>
      </c>
      <c r="F166" s="14">
        <f>IFERROR(VLOOKUP(A166, AZInsight_Data!$A:$AS, 7, FALSE), 0)</f>
        <v/>
      </c>
      <c r="G166" s="15">
        <f>IFERROR(VLOOKUP(A166, AZInsight_Data!$A:$AS, 14, FALSE), 0)</f>
        <v/>
      </c>
      <c r="H166" s="14">
        <f>IFERROR(VLOOKUP(A166, AZInsight_Data!$A:$AS, 8, FALSE), 0)</f>
        <v/>
      </c>
      <c r="I166" s="16">
        <f>IFERROR(VLOOKUP(A166, KEEPA!$A:$AW, 47, FALSE), 0)</f>
        <v/>
      </c>
      <c r="J166">
        <f>IFERROR(VLOOKUP(A166, AZInsight_Data!$A:$AS, 25, FALSE), 0)</f>
        <v/>
      </c>
      <c r="K166" s="15">
        <f>IFERROR(VLOOKUP(A166, AZInsight_Data!$A:$AS, 16, FALSE), 0)</f>
        <v/>
      </c>
      <c r="L166" s="15">
        <f>IFERROR(K166-T166-J166, 0)</f>
        <v/>
      </c>
      <c r="M166" s="16">
        <f>IFERROR(IF(T166=0, 0, L166/T166), 0)</f>
        <v/>
      </c>
      <c r="N166" s="14">
        <f>IFERROR(C166*($V$2/30), 0)</f>
        <v/>
      </c>
      <c r="O166">
        <f>IFERROR(VLOOKUP(A166, AZInsight_Data!$A:$AS, 40, FALSE), 1)</f>
        <v/>
      </c>
      <c r="P166" s="13">
        <f>IF(O166&gt;0, O166, 1)</f>
        <v/>
      </c>
      <c r="Q166" s="13">
        <f>IFERROR(U166/P166, 0)</f>
        <v/>
      </c>
      <c r="R166">
        <f>IFERROR(VLOOKUP(A166, AZInsight_Data!$A:$AS, 36, FALSE), "")</f>
        <v/>
      </c>
      <c r="S166">
        <f>IFERROR(VLOOKUP(A166, AZInsight_Data!$A:$AS, 3, FALSE), "")</f>
        <v/>
      </c>
      <c r="T166" s="17">
        <f>IFERROR(VLOOKUP(A166, AZInsight_Data!$A:$AS, 13, FALSE), 0)</f>
        <v/>
      </c>
      <c r="U166" s="13">
        <f>AH166</f>
        <v/>
      </c>
      <c r="V166" s="15">
        <f>T166*U166</f>
        <v/>
      </c>
      <c r="W166" s="16" t="n"/>
      <c r="X166" s="12">
        <f>IFERROR(VLOOKUP(A166, AZInsight_Data!$A:$AS, 40, FALSE), 1)</f>
        <v/>
      </c>
      <c r="Y166" s="13">
        <f>IFERROR(VLOOKUP(A166, IP Qty!$D:$R, 5, FALSE), 0)</f>
        <v/>
      </c>
      <c r="Z166" s="14">
        <f>IFERROR(VLOOKUP(A166, IP Qty!$D:$R, 6, FALSE), 0)</f>
        <v/>
      </c>
      <c r="AA166">
        <f>IFERROR(VLOOKUP(A166, IP Qty!$D:$R, 7, FALSE), 0)</f>
        <v/>
      </c>
      <c r="AB166">
        <f>IFERROR(VLOOKUP(A166, IP Qty!$D:$R, 9, FALSE), 0)</f>
        <v/>
      </c>
      <c r="AC166">
        <f>IFERROR(VLOOKUP(A166, IP Qty!$D:$R, 8, FALSE), 0)</f>
        <v/>
      </c>
      <c r="AD166" s="14">
        <f>IFERROR(VLOOKUP(A166, KEEPA!$A:$AW, 34, FALSE), 0)</f>
        <v/>
      </c>
      <c r="AE166" s="15">
        <f>IF(P166&gt;1, ((((M166&gt;=$AD$2)*(L166&gt;=$AH$2)) + ((M166&lt;$AD$2)*(M166&gt;=$AE$2)*(L166&gt;=$AG$2)) + ((M166&lt;$AE$2)*(M166&gt;=$AC$2)*(L166&gt;=0)))*2 * IF($AI$2=0, 1, AI166&lt;=$AI$2) * IF($AK$2=0, 1, AK166&lt;=$AK$2) * AND(N166&gt;=$D$1, H166&lt;=$I$2, G166&gt;=$H$2)), ((((M166&gt;=$AD$2)*(L166&gt;=$AH$2)) + ((M166&lt;$AD$2)*(M166&gt;=$AE$2)*(L166&gt;=$AG$2)) + ((M166&lt;$AE$2)*(M166&gt;=$AC$2)*(L166&gt;=0))) * IF($AI$2=0, 1, AI166&lt;=$AI$2) * IF($AK$2=0, 1, AK166&lt;=$AK$2) * AND(N166&gt;=$D$1, H166&lt;=$I$2, G166&gt;=$H$2)))</f>
        <v/>
      </c>
      <c r="AF166">
        <f>IF(AE166&gt;0, 1, 0)</f>
        <v/>
      </c>
      <c r="AG166">
        <f>IFERROR(IF(ISNUMBER(W166), IF(AN166, N166*W166*$AN$2, N166*W166), NA()), NA())</f>
        <v/>
      </c>
      <c r="AH166" s="13">
        <f>IFERROR(MIN(AG166, $U$2), 0)</f>
        <v/>
      </c>
      <c r="AI166" s="14">
        <f>IFERROR(VLOOKUP(A166, KEEPA!$A:$AW, 26, FALSE), 0)</f>
        <v/>
      </c>
      <c r="AJ166" s="16">
        <f>IFERROR(IF(AI166=0, 0, (AI166-H166)/H166), 0)</f>
        <v/>
      </c>
      <c r="AK166" s="14">
        <f>IFERROR(VLOOKUP(A166, KEEPA!$A:$AW, 28, FALSE), 0)</f>
        <v/>
      </c>
      <c r="AL166" s="16">
        <f>IFERROR(IF(AK166=0, 0, (AK166-H166)/H166), 0)</f>
        <v/>
      </c>
      <c r="AM166" s="13">
        <f>IFERROR(VLOOKUP(A166, AZInsight_Data!$A:$AS, 34, FALSE), 0)</f>
        <v/>
      </c>
      <c r="AN166">
        <f>IFERROR(AND(VLOOKUP(A166, KEEPA!$A:$AW, 2, FALSE)&lt;=$AO$2, N166 &gt;= $AM$2), FALSE)</f>
        <v/>
      </c>
      <c r="AO166" s="16">
        <f>IFERROR(VLOOKUP(A166, KEEPA!$A:$AW, 24, FALSE), 0)</f>
        <v/>
      </c>
      <c r="AP166" s="16">
        <f>IFERROR(VLOOKUP(A166, KEEPA!$A:$AW, 48, FALSE), 0)</f>
        <v/>
      </c>
      <c r="AQ166">
        <f>IFERROR(VLOOKUP(A166, AZInsight_Data!$A:$AS, 5, FALSE), "SL")</f>
        <v/>
      </c>
      <c r="AR166">
        <f>IF(OR(A166="", A166=0), "", HYPERLINK("https://keepa.com/#!product/1-"&amp;A166, "Keepa"))</f>
        <v/>
      </c>
      <c r="AS166">
        <f>IF(OR(A166="", A166=0), "", HYPERLINK("https://www.amazon.com/dp/"&amp;A166, "Amazon"))</f>
        <v/>
      </c>
      <c r="AT166">
        <f>IF(OR(A166="", A166=0), "", HYPERLINK("https://sellercentral.amazon.com/product-search/search?q="&amp;A166, "Check Gated"))</f>
        <v/>
      </c>
      <c r="AU166" s="12" t="n"/>
      <c r="AV166" s="12" t="n"/>
      <c r="AW166" s="12" t="n"/>
    </row>
    <row r="167">
      <c r="A167" s="12" t="n"/>
      <c r="B167" s="12">
        <f>IFERROR(VLOOKUP(A167, AZInsight_Data!$A:$AS, 3, FALSE), "")</f>
        <v/>
      </c>
      <c r="C167" s="13">
        <f>IFERROR(VLOOKUP(A167, AZInsight_Data!$A:$AS, 9, FALSE), 0)</f>
        <v/>
      </c>
      <c r="D167">
        <f>IFERROR(VLOOKUP(A167, AZInsight_Data!$A:$AS, 17, FALSE), 0)</f>
        <v/>
      </c>
      <c r="E167">
        <f>IFERROR(VLOOKUP(A167, AZInsight_Data!$A:$AS, 18, FALSE), 0)</f>
        <v/>
      </c>
      <c r="F167" s="14">
        <f>IFERROR(VLOOKUP(A167, AZInsight_Data!$A:$AS, 7, FALSE), 0)</f>
        <v/>
      </c>
      <c r="G167" s="15">
        <f>IFERROR(VLOOKUP(A167, AZInsight_Data!$A:$AS, 14, FALSE), 0)</f>
        <v/>
      </c>
      <c r="H167" s="14">
        <f>IFERROR(VLOOKUP(A167, AZInsight_Data!$A:$AS, 8, FALSE), 0)</f>
        <v/>
      </c>
      <c r="I167" s="16">
        <f>IFERROR(VLOOKUP(A167, KEEPA!$A:$AW, 47, FALSE), 0)</f>
        <v/>
      </c>
      <c r="J167">
        <f>IFERROR(VLOOKUP(A167, AZInsight_Data!$A:$AS, 25, FALSE), 0)</f>
        <v/>
      </c>
      <c r="K167" s="15">
        <f>IFERROR(VLOOKUP(A167, AZInsight_Data!$A:$AS, 16, FALSE), 0)</f>
        <v/>
      </c>
      <c r="L167" s="15">
        <f>IFERROR(K167-T167-J167, 0)</f>
        <v/>
      </c>
      <c r="M167" s="16">
        <f>IFERROR(IF(T167=0, 0, L167/T167), 0)</f>
        <v/>
      </c>
      <c r="N167" s="14">
        <f>IFERROR(C167*($V$2/30), 0)</f>
        <v/>
      </c>
      <c r="O167">
        <f>IFERROR(VLOOKUP(A167, AZInsight_Data!$A:$AS, 40, FALSE), 1)</f>
        <v/>
      </c>
      <c r="P167" s="13">
        <f>IF(O167&gt;0, O167, 1)</f>
        <v/>
      </c>
      <c r="Q167" s="13">
        <f>IFERROR(U167/P167, 0)</f>
        <v/>
      </c>
      <c r="R167">
        <f>IFERROR(VLOOKUP(A167, AZInsight_Data!$A:$AS, 36, FALSE), "")</f>
        <v/>
      </c>
      <c r="S167">
        <f>IFERROR(VLOOKUP(A167, AZInsight_Data!$A:$AS, 3, FALSE), "")</f>
        <v/>
      </c>
      <c r="T167" s="17">
        <f>IFERROR(VLOOKUP(A167, AZInsight_Data!$A:$AS, 13, FALSE), 0)</f>
        <v/>
      </c>
      <c r="U167" s="13">
        <f>AH167</f>
        <v/>
      </c>
      <c r="V167" s="15">
        <f>T167*U167</f>
        <v/>
      </c>
      <c r="W167" s="16" t="n"/>
      <c r="X167" s="12">
        <f>IFERROR(VLOOKUP(A167, AZInsight_Data!$A:$AS, 40, FALSE), 1)</f>
        <v/>
      </c>
      <c r="Y167" s="13">
        <f>IFERROR(VLOOKUP(A167, IP Qty!$D:$R, 5, FALSE), 0)</f>
        <v/>
      </c>
      <c r="Z167" s="14">
        <f>IFERROR(VLOOKUP(A167, IP Qty!$D:$R, 6, FALSE), 0)</f>
        <v/>
      </c>
      <c r="AA167">
        <f>IFERROR(VLOOKUP(A167, IP Qty!$D:$R, 7, FALSE), 0)</f>
        <v/>
      </c>
      <c r="AB167">
        <f>IFERROR(VLOOKUP(A167, IP Qty!$D:$R, 9, FALSE), 0)</f>
        <v/>
      </c>
      <c r="AC167">
        <f>IFERROR(VLOOKUP(A167, IP Qty!$D:$R, 8, FALSE), 0)</f>
        <v/>
      </c>
      <c r="AD167" s="14">
        <f>IFERROR(VLOOKUP(A167, KEEPA!$A:$AW, 34, FALSE), 0)</f>
        <v/>
      </c>
      <c r="AE167" s="15">
        <f>IF(P167&gt;1, ((((M167&gt;=$AD$2)*(L167&gt;=$AH$2)) + ((M167&lt;$AD$2)*(M167&gt;=$AE$2)*(L167&gt;=$AG$2)) + ((M167&lt;$AE$2)*(M167&gt;=$AC$2)*(L167&gt;=0)))*2 * IF($AI$2=0, 1, AI167&lt;=$AI$2) * IF($AK$2=0, 1, AK167&lt;=$AK$2) * AND(N167&gt;=$D$1, H167&lt;=$I$2, G167&gt;=$H$2)), ((((M167&gt;=$AD$2)*(L167&gt;=$AH$2)) + ((M167&lt;$AD$2)*(M167&gt;=$AE$2)*(L167&gt;=$AG$2)) + ((M167&lt;$AE$2)*(M167&gt;=$AC$2)*(L167&gt;=0))) * IF($AI$2=0, 1, AI167&lt;=$AI$2) * IF($AK$2=0, 1, AK167&lt;=$AK$2) * AND(N167&gt;=$D$1, H167&lt;=$I$2, G167&gt;=$H$2)))</f>
        <v/>
      </c>
      <c r="AF167">
        <f>IF(AE167&gt;0, 1, 0)</f>
        <v/>
      </c>
      <c r="AG167">
        <f>IFERROR(IF(ISNUMBER(W167), IF(AN167, N167*W167*$AN$2, N167*W167), NA()), NA())</f>
        <v/>
      </c>
      <c r="AH167" s="13">
        <f>IFERROR(MIN(AG167, $U$2), 0)</f>
        <v/>
      </c>
      <c r="AI167" s="14">
        <f>IFERROR(VLOOKUP(A167, KEEPA!$A:$AW, 26, FALSE), 0)</f>
        <v/>
      </c>
      <c r="AJ167" s="16">
        <f>IFERROR(IF(AI167=0, 0, (AI167-H167)/H167), 0)</f>
        <v/>
      </c>
      <c r="AK167" s="14">
        <f>IFERROR(VLOOKUP(A167, KEEPA!$A:$AW, 28, FALSE), 0)</f>
        <v/>
      </c>
      <c r="AL167" s="16">
        <f>IFERROR(IF(AK167=0, 0, (AK167-H167)/H167), 0)</f>
        <v/>
      </c>
      <c r="AM167" s="13">
        <f>IFERROR(VLOOKUP(A167, AZInsight_Data!$A:$AS, 34, FALSE), 0)</f>
        <v/>
      </c>
      <c r="AN167">
        <f>IFERROR(AND(VLOOKUP(A167, KEEPA!$A:$AW, 2, FALSE)&lt;=$AO$2, N167 &gt;= $AM$2), FALSE)</f>
        <v/>
      </c>
      <c r="AO167" s="16">
        <f>IFERROR(VLOOKUP(A167, KEEPA!$A:$AW, 24, FALSE), 0)</f>
        <v/>
      </c>
      <c r="AP167" s="16">
        <f>IFERROR(VLOOKUP(A167, KEEPA!$A:$AW, 48, FALSE), 0)</f>
        <v/>
      </c>
      <c r="AQ167">
        <f>IFERROR(VLOOKUP(A167, AZInsight_Data!$A:$AS, 5, FALSE), "SL")</f>
        <v/>
      </c>
      <c r="AR167">
        <f>IF(OR(A167="", A167=0), "", HYPERLINK("https://keepa.com/#!product/1-"&amp;A167, "Keepa"))</f>
        <v/>
      </c>
      <c r="AS167">
        <f>IF(OR(A167="", A167=0), "", HYPERLINK("https://www.amazon.com/dp/"&amp;A167, "Amazon"))</f>
        <v/>
      </c>
      <c r="AT167">
        <f>IF(OR(A167="", A167=0), "", HYPERLINK("https://sellercentral.amazon.com/product-search/search?q="&amp;A167, "Check Gated"))</f>
        <v/>
      </c>
      <c r="AU167" s="12" t="n"/>
      <c r="AV167" s="12" t="n"/>
      <c r="AW167" s="12" t="n"/>
    </row>
    <row r="168">
      <c r="A168" s="12" t="n"/>
      <c r="B168" s="12">
        <f>IFERROR(VLOOKUP(A168, AZInsight_Data!$A:$AS, 3, FALSE), "")</f>
        <v/>
      </c>
      <c r="C168" s="13">
        <f>IFERROR(VLOOKUP(A168, AZInsight_Data!$A:$AS, 9, FALSE), 0)</f>
        <v/>
      </c>
      <c r="D168">
        <f>IFERROR(VLOOKUP(A168, AZInsight_Data!$A:$AS, 17, FALSE), 0)</f>
        <v/>
      </c>
      <c r="E168">
        <f>IFERROR(VLOOKUP(A168, AZInsight_Data!$A:$AS, 18, FALSE), 0)</f>
        <v/>
      </c>
      <c r="F168" s="14">
        <f>IFERROR(VLOOKUP(A168, AZInsight_Data!$A:$AS, 7, FALSE), 0)</f>
        <v/>
      </c>
      <c r="G168" s="15">
        <f>IFERROR(VLOOKUP(A168, AZInsight_Data!$A:$AS, 14, FALSE), 0)</f>
        <v/>
      </c>
      <c r="H168" s="14">
        <f>IFERROR(VLOOKUP(A168, AZInsight_Data!$A:$AS, 8, FALSE), 0)</f>
        <v/>
      </c>
      <c r="I168" s="16">
        <f>IFERROR(VLOOKUP(A168, KEEPA!$A:$AW, 47, FALSE), 0)</f>
        <v/>
      </c>
      <c r="J168">
        <f>IFERROR(VLOOKUP(A168, AZInsight_Data!$A:$AS, 25, FALSE), 0)</f>
        <v/>
      </c>
      <c r="K168" s="15">
        <f>IFERROR(VLOOKUP(A168, AZInsight_Data!$A:$AS, 16, FALSE), 0)</f>
        <v/>
      </c>
      <c r="L168" s="15">
        <f>IFERROR(K168-T168-J168, 0)</f>
        <v/>
      </c>
      <c r="M168" s="16">
        <f>IFERROR(IF(T168=0, 0, L168/T168), 0)</f>
        <v/>
      </c>
      <c r="N168" s="14">
        <f>IFERROR(C168*($V$2/30), 0)</f>
        <v/>
      </c>
      <c r="O168">
        <f>IFERROR(VLOOKUP(A168, AZInsight_Data!$A:$AS, 40, FALSE), 1)</f>
        <v/>
      </c>
      <c r="P168" s="13">
        <f>IF(O168&gt;0, O168, 1)</f>
        <v/>
      </c>
      <c r="Q168" s="13">
        <f>IFERROR(U168/P168, 0)</f>
        <v/>
      </c>
      <c r="R168">
        <f>IFERROR(VLOOKUP(A168, AZInsight_Data!$A:$AS, 36, FALSE), "")</f>
        <v/>
      </c>
      <c r="S168">
        <f>IFERROR(VLOOKUP(A168, AZInsight_Data!$A:$AS, 3, FALSE), "")</f>
        <v/>
      </c>
      <c r="T168" s="17">
        <f>IFERROR(VLOOKUP(A168, AZInsight_Data!$A:$AS, 13, FALSE), 0)</f>
        <v/>
      </c>
      <c r="U168" s="13">
        <f>AH168</f>
        <v/>
      </c>
      <c r="V168" s="15">
        <f>T168*U168</f>
        <v/>
      </c>
      <c r="W168" s="16" t="n"/>
      <c r="X168" s="12">
        <f>IFERROR(VLOOKUP(A168, AZInsight_Data!$A:$AS, 40, FALSE), 1)</f>
        <v/>
      </c>
      <c r="Y168" s="13">
        <f>IFERROR(VLOOKUP(A168, IP Qty!$D:$R, 5, FALSE), 0)</f>
        <v/>
      </c>
      <c r="Z168" s="14">
        <f>IFERROR(VLOOKUP(A168, IP Qty!$D:$R, 6, FALSE), 0)</f>
        <v/>
      </c>
      <c r="AA168">
        <f>IFERROR(VLOOKUP(A168, IP Qty!$D:$R, 7, FALSE), 0)</f>
        <v/>
      </c>
      <c r="AB168">
        <f>IFERROR(VLOOKUP(A168, IP Qty!$D:$R, 9, FALSE), 0)</f>
        <v/>
      </c>
      <c r="AC168">
        <f>IFERROR(VLOOKUP(A168, IP Qty!$D:$R, 8, FALSE), 0)</f>
        <v/>
      </c>
      <c r="AD168" s="14">
        <f>IFERROR(VLOOKUP(A168, KEEPA!$A:$AW, 34, FALSE), 0)</f>
        <v/>
      </c>
      <c r="AE168" s="15">
        <f>IF(P168&gt;1, ((((M168&gt;=$AD$2)*(L168&gt;=$AH$2)) + ((M168&lt;$AD$2)*(M168&gt;=$AE$2)*(L168&gt;=$AG$2)) + ((M168&lt;$AE$2)*(M168&gt;=$AC$2)*(L168&gt;=0)))*2 * IF($AI$2=0, 1, AI168&lt;=$AI$2) * IF($AK$2=0, 1, AK168&lt;=$AK$2) * AND(N168&gt;=$D$1, H168&lt;=$I$2, G168&gt;=$H$2)), ((((M168&gt;=$AD$2)*(L168&gt;=$AH$2)) + ((M168&lt;$AD$2)*(M168&gt;=$AE$2)*(L168&gt;=$AG$2)) + ((M168&lt;$AE$2)*(M168&gt;=$AC$2)*(L168&gt;=0))) * IF($AI$2=0, 1, AI168&lt;=$AI$2) * IF($AK$2=0, 1, AK168&lt;=$AK$2) * AND(N168&gt;=$D$1, H168&lt;=$I$2, G168&gt;=$H$2)))</f>
        <v/>
      </c>
      <c r="AF168">
        <f>IF(AE168&gt;0, 1, 0)</f>
        <v/>
      </c>
      <c r="AG168">
        <f>IFERROR(IF(ISNUMBER(W168), IF(AN168, N168*W168*$AN$2, N168*W168), NA()), NA())</f>
        <v/>
      </c>
      <c r="AH168" s="13">
        <f>IFERROR(MIN(AG168, $U$2), 0)</f>
        <v/>
      </c>
      <c r="AI168" s="14">
        <f>IFERROR(VLOOKUP(A168, KEEPA!$A:$AW, 26, FALSE), 0)</f>
        <v/>
      </c>
      <c r="AJ168" s="16">
        <f>IFERROR(IF(AI168=0, 0, (AI168-H168)/H168), 0)</f>
        <v/>
      </c>
      <c r="AK168" s="14">
        <f>IFERROR(VLOOKUP(A168, KEEPA!$A:$AW, 28, FALSE), 0)</f>
        <v/>
      </c>
      <c r="AL168" s="16">
        <f>IFERROR(IF(AK168=0, 0, (AK168-H168)/H168), 0)</f>
        <v/>
      </c>
      <c r="AM168" s="13">
        <f>IFERROR(VLOOKUP(A168, AZInsight_Data!$A:$AS, 34, FALSE), 0)</f>
        <v/>
      </c>
      <c r="AN168">
        <f>IFERROR(AND(VLOOKUP(A168, KEEPA!$A:$AW, 2, FALSE)&lt;=$AO$2, N168 &gt;= $AM$2), FALSE)</f>
        <v/>
      </c>
      <c r="AO168" s="16">
        <f>IFERROR(VLOOKUP(A168, KEEPA!$A:$AW, 24, FALSE), 0)</f>
        <v/>
      </c>
      <c r="AP168" s="16">
        <f>IFERROR(VLOOKUP(A168, KEEPA!$A:$AW, 48, FALSE), 0)</f>
        <v/>
      </c>
      <c r="AQ168">
        <f>IFERROR(VLOOKUP(A168, AZInsight_Data!$A:$AS, 5, FALSE), "SL")</f>
        <v/>
      </c>
      <c r="AR168">
        <f>IF(OR(A168="", A168=0), "", HYPERLINK("https://keepa.com/#!product/1-"&amp;A168, "Keepa"))</f>
        <v/>
      </c>
      <c r="AS168">
        <f>IF(OR(A168="", A168=0), "", HYPERLINK("https://www.amazon.com/dp/"&amp;A168, "Amazon"))</f>
        <v/>
      </c>
      <c r="AT168">
        <f>IF(OR(A168="", A168=0), "", HYPERLINK("https://sellercentral.amazon.com/product-search/search?q="&amp;A168, "Check Gated"))</f>
        <v/>
      </c>
      <c r="AU168" s="12" t="n"/>
      <c r="AV168" s="12" t="n"/>
      <c r="AW168" s="12" t="n"/>
    </row>
    <row r="169">
      <c r="A169" s="12" t="n"/>
      <c r="B169" s="12">
        <f>IFERROR(VLOOKUP(A169, AZInsight_Data!$A:$AS, 3, FALSE), "")</f>
        <v/>
      </c>
      <c r="C169" s="13">
        <f>IFERROR(VLOOKUP(A169, AZInsight_Data!$A:$AS, 9, FALSE), 0)</f>
        <v/>
      </c>
      <c r="D169">
        <f>IFERROR(VLOOKUP(A169, AZInsight_Data!$A:$AS, 17, FALSE), 0)</f>
        <v/>
      </c>
      <c r="E169">
        <f>IFERROR(VLOOKUP(A169, AZInsight_Data!$A:$AS, 18, FALSE), 0)</f>
        <v/>
      </c>
      <c r="F169" s="14">
        <f>IFERROR(VLOOKUP(A169, AZInsight_Data!$A:$AS, 7, FALSE), 0)</f>
        <v/>
      </c>
      <c r="G169" s="15">
        <f>IFERROR(VLOOKUP(A169, AZInsight_Data!$A:$AS, 14, FALSE), 0)</f>
        <v/>
      </c>
      <c r="H169" s="14">
        <f>IFERROR(VLOOKUP(A169, AZInsight_Data!$A:$AS, 8, FALSE), 0)</f>
        <v/>
      </c>
      <c r="I169" s="16">
        <f>IFERROR(VLOOKUP(A169, KEEPA!$A:$AW, 47, FALSE), 0)</f>
        <v/>
      </c>
      <c r="J169">
        <f>IFERROR(VLOOKUP(A169, AZInsight_Data!$A:$AS, 25, FALSE), 0)</f>
        <v/>
      </c>
      <c r="K169" s="15">
        <f>IFERROR(VLOOKUP(A169, AZInsight_Data!$A:$AS, 16, FALSE), 0)</f>
        <v/>
      </c>
      <c r="L169" s="15">
        <f>IFERROR(K169-T169-J169, 0)</f>
        <v/>
      </c>
      <c r="M169" s="16">
        <f>IFERROR(IF(T169=0, 0, L169/T169), 0)</f>
        <v/>
      </c>
      <c r="N169" s="14">
        <f>IFERROR(C169*($V$2/30), 0)</f>
        <v/>
      </c>
      <c r="O169">
        <f>IFERROR(VLOOKUP(A169, AZInsight_Data!$A:$AS, 40, FALSE), 1)</f>
        <v/>
      </c>
      <c r="P169" s="13">
        <f>IF(O169&gt;0, O169, 1)</f>
        <v/>
      </c>
      <c r="Q169" s="13">
        <f>IFERROR(U169/P169, 0)</f>
        <v/>
      </c>
      <c r="R169">
        <f>IFERROR(VLOOKUP(A169, AZInsight_Data!$A:$AS, 36, FALSE), "")</f>
        <v/>
      </c>
      <c r="S169">
        <f>IFERROR(VLOOKUP(A169, AZInsight_Data!$A:$AS, 3, FALSE), "")</f>
        <v/>
      </c>
      <c r="T169" s="17">
        <f>IFERROR(VLOOKUP(A169, AZInsight_Data!$A:$AS, 13, FALSE), 0)</f>
        <v/>
      </c>
      <c r="U169" s="13">
        <f>AH169</f>
        <v/>
      </c>
      <c r="V169" s="15">
        <f>T169*U169</f>
        <v/>
      </c>
      <c r="W169" s="16" t="n"/>
      <c r="X169" s="12">
        <f>IFERROR(VLOOKUP(A169, AZInsight_Data!$A:$AS, 40, FALSE), 1)</f>
        <v/>
      </c>
      <c r="Y169" s="13">
        <f>IFERROR(VLOOKUP(A169, IP Qty!$D:$R, 5, FALSE), 0)</f>
        <v/>
      </c>
      <c r="Z169" s="14">
        <f>IFERROR(VLOOKUP(A169, IP Qty!$D:$R, 6, FALSE), 0)</f>
        <v/>
      </c>
      <c r="AA169">
        <f>IFERROR(VLOOKUP(A169, IP Qty!$D:$R, 7, FALSE), 0)</f>
        <v/>
      </c>
      <c r="AB169">
        <f>IFERROR(VLOOKUP(A169, IP Qty!$D:$R, 9, FALSE), 0)</f>
        <v/>
      </c>
      <c r="AC169">
        <f>IFERROR(VLOOKUP(A169, IP Qty!$D:$R, 8, FALSE), 0)</f>
        <v/>
      </c>
      <c r="AD169" s="14">
        <f>IFERROR(VLOOKUP(A169, KEEPA!$A:$AW, 34, FALSE), 0)</f>
        <v/>
      </c>
      <c r="AE169" s="15">
        <f>IF(P169&gt;1, ((((M169&gt;=$AD$2)*(L169&gt;=$AH$2)) + ((M169&lt;$AD$2)*(M169&gt;=$AE$2)*(L169&gt;=$AG$2)) + ((M169&lt;$AE$2)*(M169&gt;=$AC$2)*(L169&gt;=0)))*2 * IF($AI$2=0, 1, AI169&lt;=$AI$2) * IF($AK$2=0, 1, AK169&lt;=$AK$2) * AND(N169&gt;=$D$1, H169&lt;=$I$2, G169&gt;=$H$2)), ((((M169&gt;=$AD$2)*(L169&gt;=$AH$2)) + ((M169&lt;$AD$2)*(M169&gt;=$AE$2)*(L169&gt;=$AG$2)) + ((M169&lt;$AE$2)*(M169&gt;=$AC$2)*(L169&gt;=0))) * IF($AI$2=0, 1, AI169&lt;=$AI$2) * IF($AK$2=0, 1, AK169&lt;=$AK$2) * AND(N169&gt;=$D$1, H169&lt;=$I$2, G169&gt;=$H$2)))</f>
        <v/>
      </c>
      <c r="AF169">
        <f>IF(AE169&gt;0, 1, 0)</f>
        <v/>
      </c>
      <c r="AG169">
        <f>IFERROR(IF(ISNUMBER(W169), IF(AN169, N169*W169*$AN$2, N169*W169), NA()), NA())</f>
        <v/>
      </c>
      <c r="AH169" s="13">
        <f>IFERROR(MIN(AG169, $U$2), 0)</f>
        <v/>
      </c>
      <c r="AI169" s="14">
        <f>IFERROR(VLOOKUP(A169, KEEPA!$A:$AW, 26, FALSE), 0)</f>
        <v/>
      </c>
      <c r="AJ169" s="16">
        <f>IFERROR(IF(AI169=0, 0, (AI169-H169)/H169), 0)</f>
        <v/>
      </c>
      <c r="AK169" s="14">
        <f>IFERROR(VLOOKUP(A169, KEEPA!$A:$AW, 28, FALSE), 0)</f>
        <v/>
      </c>
      <c r="AL169" s="16">
        <f>IFERROR(IF(AK169=0, 0, (AK169-H169)/H169), 0)</f>
        <v/>
      </c>
      <c r="AM169" s="13">
        <f>IFERROR(VLOOKUP(A169, AZInsight_Data!$A:$AS, 34, FALSE), 0)</f>
        <v/>
      </c>
      <c r="AN169">
        <f>IFERROR(AND(VLOOKUP(A169, KEEPA!$A:$AW, 2, FALSE)&lt;=$AO$2, N169 &gt;= $AM$2), FALSE)</f>
        <v/>
      </c>
      <c r="AO169" s="16">
        <f>IFERROR(VLOOKUP(A169, KEEPA!$A:$AW, 24, FALSE), 0)</f>
        <v/>
      </c>
      <c r="AP169" s="16">
        <f>IFERROR(VLOOKUP(A169, KEEPA!$A:$AW, 48, FALSE), 0)</f>
        <v/>
      </c>
      <c r="AQ169">
        <f>IFERROR(VLOOKUP(A169, AZInsight_Data!$A:$AS, 5, FALSE), "SL")</f>
        <v/>
      </c>
      <c r="AR169">
        <f>IF(OR(A169="", A169=0), "", HYPERLINK("https://keepa.com/#!product/1-"&amp;A169, "Keepa"))</f>
        <v/>
      </c>
      <c r="AS169">
        <f>IF(OR(A169="", A169=0), "", HYPERLINK("https://www.amazon.com/dp/"&amp;A169, "Amazon"))</f>
        <v/>
      </c>
      <c r="AT169">
        <f>IF(OR(A169="", A169=0), "", HYPERLINK("https://sellercentral.amazon.com/product-search/search?q="&amp;A169, "Check Gated"))</f>
        <v/>
      </c>
      <c r="AU169" s="12" t="n"/>
      <c r="AV169" s="12" t="n"/>
      <c r="AW169" s="12" t="n"/>
    </row>
    <row r="170">
      <c r="A170" s="12" t="n"/>
      <c r="B170" s="12">
        <f>IFERROR(VLOOKUP(A170, AZInsight_Data!$A:$AS, 3, FALSE), "")</f>
        <v/>
      </c>
      <c r="C170" s="13">
        <f>IFERROR(VLOOKUP(A170, AZInsight_Data!$A:$AS, 9, FALSE), 0)</f>
        <v/>
      </c>
      <c r="D170">
        <f>IFERROR(VLOOKUP(A170, AZInsight_Data!$A:$AS, 17, FALSE), 0)</f>
        <v/>
      </c>
      <c r="E170">
        <f>IFERROR(VLOOKUP(A170, AZInsight_Data!$A:$AS, 18, FALSE), 0)</f>
        <v/>
      </c>
      <c r="F170" s="14">
        <f>IFERROR(VLOOKUP(A170, AZInsight_Data!$A:$AS, 7, FALSE), 0)</f>
        <v/>
      </c>
      <c r="G170" s="15">
        <f>IFERROR(VLOOKUP(A170, AZInsight_Data!$A:$AS, 14, FALSE), 0)</f>
        <v/>
      </c>
      <c r="H170" s="14">
        <f>IFERROR(VLOOKUP(A170, AZInsight_Data!$A:$AS, 8, FALSE), 0)</f>
        <v/>
      </c>
      <c r="I170" s="16">
        <f>IFERROR(VLOOKUP(A170, KEEPA!$A:$AW, 47, FALSE), 0)</f>
        <v/>
      </c>
      <c r="J170">
        <f>IFERROR(VLOOKUP(A170, AZInsight_Data!$A:$AS, 25, FALSE), 0)</f>
        <v/>
      </c>
      <c r="K170" s="15">
        <f>IFERROR(VLOOKUP(A170, AZInsight_Data!$A:$AS, 16, FALSE), 0)</f>
        <v/>
      </c>
      <c r="L170" s="15">
        <f>IFERROR(K170-T170-J170, 0)</f>
        <v/>
      </c>
      <c r="M170" s="16">
        <f>IFERROR(IF(T170=0, 0, L170/T170), 0)</f>
        <v/>
      </c>
      <c r="N170" s="14">
        <f>IFERROR(C170*($V$2/30), 0)</f>
        <v/>
      </c>
      <c r="O170">
        <f>IFERROR(VLOOKUP(A170, AZInsight_Data!$A:$AS, 40, FALSE), 1)</f>
        <v/>
      </c>
      <c r="P170" s="13">
        <f>IF(O170&gt;0, O170, 1)</f>
        <v/>
      </c>
      <c r="Q170" s="13">
        <f>IFERROR(U170/P170, 0)</f>
        <v/>
      </c>
      <c r="R170">
        <f>IFERROR(VLOOKUP(A170, AZInsight_Data!$A:$AS, 36, FALSE), "")</f>
        <v/>
      </c>
      <c r="S170">
        <f>IFERROR(VLOOKUP(A170, AZInsight_Data!$A:$AS, 3, FALSE), "")</f>
        <v/>
      </c>
      <c r="T170" s="17">
        <f>IFERROR(VLOOKUP(A170, AZInsight_Data!$A:$AS, 13, FALSE), 0)</f>
        <v/>
      </c>
      <c r="U170" s="13">
        <f>AH170</f>
        <v/>
      </c>
      <c r="V170" s="15">
        <f>T170*U170</f>
        <v/>
      </c>
      <c r="W170" s="16" t="n"/>
      <c r="X170" s="12">
        <f>IFERROR(VLOOKUP(A170, AZInsight_Data!$A:$AS, 40, FALSE), 1)</f>
        <v/>
      </c>
      <c r="Y170" s="13">
        <f>IFERROR(VLOOKUP(A170, IP Qty!$D:$R, 5, FALSE), 0)</f>
        <v/>
      </c>
      <c r="Z170" s="14">
        <f>IFERROR(VLOOKUP(A170, IP Qty!$D:$R, 6, FALSE), 0)</f>
        <v/>
      </c>
      <c r="AA170">
        <f>IFERROR(VLOOKUP(A170, IP Qty!$D:$R, 7, FALSE), 0)</f>
        <v/>
      </c>
      <c r="AB170">
        <f>IFERROR(VLOOKUP(A170, IP Qty!$D:$R, 9, FALSE), 0)</f>
        <v/>
      </c>
      <c r="AC170">
        <f>IFERROR(VLOOKUP(A170, IP Qty!$D:$R, 8, FALSE), 0)</f>
        <v/>
      </c>
      <c r="AD170" s="14">
        <f>IFERROR(VLOOKUP(A170, KEEPA!$A:$AW, 34, FALSE), 0)</f>
        <v/>
      </c>
      <c r="AE170" s="15">
        <f>IF(P170&gt;1, ((((M170&gt;=$AD$2)*(L170&gt;=$AH$2)) + ((M170&lt;$AD$2)*(M170&gt;=$AE$2)*(L170&gt;=$AG$2)) + ((M170&lt;$AE$2)*(M170&gt;=$AC$2)*(L170&gt;=0)))*2 * IF($AI$2=0, 1, AI170&lt;=$AI$2) * IF($AK$2=0, 1, AK170&lt;=$AK$2) * AND(N170&gt;=$D$1, H170&lt;=$I$2, G170&gt;=$H$2)), ((((M170&gt;=$AD$2)*(L170&gt;=$AH$2)) + ((M170&lt;$AD$2)*(M170&gt;=$AE$2)*(L170&gt;=$AG$2)) + ((M170&lt;$AE$2)*(M170&gt;=$AC$2)*(L170&gt;=0))) * IF($AI$2=0, 1, AI170&lt;=$AI$2) * IF($AK$2=0, 1, AK170&lt;=$AK$2) * AND(N170&gt;=$D$1, H170&lt;=$I$2, G170&gt;=$H$2)))</f>
        <v/>
      </c>
      <c r="AF170">
        <f>IF(AE170&gt;0, 1, 0)</f>
        <v/>
      </c>
      <c r="AG170">
        <f>IFERROR(IF(ISNUMBER(W170), IF(AN170, N170*W170*$AN$2, N170*W170), NA()), NA())</f>
        <v/>
      </c>
      <c r="AH170" s="13">
        <f>IFERROR(MIN(AG170, $U$2), 0)</f>
        <v/>
      </c>
      <c r="AI170" s="14">
        <f>IFERROR(VLOOKUP(A170, KEEPA!$A:$AW, 26, FALSE), 0)</f>
        <v/>
      </c>
      <c r="AJ170" s="16">
        <f>IFERROR(IF(AI170=0, 0, (AI170-H170)/H170), 0)</f>
        <v/>
      </c>
      <c r="AK170" s="14">
        <f>IFERROR(VLOOKUP(A170, KEEPA!$A:$AW, 28, FALSE), 0)</f>
        <v/>
      </c>
      <c r="AL170" s="16">
        <f>IFERROR(IF(AK170=0, 0, (AK170-H170)/H170), 0)</f>
        <v/>
      </c>
      <c r="AM170" s="13">
        <f>IFERROR(VLOOKUP(A170, AZInsight_Data!$A:$AS, 34, FALSE), 0)</f>
        <v/>
      </c>
      <c r="AN170">
        <f>IFERROR(AND(VLOOKUP(A170, KEEPA!$A:$AW, 2, FALSE)&lt;=$AO$2, N170 &gt;= $AM$2), FALSE)</f>
        <v/>
      </c>
      <c r="AO170" s="16">
        <f>IFERROR(VLOOKUP(A170, KEEPA!$A:$AW, 24, FALSE), 0)</f>
        <v/>
      </c>
      <c r="AP170" s="16">
        <f>IFERROR(VLOOKUP(A170, KEEPA!$A:$AW, 48, FALSE), 0)</f>
        <v/>
      </c>
      <c r="AQ170">
        <f>IFERROR(VLOOKUP(A170, AZInsight_Data!$A:$AS, 5, FALSE), "SL")</f>
        <v/>
      </c>
      <c r="AR170">
        <f>IF(OR(A170="", A170=0), "", HYPERLINK("https://keepa.com/#!product/1-"&amp;A170, "Keepa"))</f>
        <v/>
      </c>
      <c r="AS170">
        <f>IF(OR(A170="", A170=0), "", HYPERLINK("https://www.amazon.com/dp/"&amp;A170, "Amazon"))</f>
        <v/>
      </c>
      <c r="AT170">
        <f>IF(OR(A170="", A170=0), "", HYPERLINK("https://sellercentral.amazon.com/product-search/search?q="&amp;A170, "Check Gated"))</f>
        <v/>
      </c>
      <c r="AU170" s="12" t="n"/>
      <c r="AV170" s="12" t="n"/>
      <c r="AW170" s="12" t="n"/>
    </row>
    <row r="171">
      <c r="A171" s="12" t="n"/>
      <c r="B171" s="12">
        <f>IFERROR(VLOOKUP(A171, AZInsight_Data!$A:$AS, 3, FALSE), "")</f>
        <v/>
      </c>
      <c r="C171" s="13">
        <f>IFERROR(VLOOKUP(A171, AZInsight_Data!$A:$AS, 9, FALSE), 0)</f>
        <v/>
      </c>
      <c r="D171">
        <f>IFERROR(VLOOKUP(A171, AZInsight_Data!$A:$AS, 17, FALSE), 0)</f>
        <v/>
      </c>
      <c r="E171">
        <f>IFERROR(VLOOKUP(A171, AZInsight_Data!$A:$AS, 18, FALSE), 0)</f>
        <v/>
      </c>
      <c r="F171" s="14">
        <f>IFERROR(VLOOKUP(A171, AZInsight_Data!$A:$AS, 7, FALSE), 0)</f>
        <v/>
      </c>
      <c r="G171" s="15">
        <f>IFERROR(VLOOKUP(A171, AZInsight_Data!$A:$AS, 14, FALSE), 0)</f>
        <v/>
      </c>
      <c r="H171" s="14">
        <f>IFERROR(VLOOKUP(A171, AZInsight_Data!$A:$AS, 8, FALSE), 0)</f>
        <v/>
      </c>
      <c r="I171" s="16">
        <f>IFERROR(VLOOKUP(A171, KEEPA!$A:$AW, 47, FALSE), 0)</f>
        <v/>
      </c>
      <c r="J171">
        <f>IFERROR(VLOOKUP(A171, AZInsight_Data!$A:$AS, 25, FALSE), 0)</f>
        <v/>
      </c>
      <c r="K171" s="15">
        <f>IFERROR(VLOOKUP(A171, AZInsight_Data!$A:$AS, 16, FALSE), 0)</f>
        <v/>
      </c>
      <c r="L171" s="15">
        <f>IFERROR(K171-T171-J171, 0)</f>
        <v/>
      </c>
      <c r="M171" s="16">
        <f>IFERROR(IF(T171=0, 0, L171/T171), 0)</f>
        <v/>
      </c>
      <c r="N171" s="14">
        <f>IFERROR(C171*($V$2/30), 0)</f>
        <v/>
      </c>
      <c r="O171">
        <f>IFERROR(VLOOKUP(A171, AZInsight_Data!$A:$AS, 40, FALSE), 1)</f>
        <v/>
      </c>
      <c r="P171" s="13">
        <f>IF(O171&gt;0, O171, 1)</f>
        <v/>
      </c>
      <c r="Q171" s="13">
        <f>IFERROR(U171/P171, 0)</f>
        <v/>
      </c>
      <c r="R171">
        <f>IFERROR(VLOOKUP(A171, AZInsight_Data!$A:$AS, 36, FALSE), "")</f>
        <v/>
      </c>
      <c r="S171">
        <f>IFERROR(VLOOKUP(A171, AZInsight_Data!$A:$AS, 3, FALSE), "")</f>
        <v/>
      </c>
      <c r="T171" s="17">
        <f>IFERROR(VLOOKUP(A171, AZInsight_Data!$A:$AS, 13, FALSE), 0)</f>
        <v/>
      </c>
      <c r="U171" s="13">
        <f>AH171</f>
        <v/>
      </c>
      <c r="V171" s="15">
        <f>T171*U171</f>
        <v/>
      </c>
      <c r="W171" s="16" t="n"/>
      <c r="X171" s="12">
        <f>IFERROR(VLOOKUP(A171, AZInsight_Data!$A:$AS, 40, FALSE), 1)</f>
        <v/>
      </c>
      <c r="Y171" s="13">
        <f>IFERROR(VLOOKUP(A171, IP Qty!$D:$R, 5, FALSE), 0)</f>
        <v/>
      </c>
      <c r="Z171" s="14">
        <f>IFERROR(VLOOKUP(A171, IP Qty!$D:$R, 6, FALSE), 0)</f>
        <v/>
      </c>
      <c r="AA171">
        <f>IFERROR(VLOOKUP(A171, IP Qty!$D:$R, 7, FALSE), 0)</f>
        <v/>
      </c>
      <c r="AB171">
        <f>IFERROR(VLOOKUP(A171, IP Qty!$D:$R, 9, FALSE), 0)</f>
        <v/>
      </c>
      <c r="AC171">
        <f>IFERROR(VLOOKUP(A171, IP Qty!$D:$R, 8, FALSE), 0)</f>
        <v/>
      </c>
      <c r="AD171" s="14">
        <f>IFERROR(VLOOKUP(A171, KEEPA!$A:$AW, 34, FALSE), 0)</f>
        <v/>
      </c>
      <c r="AE171" s="15">
        <f>IF(P171&gt;1, ((((M171&gt;=$AD$2)*(L171&gt;=$AH$2)) + ((M171&lt;$AD$2)*(M171&gt;=$AE$2)*(L171&gt;=$AG$2)) + ((M171&lt;$AE$2)*(M171&gt;=$AC$2)*(L171&gt;=0)))*2 * IF($AI$2=0, 1, AI171&lt;=$AI$2) * IF($AK$2=0, 1, AK171&lt;=$AK$2) * AND(N171&gt;=$D$1, H171&lt;=$I$2, G171&gt;=$H$2)), ((((M171&gt;=$AD$2)*(L171&gt;=$AH$2)) + ((M171&lt;$AD$2)*(M171&gt;=$AE$2)*(L171&gt;=$AG$2)) + ((M171&lt;$AE$2)*(M171&gt;=$AC$2)*(L171&gt;=0))) * IF($AI$2=0, 1, AI171&lt;=$AI$2) * IF($AK$2=0, 1, AK171&lt;=$AK$2) * AND(N171&gt;=$D$1, H171&lt;=$I$2, G171&gt;=$H$2)))</f>
        <v/>
      </c>
      <c r="AF171">
        <f>IF(AE171&gt;0, 1, 0)</f>
        <v/>
      </c>
      <c r="AG171">
        <f>IFERROR(IF(ISNUMBER(W171), IF(AN171, N171*W171*$AN$2, N171*W171), NA()), NA())</f>
        <v/>
      </c>
      <c r="AH171" s="13">
        <f>IFERROR(MIN(AG171, $U$2), 0)</f>
        <v/>
      </c>
      <c r="AI171" s="14">
        <f>IFERROR(VLOOKUP(A171, KEEPA!$A:$AW, 26, FALSE), 0)</f>
        <v/>
      </c>
      <c r="AJ171" s="16">
        <f>IFERROR(IF(AI171=0, 0, (AI171-H171)/H171), 0)</f>
        <v/>
      </c>
      <c r="AK171" s="14">
        <f>IFERROR(VLOOKUP(A171, KEEPA!$A:$AW, 28, FALSE), 0)</f>
        <v/>
      </c>
      <c r="AL171" s="16">
        <f>IFERROR(IF(AK171=0, 0, (AK171-H171)/H171), 0)</f>
        <v/>
      </c>
      <c r="AM171" s="13">
        <f>IFERROR(VLOOKUP(A171, AZInsight_Data!$A:$AS, 34, FALSE), 0)</f>
        <v/>
      </c>
      <c r="AN171">
        <f>IFERROR(AND(VLOOKUP(A171, KEEPA!$A:$AW, 2, FALSE)&lt;=$AO$2, N171 &gt;= $AM$2), FALSE)</f>
        <v/>
      </c>
      <c r="AO171" s="16">
        <f>IFERROR(VLOOKUP(A171, KEEPA!$A:$AW, 24, FALSE), 0)</f>
        <v/>
      </c>
      <c r="AP171" s="16">
        <f>IFERROR(VLOOKUP(A171, KEEPA!$A:$AW, 48, FALSE), 0)</f>
        <v/>
      </c>
      <c r="AQ171">
        <f>IFERROR(VLOOKUP(A171, AZInsight_Data!$A:$AS, 5, FALSE), "SL")</f>
        <v/>
      </c>
      <c r="AR171">
        <f>IF(OR(A171="", A171=0), "", HYPERLINK("https://keepa.com/#!product/1-"&amp;A171, "Keepa"))</f>
        <v/>
      </c>
      <c r="AS171">
        <f>IF(OR(A171="", A171=0), "", HYPERLINK("https://www.amazon.com/dp/"&amp;A171, "Amazon"))</f>
        <v/>
      </c>
      <c r="AT171">
        <f>IF(OR(A171="", A171=0), "", HYPERLINK("https://sellercentral.amazon.com/product-search/search?q="&amp;A171, "Check Gated"))</f>
        <v/>
      </c>
      <c r="AU171" s="12" t="n"/>
      <c r="AV171" s="12" t="n"/>
      <c r="AW171" s="12" t="n"/>
    </row>
    <row r="172">
      <c r="A172" s="12" t="n"/>
      <c r="B172" s="12">
        <f>IFERROR(VLOOKUP(A172, AZInsight_Data!$A:$AS, 3, FALSE), "")</f>
        <v/>
      </c>
      <c r="C172" s="13">
        <f>IFERROR(VLOOKUP(A172, AZInsight_Data!$A:$AS, 9, FALSE), 0)</f>
        <v/>
      </c>
      <c r="D172">
        <f>IFERROR(VLOOKUP(A172, AZInsight_Data!$A:$AS, 17, FALSE), 0)</f>
        <v/>
      </c>
      <c r="E172">
        <f>IFERROR(VLOOKUP(A172, AZInsight_Data!$A:$AS, 18, FALSE), 0)</f>
        <v/>
      </c>
      <c r="F172" s="14">
        <f>IFERROR(VLOOKUP(A172, AZInsight_Data!$A:$AS, 7, FALSE), 0)</f>
        <v/>
      </c>
      <c r="G172" s="15">
        <f>IFERROR(VLOOKUP(A172, AZInsight_Data!$A:$AS, 14, FALSE), 0)</f>
        <v/>
      </c>
      <c r="H172" s="14">
        <f>IFERROR(VLOOKUP(A172, AZInsight_Data!$A:$AS, 8, FALSE), 0)</f>
        <v/>
      </c>
      <c r="I172" s="16">
        <f>IFERROR(VLOOKUP(A172, KEEPA!$A:$AW, 47, FALSE), 0)</f>
        <v/>
      </c>
      <c r="J172">
        <f>IFERROR(VLOOKUP(A172, AZInsight_Data!$A:$AS, 25, FALSE), 0)</f>
        <v/>
      </c>
      <c r="K172" s="15">
        <f>IFERROR(VLOOKUP(A172, AZInsight_Data!$A:$AS, 16, FALSE), 0)</f>
        <v/>
      </c>
      <c r="L172" s="15">
        <f>IFERROR(K172-T172-J172, 0)</f>
        <v/>
      </c>
      <c r="M172" s="16">
        <f>IFERROR(IF(T172=0, 0, L172/T172), 0)</f>
        <v/>
      </c>
      <c r="N172" s="14">
        <f>IFERROR(C172*($V$2/30), 0)</f>
        <v/>
      </c>
      <c r="O172">
        <f>IFERROR(VLOOKUP(A172, AZInsight_Data!$A:$AS, 40, FALSE), 1)</f>
        <v/>
      </c>
      <c r="P172" s="13">
        <f>IF(O172&gt;0, O172, 1)</f>
        <v/>
      </c>
      <c r="Q172" s="13">
        <f>IFERROR(U172/P172, 0)</f>
        <v/>
      </c>
      <c r="R172">
        <f>IFERROR(VLOOKUP(A172, AZInsight_Data!$A:$AS, 36, FALSE), "")</f>
        <v/>
      </c>
      <c r="S172">
        <f>IFERROR(VLOOKUP(A172, AZInsight_Data!$A:$AS, 3, FALSE), "")</f>
        <v/>
      </c>
      <c r="T172" s="17">
        <f>IFERROR(VLOOKUP(A172, AZInsight_Data!$A:$AS, 13, FALSE), 0)</f>
        <v/>
      </c>
      <c r="U172" s="13">
        <f>AH172</f>
        <v/>
      </c>
      <c r="V172" s="15">
        <f>T172*U172</f>
        <v/>
      </c>
      <c r="W172" s="16" t="n"/>
      <c r="X172" s="12">
        <f>IFERROR(VLOOKUP(A172, AZInsight_Data!$A:$AS, 40, FALSE), 1)</f>
        <v/>
      </c>
      <c r="Y172" s="13">
        <f>IFERROR(VLOOKUP(A172, IP Qty!$D:$R, 5, FALSE), 0)</f>
        <v/>
      </c>
      <c r="Z172" s="14">
        <f>IFERROR(VLOOKUP(A172, IP Qty!$D:$R, 6, FALSE), 0)</f>
        <v/>
      </c>
      <c r="AA172">
        <f>IFERROR(VLOOKUP(A172, IP Qty!$D:$R, 7, FALSE), 0)</f>
        <v/>
      </c>
      <c r="AB172">
        <f>IFERROR(VLOOKUP(A172, IP Qty!$D:$R, 9, FALSE), 0)</f>
        <v/>
      </c>
      <c r="AC172">
        <f>IFERROR(VLOOKUP(A172, IP Qty!$D:$R, 8, FALSE), 0)</f>
        <v/>
      </c>
      <c r="AD172" s="14">
        <f>IFERROR(VLOOKUP(A172, KEEPA!$A:$AW, 34, FALSE), 0)</f>
        <v/>
      </c>
      <c r="AE172" s="15">
        <f>IF(P172&gt;1, ((((M172&gt;=$AD$2)*(L172&gt;=$AH$2)) + ((M172&lt;$AD$2)*(M172&gt;=$AE$2)*(L172&gt;=$AG$2)) + ((M172&lt;$AE$2)*(M172&gt;=$AC$2)*(L172&gt;=0)))*2 * IF($AI$2=0, 1, AI172&lt;=$AI$2) * IF($AK$2=0, 1, AK172&lt;=$AK$2) * AND(N172&gt;=$D$1, H172&lt;=$I$2, G172&gt;=$H$2)), ((((M172&gt;=$AD$2)*(L172&gt;=$AH$2)) + ((M172&lt;$AD$2)*(M172&gt;=$AE$2)*(L172&gt;=$AG$2)) + ((M172&lt;$AE$2)*(M172&gt;=$AC$2)*(L172&gt;=0))) * IF($AI$2=0, 1, AI172&lt;=$AI$2) * IF($AK$2=0, 1, AK172&lt;=$AK$2) * AND(N172&gt;=$D$1, H172&lt;=$I$2, G172&gt;=$H$2)))</f>
        <v/>
      </c>
      <c r="AF172">
        <f>IF(AE172&gt;0, 1, 0)</f>
        <v/>
      </c>
      <c r="AG172">
        <f>IFERROR(IF(ISNUMBER(W172), IF(AN172, N172*W172*$AN$2, N172*W172), NA()), NA())</f>
        <v/>
      </c>
      <c r="AH172" s="13">
        <f>IFERROR(MIN(AG172, $U$2), 0)</f>
        <v/>
      </c>
      <c r="AI172" s="14">
        <f>IFERROR(VLOOKUP(A172, KEEPA!$A:$AW, 26, FALSE), 0)</f>
        <v/>
      </c>
      <c r="AJ172" s="16">
        <f>IFERROR(IF(AI172=0, 0, (AI172-H172)/H172), 0)</f>
        <v/>
      </c>
      <c r="AK172" s="14">
        <f>IFERROR(VLOOKUP(A172, KEEPA!$A:$AW, 28, FALSE), 0)</f>
        <v/>
      </c>
      <c r="AL172" s="16">
        <f>IFERROR(IF(AK172=0, 0, (AK172-H172)/H172), 0)</f>
        <v/>
      </c>
      <c r="AM172" s="13">
        <f>IFERROR(VLOOKUP(A172, AZInsight_Data!$A:$AS, 34, FALSE), 0)</f>
        <v/>
      </c>
      <c r="AN172">
        <f>IFERROR(AND(VLOOKUP(A172, KEEPA!$A:$AW, 2, FALSE)&lt;=$AO$2, N172 &gt;= $AM$2), FALSE)</f>
        <v/>
      </c>
      <c r="AO172" s="16">
        <f>IFERROR(VLOOKUP(A172, KEEPA!$A:$AW, 24, FALSE), 0)</f>
        <v/>
      </c>
      <c r="AP172" s="16">
        <f>IFERROR(VLOOKUP(A172, KEEPA!$A:$AW, 48, FALSE), 0)</f>
        <v/>
      </c>
      <c r="AQ172">
        <f>IFERROR(VLOOKUP(A172, AZInsight_Data!$A:$AS, 5, FALSE), "SL")</f>
        <v/>
      </c>
      <c r="AR172">
        <f>IF(OR(A172="", A172=0), "", HYPERLINK("https://keepa.com/#!product/1-"&amp;A172, "Keepa"))</f>
        <v/>
      </c>
      <c r="AS172">
        <f>IF(OR(A172="", A172=0), "", HYPERLINK("https://www.amazon.com/dp/"&amp;A172, "Amazon"))</f>
        <v/>
      </c>
      <c r="AT172">
        <f>IF(OR(A172="", A172=0), "", HYPERLINK("https://sellercentral.amazon.com/product-search/search?q="&amp;A172, "Check Gated"))</f>
        <v/>
      </c>
      <c r="AU172" s="12" t="n"/>
      <c r="AV172" s="12" t="n"/>
      <c r="AW172" s="12" t="n"/>
    </row>
    <row r="173">
      <c r="A173" s="12" t="n"/>
      <c r="B173" s="12">
        <f>IFERROR(VLOOKUP(A173, AZInsight_Data!$A:$AS, 3, FALSE), "")</f>
        <v/>
      </c>
      <c r="C173" s="13">
        <f>IFERROR(VLOOKUP(A173, AZInsight_Data!$A:$AS, 9, FALSE), 0)</f>
        <v/>
      </c>
      <c r="D173">
        <f>IFERROR(VLOOKUP(A173, AZInsight_Data!$A:$AS, 17, FALSE), 0)</f>
        <v/>
      </c>
      <c r="E173">
        <f>IFERROR(VLOOKUP(A173, AZInsight_Data!$A:$AS, 18, FALSE), 0)</f>
        <v/>
      </c>
      <c r="F173" s="14">
        <f>IFERROR(VLOOKUP(A173, AZInsight_Data!$A:$AS, 7, FALSE), 0)</f>
        <v/>
      </c>
      <c r="G173" s="15">
        <f>IFERROR(VLOOKUP(A173, AZInsight_Data!$A:$AS, 14, FALSE), 0)</f>
        <v/>
      </c>
      <c r="H173" s="14">
        <f>IFERROR(VLOOKUP(A173, AZInsight_Data!$A:$AS, 8, FALSE), 0)</f>
        <v/>
      </c>
      <c r="I173" s="16">
        <f>IFERROR(VLOOKUP(A173, KEEPA!$A:$AW, 47, FALSE), 0)</f>
        <v/>
      </c>
      <c r="J173">
        <f>IFERROR(VLOOKUP(A173, AZInsight_Data!$A:$AS, 25, FALSE), 0)</f>
        <v/>
      </c>
      <c r="K173" s="15">
        <f>IFERROR(VLOOKUP(A173, AZInsight_Data!$A:$AS, 16, FALSE), 0)</f>
        <v/>
      </c>
      <c r="L173" s="15">
        <f>IFERROR(K173-T173-J173, 0)</f>
        <v/>
      </c>
      <c r="M173" s="16">
        <f>IFERROR(IF(T173=0, 0, L173/T173), 0)</f>
        <v/>
      </c>
      <c r="N173" s="14">
        <f>IFERROR(C173*($V$2/30), 0)</f>
        <v/>
      </c>
      <c r="O173">
        <f>IFERROR(VLOOKUP(A173, AZInsight_Data!$A:$AS, 40, FALSE), 1)</f>
        <v/>
      </c>
      <c r="P173" s="13">
        <f>IF(O173&gt;0, O173, 1)</f>
        <v/>
      </c>
      <c r="Q173" s="13">
        <f>IFERROR(U173/P173, 0)</f>
        <v/>
      </c>
      <c r="R173">
        <f>IFERROR(VLOOKUP(A173, AZInsight_Data!$A:$AS, 36, FALSE), "")</f>
        <v/>
      </c>
      <c r="S173">
        <f>IFERROR(VLOOKUP(A173, AZInsight_Data!$A:$AS, 3, FALSE), "")</f>
        <v/>
      </c>
      <c r="T173" s="17">
        <f>IFERROR(VLOOKUP(A173, AZInsight_Data!$A:$AS, 13, FALSE), 0)</f>
        <v/>
      </c>
      <c r="U173" s="13">
        <f>AH173</f>
        <v/>
      </c>
      <c r="V173" s="15">
        <f>T173*U173</f>
        <v/>
      </c>
      <c r="W173" s="16" t="n"/>
      <c r="X173" s="12">
        <f>IFERROR(VLOOKUP(A173, AZInsight_Data!$A:$AS, 40, FALSE), 1)</f>
        <v/>
      </c>
      <c r="Y173" s="13">
        <f>IFERROR(VLOOKUP(A173, IP Qty!$D:$R, 5, FALSE), 0)</f>
        <v/>
      </c>
      <c r="Z173" s="14">
        <f>IFERROR(VLOOKUP(A173, IP Qty!$D:$R, 6, FALSE), 0)</f>
        <v/>
      </c>
      <c r="AA173">
        <f>IFERROR(VLOOKUP(A173, IP Qty!$D:$R, 7, FALSE), 0)</f>
        <v/>
      </c>
      <c r="AB173">
        <f>IFERROR(VLOOKUP(A173, IP Qty!$D:$R, 9, FALSE), 0)</f>
        <v/>
      </c>
      <c r="AC173">
        <f>IFERROR(VLOOKUP(A173, IP Qty!$D:$R, 8, FALSE), 0)</f>
        <v/>
      </c>
      <c r="AD173" s="14">
        <f>IFERROR(VLOOKUP(A173, KEEPA!$A:$AW, 34, FALSE), 0)</f>
        <v/>
      </c>
      <c r="AE173" s="15">
        <f>IF(P173&gt;1, ((((M173&gt;=$AD$2)*(L173&gt;=$AH$2)) + ((M173&lt;$AD$2)*(M173&gt;=$AE$2)*(L173&gt;=$AG$2)) + ((M173&lt;$AE$2)*(M173&gt;=$AC$2)*(L173&gt;=0)))*2 * IF($AI$2=0, 1, AI173&lt;=$AI$2) * IF($AK$2=0, 1, AK173&lt;=$AK$2) * AND(N173&gt;=$D$1, H173&lt;=$I$2, G173&gt;=$H$2)), ((((M173&gt;=$AD$2)*(L173&gt;=$AH$2)) + ((M173&lt;$AD$2)*(M173&gt;=$AE$2)*(L173&gt;=$AG$2)) + ((M173&lt;$AE$2)*(M173&gt;=$AC$2)*(L173&gt;=0))) * IF($AI$2=0, 1, AI173&lt;=$AI$2) * IF($AK$2=0, 1, AK173&lt;=$AK$2) * AND(N173&gt;=$D$1, H173&lt;=$I$2, G173&gt;=$H$2)))</f>
        <v/>
      </c>
      <c r="AF173">
        <f>IF(AE173&gt;0, 1, 0)</f>
        <v/>
      </c>
      <c r="AG173">
        <f>IFERROR(IF(ISNUMBER(W173), IF(AN173, N173*W173*$AN$2, N173*W173), NA()), NA())</f>
        <v/>
      </c>
      <c r="AH173" s="13">
        <f>IFERROR(MIN(AG173, $U$2), 0)</f>
        <v/>
      </c>
      <c r="AI173" s="14">
        <f>IFERROR(VLOOKUP(A173, KEEPA!$A:$AW, 26, FALSE), 0)</f>
        <v/>
      </c>
      <c r="AJ173" s="16">
        <f>IFERROR(IF(AI173=0, 0, (AI173-H173)/H173), 0)</f>
        <v/>
      </c>
      <c r="AK173" s="14">
        <f>IFERROR(VLOOKUP(A173, KEEPA!$A:$AW, 28, FALSE), 0)</f>
        <v/>
      </c>
      <c r="AL173" s="16">
        <f>IFERROR(IF(AK173=0, 0, (AK173-H173)/H173), 0)</f>
        <v/>
      </c>
      <c r="AM173" s="13">
        <f>IFERROR(VLOOKUP(A173, AZInsight_Data!$A:$AS, 34, FALSE), 0)</f>
        <v/>
      </c>
      <c r="AN173">
        <f>IFERROR(AND(VLOOKUP(A173, KEEPA!$A:$AW, 2, FALSE)&lt;=$AO$2, N173 &gt;= $AM$2), FALSE)</f>
        <v/>
      </c>
      <c r="AO173" s="16">
        <f>IFERROR(VLOOKUP(A173, KEEPA!$A:$AW, 24, FALSE), 0)</f>
        <v/>
      </c>
      <c r="AP173" s="16">
        <f>IFERROR(VLOOKUP(A173, KEEPA!$A:$AW, 48, FALSE), 0)</f>
        <v/>
      </c>
      <c r="AQ173">
        <f>IFERROR(VLOOKUP(A173, AZInsight_Data!$A:$AS, 5, FALSE), "SL")</f>
        <v/>
      </c>
      <c r="AR173">
        <f>IF(OR(A173="", A173=0), "", HYPERLINK("https://keepa.com/#!product/1-"&amp;A173, "Keepa"))</f>
        <v/>
      </c>
      <c r="AS173">
        <f>IF(OR(A173="", A173=0), "", HYPERLINK("https://www.amazon.com/dp/"&amp;A173, "Amazon"))</f>
        <v/>
      </c>
      <c r="AT173">
        <f>IF(OR(A173="", A173=0), "", HYPERLINK("https://sellercentral.amazon.com/product-search/search?q="&amp;A173, "Check Gated"))</f>
        <v/>
      </c>
      <c r="AU173" s="12" t="n"/>
      <c r="AV173" s="12" t="n"/>
      <c r="AW173" s="12" t="n"/>
    </row>
    <row r="174">
      <c r="A174" s="12" t="n"/>
      <c r="B174" s="12">
        <f>IFERROR(VLOOKUP(A174, AZInsight_Data!$A:$AS, 3, FALSE), "")</f>
        <v/>
      </c>
      <c r="C174" s="13">
        <f>IFERROR(VLOOKUP(A174, AZInsight_Data!$A:$AS, 9, FALSE), 0)</f>
        <v/>
      </c>
      <c r="D174">
        <f>IFERROR(VLOOKUP(A174, AZInsight_Data!$A:$AS, 17, FALSE), 0)</f>
        <v/>
      </c>
      <c r="E174">
        <f>IFERROR(VLOOKUP(A174, AZInsight_Data!$A:$AS, 18, FALSE), 0)</f>
        <v/>
      </c>
      <c r="F174" s="14">
        <f>IFERROR(VLOOKUP(A174, AZInsight_Data!$A:$AS, 7, FALSE), 0)</f>
        <v/>
      </c>
      <c r="G174" s="15">
        <f>IFERROR(VLOOKUP(A174, AZInsight_Data!$A:$AS, 14, FALSE), 0)</f>
        <v/>
      </c>
      <c r="H174" s="14">
        <f>IFERROR(VLOOKUP(A174, AZInsight_Data!$A:$AS, 8, FALSE), 0)</f>
        <v/>
      </c>
      <c r="I174" s="16">
        <f>IFERROR(VLOOKUP(A174, KEEPA!$A:$AW, 47, FALSE), 0)</f>
        <v/>
      </c>
      <c r="J174">
        <f>IFERROR(VLOOKUP(A174, AZInsight_Data!$A:$AS, 25, FALSE), 0)</f>
        <v/>
      </c>
      <c r="K174" s="15">
        <f>IFERROR(VLOOKUP(A174, AZInsight_Data!$A:$AS, 16, FALSE), 0)</f>
        <v/>
      </c>
      <c r="L174" s="15">
        <f>IFERROR(K174-T174-J174, 0)</f>
        <v/>
      </c>
      <c r="M174" s="16">
        <f>IFERROR(IF(T174=0, 0, L174/T174), 0)</f>
        <v/>
      </c>
      <c r="N174" s="14">
        <f>IFERROR(C174*($V$2/30), 0)</f>
        <v/>
      </c>
      <c r="O174">
        <f>IFERROR(VLOOKUP(A174, AZInsight_Data!$A:$AS, 40, FALSE), 1)</f>
        <v/>
      </c>
      <c r="P174" s="13">
        <f>IF(O174&gt;0, O174, 1)</f>
        <v/>
      </c>
      <c r="Q174" s="13">
        <f>IFERROR(U174/P174, 0)</f>
        <v/>
      </c>
      <c r="R174">
        <f>IFERROR(VLOOKUP(A174, AZInsight_Data!$A:$AS, 36, FALSE), "")</f>
        <v/>
      </c>
      <c r="S174">
        <f>IFERROR(VLOOKUP(A174, AZInsight_Data!$A:$AS, 3, FALSE), "")</f>
        <v/>
      </c>
      <c r="T174" s="17">
        <f>IFERROR(VLOOKUP(A174, AZInsight_Data!$A:$AS, 13, FALSE), 0)</f>
        <v/>
      </c>
      <c r="U174" s="13">
        <f>AH174</f>
        <v/>
      </c>
      <c r="V174" s="15">
        <f>T174*U174</f>
        <v/>
      </c>
      <c r="W174" s="16" t="n"/>
      <c r="X174" s="12">
        <f>IFERROR(VLOOKUP(A174, AZInsight_Data!$A:$AS, 40, FALSE), 1)</f>
        <v/>
      </c>
      <c r="Y174" s="13">
        <f>IFERROR(VLOOKUP(A174, IP Qty!$D:$R, 5, FALSE), 0)</f>
        <v/>
      </c>
      <c r="Z174" s="14">
        <f>IFERROR(VLOOKUP(A174, IP Qty!$D:$R, 6, FALSE), 0)</f>
        <v/>
      </c>
      <c r="AA174">
        <f>IFERROR(VLOOKUP(A174, IP Qty!$D:$R, 7, FALSE), 0)</f>
        <v/>
      </c>
      <c r="AB174">
        <f>IFERROR(VLOOKUP(A174, IP Qty!$D:$R, 9, FALSE), 0)</f>
        <v/>
      </c>
      <c r="AC174">
        <f>IFERROR(VLOOKUP(A174, IP Qty!$D:$R, 8, FALSE), 0)</f>
        <v/>
      </c>
      <c r="AD174" s="14">
        <f>IFERROR(VLOOKUP(A174, KEEPA!$A:$AW, 34, FALSE), 0)</f>
        <v/>
      </c>
      <c r="AE174" s="15">
        <f>IF(P174&gt;1, ((((M174&gt;=$AD$2)*(L174&gt;=$AH$2)) + ((M174&lt;$AD$2)*(M174&gt;=$AE$2)*(L174&gt;=$AG$2)) + ((M174&lt;$AE$2)*(M174&gt;=$AC$2)*(L174&gt;=0)))*2 * IF($AI$2=0, 1, AI174&lt;=$AI$2) * IF($AK$2=0, 1, AK174&lt;=$AK$2) * AND(N174&gt;=$D$1, H174&lt;=$I$2, G174&gt;=$H$2)), ((((M174&gt;=$AD$2)*(L174&gt;=$AH$2)) + ((M174&lt;$AD$2)*(M174&gt;=$AE$2)*(L174&gt;=$AG$2)) + ((M174&lt;$AE$2)*(M174&gt;=$AC$2)*(L174&gt;=0))) * IF($AI$2=0, 1, AI174&lt;=$AI$2) * IF($AK$2=0, 1, AK174&lt;=$AK$2) * AND(N174&gt;=$D$1, H174&lt;=$I$2, G174&gt;=$H$2)))</f>
        <v/>
      </c>
      <c r="AF174">
        <f>IF(AE174&gt;0, 1, 0)</f>
        <v/>
      </c>
      <c r="AG174">
        <f>IFERROR(IF(ISNUMBER(W174), IF(AN174, N174*W174*$AN$2, N174*W174), NA()), NA())</f>
        <v/>
      </c>
      <c r="AH174" s="13">
        <f>IFERROR(MIN(AG174, $U$2), 0)</f>
        <v/>
      </c>
      <c r="AI174" s="14">
        <f>IFERROR(VLOOKUP(A174, KEEPA!$A:$AW, 26, FALSE), 0)</f>
        <v/>
      </c>
      <c r="AJ174" s="16">
        <f>IFERROR(IF(AI174=0, 0, (AI174-H174)/H174), 0)</f>
        <v/>
      </c>
      <c r="AK174" s="14">
        <f>IFERROR(VLOOKUP(A174, KEEPA!$A:$AW, 28, FALSE), 0)</f>
        <v/>
      </c>
      <c r="AL174" s="16">
        <f>IFERROR(IF(AK174=0, 0, (AK174-H174)/H174), 0)</f>
        <v/>
      </c>
      <c r="AM174" s="13">
        <f>IFERROR(VLOOKUP(A174, AZInsight_Data!$A:$AS, 34, FALSE), 0)</f>
        <v/>
      </c>
      <c r="AN174">
        <f>IFERROR(AND(VLOOKUP(A174, KEEPA!$A:$AW, 2, FALSE)&lt;=$AO$2, N174 &gt;= $AM$2), FALSE)</f>
        <v/>
      </c>
      <c r="AO174" s="16">
        <f>IFERROR(VLOOKUP(A174, KEEPA!$A:$AW, 24, FALSE), 0)</f>
        <v/>
      </c>
      <c r="AP174" s="16">
        <f>IFERROR(VLOOKUP(A174, KEEPA!$A:$AW, 48, FALSE), 0)</f>
        <v/>
      </c>
      <c r="AQ174">
        <f>IFERROR(VLOOKUP(A174, AZInsight_Data!$A:$AS, 5, FALSE), "SL")</f>
        <v/>
      </c>
      <c r="AR174">
        <f>IF(OR(A174="", A174=0), "", HYPERLINK("https://keepa.com/#!product/1-"&amp;A174, "Keepa"))</f>
        <v/>
      </c>
      <c r="AS174">
        <f>IF(OR(A174="", A174=0), "", HYPERLINK("https://www.amazon.com/dp/"&amp;A174, "Amazon"))</f>
        <v/>
      </c>
      <c r="AT174">
        <f>IF(OR(A174="", A174=0), "", HYPERLINK("https://sellercentral.amazon.com/product-search/search?q="&amp;A174, "Check Gated"))</f>
        <v/>
      </c>
      <c r="AU174" s="12" t="n"/>
      <c r="AV174" s="12" t="n"/>
      <c r="AW174" s="12" t="n"/>
    </row>
    <row r="175">
      <c r="A175" s="12" t="n"/>
      <c r="B175" s="12">
        <f>IFERROR(VLOOKUP(A175, AZInsight_Data!$A:$AS, 3, FALSE), "")</f>
        <v/>
      </c>
      <c r="C175" s="13">
        <f>IFERROR(VLOOKUP(A175, AZInsight_Data!$A:$AS, 9, FALSE), 0)</f>
        <v/>
      </c>
      <c r="D175">
        <f>IFERROR(VLOOKUP(A175, AZInsight_Data!$A:$AS, 17, FALSE), 0)</f>
        <v/>
      </c>
      <c r="E175">
        <f>IFERROR(VLOOKUP(A175, AZInsight_Data!$A:$AS, 18, FALSE), 0)</f>
        <v/>
      </c>
      <c r="F175" s="14">
        <f>IFERROR(VLOOKUP(A175, AZInsight_Data!$A:$AS, 7, FALSE), 0)</f>
        <v/>
      </c>
      <c r="G175" s="15">
        <f>IFERROR(VLOOKUP(A175, AZInsight_Data!$A:$AS, 14, FALSE), 0)</f>
        <v/>
      </c>
      <c r="H175" s="14">
        <f>IFERROR(VLOOKUP(A175, AZInsight_Data!$A:$AS, 8, FALSE), 0)</f>
        <v/>
      </c>
      <c r="I175" s="16">
        <f>IFERROR(VLOOKUP(A175, KEEPA!$A:$AW, 47, FALSE), 0)</f>
        <v/>
      </c>
      <c r="J175">
        <f>IFERROR(VLOOKUP(A175, AZInsight_Data!$A:$AS, 25, FALSE), 0)</f>
        <v/>
      </c>
      <c r="K175" s="15">
        <f>IFERROR(VLOOKUP(A175, AZInsight_Data!$A:$AS, 16, FALSE), 0)</f>
        <v/>
      </c>
      <c r="L175" s="15">
        <f>IFERROR(K175-T175-J175, 0)</f>
        <v/>
      </c>
      <c r="M175" s="16">
        <f>IFERROR(IF(T175=0, 0, L175/T175), 0)</f>
        <v/>
      </c>
      <c r="N175" s="14">
        <f>IFERROR(C175*($V$2/30), 0)</f>
        <v/>
      </c>
      <c r="O175">
        <f>IFERROR(VLOOKUP(A175, AZInsight_Data!$A:$AS, 40, FALSE), 1)</f>
        <v/>
      </c>
      <c r="P175" s="13">
        <f>IF(O175&gt;0, O175, 1)</f>
        <v/>
      </c>
      <c r="Q175" s="13">
        <f>IFERROR(U175/P175, 0)</f>
        <v/>
      </c>
      <c r="R175">
        <f>IFERROR(VLOOKUP(A175, AZInsight_Data!$A:$AS, 36, FALSE), "")</f>
        <v/>
      </c>
      <c r="S175">
        <f>IFERROR(VLOOKUP(A175, AZInsight_Data!$A:$AS, 3, FALSE), "")</f>
        <v/>
      </c>
      <c r="T175" s="17">
        <f>IFERROR(VLOOKUP(A175, AZInsight_Data!$A:$AS, 13, FALSE), 0)</f>
        <v/>
      </c>
      <c r="U175" s="13">
        <f>AH175</f>
        <v/>
      </c>
      <c r="V175" s="15">
        <f>T175*U175</f>
        <v/>
      </c>
      <c r="W175" s="16" t="n"/>
      <c r="X175" s="12">
        <f>IFERROR(VLOOKUP(A175, AZInsight_Data!$A:$AS, 40, FALSE), 1)</f>
        <v/>
      </c>
      <c r="Y175" s="13">
        <f>IFERROR(VLOOKUP(A175, IP Qty!$D:$R, 5, FALSE), 0)</f>
        <v/>
      </c>
      <c r="Z175" s="14">
        <f>IFERROR(VLOOKUP(A175, IP Qty!$D:$R, 6, FALSE), 0)</f>
        <v/>
      </c>
      <c r="AA175">
        <f>IFERROR(VLOOKUP(A175, IP Qty!$D:$R, 7, FALSE), 0)</f>
        <v/>
      </c>
      <c r="AB175">
        <f>IFERROR(VLOOKUP(A175, IP Qty!$D:$R, 9, FALSE), 0)</f>
        <v/>
      </c>
      <c r="AC175">
        <f>IFERROR(VLOOKUP(A175, IP Qty!$D:$R, 8, FALSE), 0)</f>
        <v/>
      </c>
      <c r="AD175" s="14">
        <f>IFERROR(VLOOKUP(A175, KEEPA!$A:$AW, 34, FALSE), 0)</f>
        <v/>
      </c>
      <c r="AE175" s="15">
        <f>IF(P175&gt;1, ((((M175&gt;=$AD$2)*(L175&gt;=$AH$2)) + ((M175&lt;$AD$2)*(M175&gt;=$AE$2)*(L175&gt;=$AG$2)) + ((M175&lt;$AE$2)*(M175&gt;=$AC$2)*(L175&gt;=0)))*2 * IF($AI$2=0, 1, AI175&lt;=$AI$2) * IF($AK$2=0, 1, AK175&lt;=$AK$2) * AND(N175&gt;=$D$1, H175&lt;=$I$2, G175&gt;=$H$2)), ((((M175&gt;=$AD$2)*(L175&gt;=$AH$2)) + ((M175&lt;$AD$2)*(M175&gt;=$AE$2)*(L175&gt;=$AG$2)) + ((M175&lt;$AE$2)*(M175&gt;=$AC$2)*(L175&gt;=0))) * IF($AI$2=0, 1, AI175&lt;=$AI$2) * IF($AK$2=0, 1, AK175&lt;=$AK$2) * AND(N175&gt;=$D$1, H175&lt;=$I$2, G175&gt;=$H$2)))</f>
        <v/>
      </c>
      <c r="AF175">
        <f>IF(AE175&gt;0, 1, 0)</f>
        <v/>
      </c>
      <c r="AG175">
        <f>IFERROR(IF(ISNUMBER(W175), IF(AN175, N175*W175*$AN$2, N175*W175), NA()), NA())</f>
        <v/>
      </c>
      <c r="AH175" s="13">
        <f>IFERROR(MIN(AG175, $U$2), 0)</f>
        <v/>
      </c>
      <c r="AI175" s="14">
        <f>IFERROR(VLOOKUP(A175, KEEPA!$A:$AW, 26, FALSE), 0)</f>
        <v/>
      </c>
      <c r="AJ175" s="16">
        <f>IFERROR(IF(AI175=0, 0, (AI175-H175)/H175), 0)</f>
        <v/>
      </c>
      <c r="AK175" s="14">
        <f>IFERROR(VLOOKUP(A175, KEEPA!$A:$AW, 28, FALSE), 0)</f>
        <v/>
      </c>
      <c r="AL175" s="16">
        <f>IFERROR(IF(AK175=0, 0, (AK175-H175)/H175), 0)</f>
        <v/>
      </c>
      <c r="AM175" s="13">
        <f>IFERROR(VLOOKUP(A175, AZInsight_Data!$A:$AS, 34, FALSE), 0)</f>
        <v/>
      </c>
      <c r="AN175">
        <f>IFERROR(AND(VLOOKUP(A175, KEEPA!$A:$AW, 2, FALSE)&lt;=$AO$2, N175 &gt;= $AM$2), FALSE)</f>
        <v/>
      </c>
      <c r="AO175" s="16">
        <f>IFERROR(VLOOKUP(A175, KEEPA!$A:$AW, 24, FALSE), 0)</f>
        <v/>
      </c>
      <c r="AP175" s="16">
        <f>IFERROR(VLOOKUP(A175, KEEPA!$A:$AW, 48, FALSE), 0)</f>
        <v/>
      </c>
      <c r="AQ175">
        <f>IFERROR(VLOOKUP(A175, AZInsight_Data!$A:$AS, 5, FALSE), "SL")</f>
        <v/>
      </c>
      <c r="AR175">
        <f>IF(OR(A175="", A175=0), "", HYPERLINK("https://keepa.com/#!product/1-"&amp;A175, "Keepa"))</f>
        <v/>
      </c>
      <c r="AS175">
        <f>IF(OR(A175="", A175=0), "", HYPERLINK("https://www.amazon.com/dp/"&amp;A175, "Amazon"))</f>
        <v/>
      </c>
      <c r="AT175">
        <f>IF(OR(A175="", A175=0), "", HYPERLINK("https://sellercentral.amazon.com/product-search/search?q="&amp;A175, "Check Gated"))</f>
        <v/>
      </c>
      <c r="AU175" s="12" t="n"/>
      <c r="AV175" s="12" t="n"/>
      <c r="AW175" s="12" t="n"/>
    </row>
    <row r="176">
      <c r="A176" s="12" t="n"/>
      <c r="B176" s="12">
        <f>IFERROR(VLOOKUP(A176, AZInsight_Data!$A:$AS, 3, FALSE), "")</f>
        <v/>
      </c>
      <c r="C176" s="13">
        <f>IFERROR(VLOOKUP(A176, AZInsight_Data!$A:$AS, 9, FALSE), 0)</f>
        <v/>
      </c>
      <c r="D176">
        <f>IFERROR(VLOOKUP(A176, AZInsight_Data!$A:$AS, 17, FALSE), 0)</f>
        <v/>
      </c>
      <c r="E176">
        <f>IFERROR(VLOOKUP(A176, AZInsight_Data!$A:$AS, 18, FALSE), 0)</f>
        <v/>
      </c>
      <c r="F176" s="14">
        <f>IFERROR(VLOOKUP(A176, AZInsight_Data!$A:$AS, 7, FALSE), 0)</f>
        <v/>
      </c>
      <c r="G176" s="15">
        <f>IFERROR(VLOOKUP(A176, AZInsight_Data!$A:$AS, 14, FALSE), 0)</f>
        <v/>
      </c>
      <c r="H176" s="14">
        <f>IFERROR(VLOOKUP(A176, AZInsight_Data!$A:$AS, 8, FALSE), 0)</f>
        <v/>
      </c>
      <c r="I176" s="16">
        <f>IFERROR(VLOOKUP(A176, KEEPA!$A:$AW, 47, FALSE), 0)</f>
        <v/>
      </c>
      <c r="J176">
        <f>IFERROR(VLOOKUP(A176, AZInsight_Data!$A:$AS, 25, FALSE), 0)</f>
        <v/>
      </c>
      <c r="K176" s="15">
        <f>IFERROR(VLOOKUP(A176, AZInsight_Data!$A:$AS, 16, FALSE), 0)</f>
        <v/>
      </c>
      <c r="L176" s="15">
        <f>IFERROR(K176-T176-J176, 0)</f>
        <v/>
      </c>
      <c r="M176" s="16">
        <f>IFERROR(IF(T176=0, 0, L176/T176), 0)</f>
        <v/>
      </c>
      <c r="N176" s="14">
        <f>IFERROR(C176*($V$2/30), 0)</f>
        <v/>
      </c>
      <c r="O176">
        <f>IFERROR(VLOOKUP(A176, AZInsight_Data!$A:$AS, 40, FALSE), 1)</f>
        <v/>
      </c>
      <c r="P176" s="13">
        <f>IF(O176&gt;0, O176, 1)</f>
        <v/>
      </c>
      <c r="Q176" s="13">
        <f>IFERROR(U176/P176, 0)</f>
        <v/>
      </c>
      <c r="R176">
        <f>IFERROR(VLOOKUP(A176, AZInsight_Data!$A:$AS, 36, FALSE), "")</f>
        <v/>
      </c>
      <c r="S176">
        <f>IFERROR(VLOOKUP(A176, AZInsight_Data!$A:$AS, 3, FALSE), "")</f>
        <v/>
      </c>
      <c r="T176" s="17">
        <f>IFERROR(VLOOKUP(A176, AZInsight_Data!$A:$AS, 13, FALSE), 0)</f>
        <v/>
      </c>
      <c r="U176" s="13">
        <f>AH176</f>
        <v/>
      </c>
      <c r="V176" s="15">
        <f>T176*U176</f>
        <v/>
      </c>
      <c r="W176" s="16" t="n"/>
      <c r="X176" s="12">
        <f>IFERROR(VLOOKUP(A176, AZInsight_Data!$A:$AS, 40, FALSE), 1)</f>
        <v/>
      </c>
      <c r="Y176" s="13">
        <f>IFERROR(VLOOKUP(A176, IP Qty!$D:$R, 5, FALSE), 0)</f>
        <v/>
      </c>
      <c r="Z176" s="14">
        <f>IFERROR(VLOOKUP(A176, IP Qty!$D:$R, 6, FALSE), 0)</f>
        <v/>
      </c>
      <c r="AA176">
        <f>IFERROR(VLOOKUP(A176, IP Qty!$D:$R, 7, FALSE), 0)</f>
        <v/>
      </c>
      <c r="AB176">
        <f>IFERROR(VLOOKUP(A176, IP Qty!$D:$R, 9, FALSE), 0)</f>
        <v/>
      </c>
      <c r="AC176">
        <f>IFERROR(VLOOKUP(A176, IP Qty!$D:$R, 8, FALSE), 0)</f>
        <v/>
      </c>
      <c r="AD176" s="14">
        <f>IFERROR(VLOOKUP(A176, KEEPA!$A:$AW, 34, FALSE), 0)</f>
        <v/>
      </c>
      <c r="AE176" s="15">
        <f>IF(P176&gt;1, ((((M176&gt;=$AD$2)*(L176&gt;=$AH$2)) + ((M176&lt;$AD$2)*(M176&gt;=$AE$2)*(L176&gt;=$AG$2)) + ((M176&lt;$AE$2)*(M176&gt;=$AC$2)*(L176&gt;=0)))*2 * IF($AI$2=0, 1, AI176&lt;=$AI$2) * IF($AK$2=0, 1, AK176&lt;=$AK$2) * AND(N176&gt;=$D$1, H176&lt;=$I$2, G176&gt;=$H$2)), ((((M176&gt;=$AD$2)*(L176&gt;=$AH$2)) + ((M176&lt;$AD$2)*(M176&gt;=$AE$2)*(L176&gt;=$AG$2)) + ((M176&lt;$AE$2)*(M176&gt;=$AC$2)*(L176&gt;=0))) * IF($AI$2=0, 1, AI176&lt;=$AI$2) * IF($AK$2=0, 1, AK176&lt;=$AK$2) * AND(N176&gt;=$D$1, H176&lt;=$I$2, G176&gt;=$H$2)))</f>
        <v/>
      </c>
      <c r="AF176">
        <f>IF(AE176&gt;0, 1, 0)</f>
        <v/>
      </c>
      <c r="AG176">
        <f>IFERROR(IF(ISNUMBER(W176), IF(AN176, N176*W176*$AN$2, N176*W176), NA()), NA())</f>
        <v/>
      </c>
      <c r="AH176" s="13">
        <f>IFERROR(MIN(AG176, $U$2), 0)</f>
        <v/>
      </c>
      <c r="AI176" s="14">
        <f>IFERROR(VLOOKUP(A176, KEEPA!$A:$AW, 26, FALSE), 0)</f>
        <v/>
      </c>
      <c r="AJ176" s="16">
        <f>IFERROR(IF(AI176=0, 0, (AI176-H176)/H176), 0)</f>
        <v/>
      </c>
      <c r="AK176" s="14">
        <f>IFERROR(VLOOKUP(A176, KEEPA!$A:$AW, 28, FALSE), 0)</f>
        <v/>
      </c>
      <c r="AL176" s="16">
        <f>IFERROR(IF(AK176=0, 0, (AK176-H176)/H176), 0)</f>
        <v/>
      </c>
      <c r="AM176" s="13">
        <f>IFERROR(VLOOKUP(A176, AZInsight_Data!$A:$AS, 34, FALSE), 0)</f>
        <v/>
      </c>
      <c r="AN176">
        <f>IFERROR(AND(VLOOKUP(A176, KEEPA!$A:$AW, 2, FALSE)&lt;=$AO$2, N176 &gt;= $AM$2), FALSE)</f>
        <v/>
      </c>
      <c r="AO176" s="16">
        <f>IFERROR(VLOOKUP(A176, KEEPA!$A:$AW, 24, FALSE), 0)</f>
        <v/>
      </c>
      <c r="AP176" s="16">
        <f>IFERROR(VLOOKUP(A176, KEEPA!$A:$AW, 48, FALSE), 0)</f>
        <v/>
      </c>
      <c r="AQ176">
        <f>IFERROR(VLOOKUP(A176, AZInsight_Data!$A:$AS, 5, FALSE), "SL")</f>
        <v/>
      </c>
      <c r="AR176">
        <f>IF(OR(A176="", A176=0), "", HYPERLINK("https://keepa.com/#!product/1-"&amp;A176, "Keepa"))</f>
        <v/>
      </c>
      <c r="AS176">
        <f>IF(OR(A176="", A176=0), "", HYPERLINK("https://www.amazon.com/dp/"&amp;A176, "Amazon"))</f>
        <v/>
      </c>
      <c r="AT176">
        <f>IF(OR(A176="", A176=0), "", HYPERLINK("https://sellercentral.amazon.com/product-search/search?q="&amp;A176, "Check Gated"))</f>
        <v/>
      </c>
      <c r="AU176" s="12" t="n"/>
      <c r="AV176" s="12" t="n"/>
      <c r="AW176" s="12" t="n"/>
    </row>
    <row r="177">
      <c r="A177" s="12" t="n"/>
      <c r="B177" s="12">
        <f>IFERROR(VLOOKUP(A177, AZInsight_Data!$A:$AS, 3, FALSE), "")</f>
        <v/>
      </c>
      <c r="C177" s="13">
        <f>IFERROR(VLOOKUP(A177, AZInsight_Data!$A:$AS, 9, FALSE), 0)</f>
        <v/>
      </c>
      <c r="D177">
        <f>IFERROR(VLOOKUP(A177, AZInsight_Data!$A:$AS, 17, FALSE), 0)</f>
        <v/>
      </c>
      <c r="E177">
        <f>IFERROR(VLOOKUP(A177, AZInsight_Data!$A:$AS, 18, FALSE), 0)</f>
        <v/>
      </c>
      <c r="F177" s="14">
        <f>IFERROR(VLOOKUP(A177, AZInsight_Data!$A:$AS, 7, FALSE), 0)</f>
        <v/>
      </c>
      <c r="G177" s="15">
        <f>IFERROR(VLOOKUP(A177, AZInsight_Data!$A:$AS, 14, FALSE), 0)</f>
        <v/>
      </c>
      <c r="H177" s="14">
        <f>IFERROR(VLOOKUP(A177, AZInsight_Data!$A:$AS, 8, FALSE), 0)</f>
        <v/>
      </c>
      <c r="I177" s="16">
        <f>IFERROR(VLOOKUP(A177, KEEPA!$A:$AW, 47, FALSE), 0)</f>
        <v/>
      </c>
      <c r="J177">
        <f>IFERROR(VLOOKUP(A177, AZInsight_Data!$A:$AS, 25, FALSE), 0)</f>
        <v/>
      </c>
      <c r="K177" s="15">
        <f>IFERROR(VLOOKUP(A177, AZInsight_Data!$A:$AS, 16, FALSE), 0)</f>
        <v/>
      </c>
      <c r="L177" s="15">
        <f>IFERROR(K177-T177-J177, 0)</f>
        <v/>
      </c>
      <c r="M177" s="16">
        <f>IFERROR(IF(T177=0, 0, L177/T177), 0)</f>
        <v/>
      </c>
      <c r="N177" s="14">
        <f>IFERROR(C177*($V$2/30), 0)</f>
        <v/>
      </c>
      <c r="O177">
        <f>IFERROR(VLOOKUP(A177, AZInsight_Data!$A:$AS, 40, FALSE), 1)</f>
        <v/>
      </c>
      <c r="P177" s="13">
        <f>IF(O177&gt;0, O177, 1)</f>
        <v/>
      </c>
      <c r="Q177" s="13">
        <f>IFERROR(U177/P177, 0)</f>
        <v/>
      </c>
      <c r="R177">
        <f>IFERROR(VLOOKUP(A177, AZInsight_Data!$A:$AS, 36, FALSE), "")</f>
        <v/>
      </c>
      <c r="S177">
        <f>IFERROR(VLOOKUP(A177, AZInsight_Data!$A:$AS, 3, FALSE), "")</f>
        <v/>
      </c>
      <c r="T177" s="17">
        <f>IFERROR(VLOOKUP(A177, AZInsight_Data!$A:$AS, 13, FALSE), 0)</f>
        <v/>
      </c>
      <c r="U177" s="13">
        <f>AH177</f>
        <v/>
      </c>
      <c r="V177" s="15">
        <f>T177*U177</f>
        <v/>
      </c>
      <c r="W177" s="16" t="n"/>
      <c r="X177" s="12">
        <f>IFERROR(VLOOKUP(A177, AZInsight_Data!$A:$AS, 40, FALSE), 1)</f>
        <v/>
      </c>
      <c r="Y177" s="13">
        <f>IFERROR(VLOOKUP(A177, IP Qty!$D:$R, 5, FALSE), 0)</f>
        <v/>
      </c>
      <c r="Z177" s="14">
        <f>IFERROR(VLOOKUP(A177, IP Qty!$D:$R, 6, FALSE), 0)</f>
        <v/>
      </c>
      <c r="AA177">
        <f>IFERROR(VLOOKUP(A177, IP Qty!$D:$R, 7, FALSE), 0)</f>
        <v/>
      </c>
      <c r="AB177">
        <f>IFERROR(VLOOKUP(A177, IP Qty!$D:$R, 9, FALSE), 0)</f>
        <v/>
      </c>
      <c r="AC177">
        <f>IFERROR(VLOOKUP(A177, IP Qty!$D:$R, 8, FALSE), 0)</f>
        <v/>
      </c>
      <c r="AD177" s="14">
        <f>IFERROR(VLOOKUP(A177, KEEPA!$A:$AW, 34, FALSE), 0)</f>
        <v/>
      </c>
      <c r="AE177" s="15">
        <f>IF(P177&gt;1, ((((M177&gt;=$AD$2)*(L177&gt;=$AH$2)) + ((M177&lt;$AD$2)*(M177&gt;=$AE$2)*(L177&gt;=$AG$2)) + ((M177&lt;$AE$2)*(M177&gt;=$AC$2)*(L177&gt;=0)))*2 * IF($AI$2=0, 1, AI177&lt;=$AI$2) * IF($AK$2=0, 1, AK177&lt;=$AK$2) * AND(N177&gt;=$D$1, H177&lt;=$I$2, G177&gt;=$H$2)), ((((M177&gt;=$AD$2)*(L177&gt;=$AH$2)) + ((M177&lt;$AD$2)*(M177&gt;=$AE$2)*(L177&gt;=$AG$2)) + ((M177&lt;$AE$2)*(M177&gt;=$AC$2)*(L177&gt;=0))) * IF($AI$2=0, 1, AI177&lt;=$AI$2) * IF($AK$2=0, 1, AK177&lt;=$AK$2) * AND(N177&gt;=$D$1, H177&lt;=$I$2, G177&gt;=$H$2)))</f>
        <v/>
      </c>
      <c r="AF177">
        <f>IF(AE177&gt;0, 1, 0)</f>
        <v/>
      </c>
      <c r="AG177">
        <f>IFERROR(IF(ISNUMBER(W177), IF(AN177, N177*W177*$AN$2, N177*W177), NA()), NA())</f>
        <v/>
      </c>
      <c r="AH177" s="13">
        <f>IFERROR(MIN(AG177, $U$2), 0)</f>
        <v/>
      </c>
      <c r="AI177" s="14">
        <f>IFERROR(VLOOKUP(A177, KEEPA!$A:$AW, 26, FALSE), 0)</f>
        <v/>
      </c>
      <c r="AJ177" s="16">
        <f>IFERROR(IF(AI177=0, 0, (AI177-H177)/H177), 0)</f>
        <v/>
      </c>
      <c r="AK177" s="14">
        <f>IFERROR(VLOOKUP(A177, KEEPA!$A:$AW, 28, FALSE), 0)</f>
        <v/>
      </c>
      <c r="AL177" s="16">
        <f>IFERROR(IF(AK177=0, 0, (AK177-H177)/H177), 0)</f>
        <v/>
      </c>
      <c r="AM177" s="13">
        <f>IFERROR(VLOOKUP(A177, AZInsight_Data!$A:$AS, 34, FALSE), 0)</f>
        <v/>
      </c>
      <c r="AN177">
        <f>IFERROR(AND(VLOOKUP(A177, KEEPA!$A:$AW, 2, FALSE)&lt;=$AO$2, N177 &gt;= $AM$2), FALSE)</f>
        <v/>
      </c>
      <c r="AO177" s="16">
        <f>IFERROR(VLOOKUP(A177, KEEPA!$A:$AW, 24, FALSE), 0)</f>
        <v/>
      </c>
      <c r="AP177" s="16">
        <f>IFERROR(VLOOKUP(A177, KEEPA!$A:$AW, 48, FALSE), 0)</f>
        <v/>
      </c>
      <c r="AQ177">
        <f>IFERROR(VLOOKUP(A177, AZInsight_Data!$A:$AS, 5, FALSE), "SL")</f>
        <v/>
      </c>
      <c r="AR177">
        <f>IF(OR(A177="", A177=0), "", HYPERLINK("https://keepa.com/#!product/1-"&amp;A177, "Keepa"))</f>
        <v/>
      </c>
      <c r="AS177">
        <f>IF(OR(A177="", A177=0), "", HYPERLINK("https://www.amazon.com/dp/"&amp;A177, "Amazon"))</f>
        <v/>
      </c>
      <c r="AT177">
        <f>IF(OR(A177="", A177=0), "", HYPERLINK("https://sellercentral.amazon.com/product-search/search?q="&amp;A177, "Check Gated"))</f>
        <v/>
      </c>
      <c r="AU177" s="12" t="n"/>
      <c r="AV177" s="12" t="n"/>
      <c r="AW177" s="12" t="n"/>
    </row>
    <row r="178">
      <c r="A178" s="12" t="n"/>
      <c r="B178" s="12">
        <f>IFERROR(VLOOKUP(A178, AZInsight_Data!$A:$AS, 3, FALSE), "")</f>
        <v/>
      </c>
      <c r="C178" s="13">
        <f>IFERROR(VLOOKUP(A178, AZInsight_Data!$A:$AS, 9, FALSE), 0)</f>
        <v/>
      </c>
      <c r="D178">
        <f>IFERROR(VLOOKUP(A178, AZInsight_Data!$A:$AS, 17, FALSE), 0)</f>
        <v/>
      </c>
      <c r="E178">
        <f>IFERROR(VLOOKUP(A178, AZInsight_Data!$A:$AS, 18, FALSE), 0)</f>
        <v/>
      </c>
      <c r="F178" s="14">
        <f>IFERROR(VLOOKUP(A178, AZInsight_Data!$A:$AS, 7, FALSE), 0)</f>
        <v/>
      </c>
      <c r="G178" s="15">
        <f>IFERROR(VLOOKUP(A178, AZInsight_Data!$A:$AS, 14, FALSE), 0)</f>
        <v/>
      </c>
      <c r="H178" s="14">
        <f>IFERROR(VLOOKUP(A178, AZInsight_Data!$A:$AS, 8, FALSE), 0)</f>
        <v/>
      </c>
      <c r="I178" s="16">
        <f>IFERROR(VLOOKUP(A178, KEEPA!$A:$AW, 47, FALSE), 0)</f>
        <v/>
      </c>
      <c r="J178">
        <f>IFERROR(VLOOKUP(A178, AZInsight_Data!$A:$AS, 25, FALSE), 0)</f>
        <v/>
      </c>
      <c r="K178" s="15">
        <f>IFERROR(VLOOKUP(A178, AZInsight_Data!$A:$AS, 16, FALSE), 0)</f>
        <v/>
      </c>
      <c r="L178" s="15">
        <f>IFERROR(K178-T178-J178, 0)</f>
        <v/>
      </c>
      <c r="M178" s="16">
        <f>IFERROR(IF(T178=0, 0, L178/T178), 0)</f>
        <v/>
      </c>
      <c r="N178" s="14">
        <f>IFERROR(C178*($V$2/30), 0)</f>
        <v/>
      </c>
      <c r="O178">
        <f>IFERROR(VLOOKUP(A178, AZInsight_Data!$A:$AS, 40, FALSE), 1)</f>
        <v/>
      </c>
      <c r="P178" s="13">
        <f>IF(O178&gt;0, O178, 1)</f>
        <v/>
      </c>
      <c r="Q178" s="13">
        <f>IFERROR(U178/P178, 0)</f>
        <v/>
      </c>
      <c r="R178">
        <f>IFERROR(VLOOKUP(A178, AZInsight_Data!$A:$AS, 36, FALSE), "")</f>
        <v/>
      </c>
      <c r="S178">
        <f>IFERROR(VLOOKUP(A178, AZInsight_Data!$A:$AS, 3, FALSE), "")</f>
        <v/>
      </c>
      <c r="T178" s="17">
        <f>IFERROR(VLOOKUP(A178, AZInsight_Data!$A:$AS, 13, FALSE), 0)</f>
        <v/>
      </c>
      <c r="U178" s="13">
        <f>AH178</f>
        <v/>
      </c>
      <c r="V178" s="15">
        <f>T178*U178</f>
        <v/>
      </c>
      <c r="W178" s="16" t="n"/>
      <c r="X178" s="12">
        <f>IFERROR(VLOOKUP(A178, AZInsight_Data!$A:$AS, 40, FALSE), 1)</f>
        <v/>
      </c>
      <c r="Y178" s="13">
        <f>IFERROR(VLOOKUP(A178, IP Qty!$D:$R, 5, FALSE), 0)</f>
        <v/>
      </c>
      <c r="Z178" s="14">
        <f>IFERROR(VLOOKUP(A178, IP Qty!$D:$R, 6, FALSE), 0)</f>
        <v/>
      </c>
      <c r="AA178">
        <f>IFERROR(VLOOKUP(A178, IP Qty!$D:$R, 7, FALSE), 0)</f>
        <v/>
      </c>
      <c r="AB178">
        <f>IFERROR(VLOOKUP(A178, IP Qty!$D:$R, 9, FALSE), 0)</f>
        <v/>
      </c>
      <c r="AC178">
        <f>IFERROR(VLOOKUP(A178, IP Qty!$D:$R, 8, FALSE), 0)</f>
        <v/>
      </c>
      <c r="AD178" s="14">
        <f>IFERROR(VLOOKUP(A178, KEEPA!$A:$AW, 34, FALSE), 0)</f>
        <v/>
      </c>
      <c r="AE178" s="15">
        <f>IF(P178&gt;1, ((((M178&gt;=$AD$2)*(L178&gt;=$AH$2)) + ((M178&lt;$AD$2)*(M178&gt;=$AE$2)*(L178&gt;=$AG$2)) + ((M178&lt;$AE$2)*(M178&gt;=$AC$2)*(L178&gt;=0)))*2 * IF($AI$2=0, 1, AI178&lt;=$AI$2) * IF($AK$2=0, 1, AK178&lt;=$AK$2) * AND(N178&gt;=$D$1, H178&lt;=$I$2, G178&gt;=$H$2)), ((((M178&gt;=$AD$2)*(L178&gt;=$AH$2)) + ((M178&lt;$AD$2)*(M178&gt;=$AE$2)*(L178&gt;=$AG$2)) + ((M178&lt;$AE$2)*(M178&gt;=$AC$2)*(L178&gt;=0))) * IF($AI$2=0, 1, AI178&lt;=$AI$2) * IF($AK$2=0, 1, AK178&lt;=$AK$2) * AND(N178&gt;=$D$1, H178&lt;=$I$2, G178&gt;=$H$2)))</f>
        <v/>
      </c>
      <c r="AF178">
        <f>IF(AE178&gt;0, 1, 0)</f>
        <v/>
      </c>
      <c r="AG178">
        <f>IFERROR(IF(ISNUMBER(W178), IF(AN178, N178*W178*$AN$2, N178*W178), NA()), NA())</f>
        <v/>
      </c>
      <c r="AH178" s="13">
        <f>IFERROR(MIN(AG178, $U$2), 0)</f>
        <v/>
      </c>
      <c r="AI178" s="14">
        <f>IFERROR(VLOOKUP(A178, KEEPA!$A:$AW, 26, FALSE), 0)</f>
        <v/>
      </c>
      <c r="AJ178" s="16">
        <f>IFERROR(IF(AI178=0, 0, (AI178-H178)/H178), 0)</f>
        <v/>
      </c>
      <c r="AK178" s="14">
        <f>IFERROR(VLOOKUP(A178, KEEPA!$A:$AW, 28, FALSE), 0)</f>
        <v/>
      </c>
      <c r="AL178" s="16">
        <f>IFERROR(IF(AK178=0, 0, (AK178-H178)/H178), 0)</f>
        <v/>
      </c>
      <c r="AM178" s="13">
        <f>IFERROR(VLOOKUP(A178, AZInsight_Data!$A:$AS, 34, FALSE), 0)</f>
        <v/>
      </c>
      <c r="AN178">
        <f>IFERROR(AND(VLOOKUP(A178, KEEPA!$A:$AW, 2, FALSE)&lt;=$AO$2, N178 &gt;= $AM$2), FALSE)</f>
        <v/>
      </c>
      <c r="AO178" s="16">
        <f>IFERROR(VLOOKUP(A178, KEEPA!$A:$AW, 24, FALSE), 0)</f>
        <v/>
      </c>
      <c r="AP178" s="16">
        <f>IFERROR(VLOOKUP(A178, KEEPA!$A:$AW, 48, FALSE), 0)</f>
        <v/>
      </c>
      <c r="AQ178">
        <f>IFERROR(VLOOKUP(A178, AZInsight_Data!$A:$AS, 5, FALSE), "SL")</f>
        <v/>
      </c>
      <c r="AR178">
        <f>IF(OR(A178="", A178=0), "", HYPERLINK("https://keepa.com/#!product/1-"&amp;A178, "Keepa"))</f>
        <v/>
      </c>
      <c r="AS178">
        <f>IF(OR(A178="", A178=0), "", HYPERLINK("https://www.amazon.com/dp/"&amp;A178, "Amazon"))</f>
        <v/>
      </c>
      <c r="AT178">
        <f>IF(OR(A178="", A178=0), "", HYPERLINK("https://sellercentral.amazon.com/product-search/search?q="&amp;A178, "Check Gated"))</f>
        <v/>
      </c>
      <c r="AU178" s="12" t="n"/>
      <c r="AV178" s="12" t="n"/>
      <c r="AW178" s="12" t="n"/>
    </row>
    <row r="179">
      <c r="A179" s="12" t="n"/>
      <c r="B179" s="12">
        <f>IFERROR(VLOOKUP(A179, AZInsight_Data!$A:$AS, 3, FALSE), "")</f>
        <v/>
      </c>
      <c r="C179" s="13">
        <f>IFERROR(VLOOKUP(A179, AZInsight_Data!$A:$AS, 9, FALSE), 0)</f>
        <v/>
      </c>
      <c r="D179">
        <f>IFERROR(VLOOKUP(A179, AZInsight_Data!$A:$AS, 17, FALSE), 0)</f>
        <v/>
      </c>
      <c r="E179">
        <f>IFERROR(VLOOKUP(A179, AZInsight_Data!$A:$AS, 18, FALSE), 0)</f>
        <v/>
      </c>
      <c r="F179" s="14">
        <f>IFERROR(VLOOKUP(A179, AZInsight_Data!$A:$AS, 7, FALSE), 0)</f>
        <v/>
      </c>
      <c r="G179" s="15">
        <f>IFERROR(VLOOKUP(A179, AZInsight_Data!$A:$AS, 14, FALSE), 0)</f>
        <v/>
      </c>
      <c r="H179" s="14">
        <f>IFERROR(VLOOKUP(A179, AZInsight_Data!$A:$AS, 8, FALSE), 0)</f>
        <v/>
      </c>
      <c r="I179" s="16">
        <f>IFERROR(VLOOKUP(A179, KEEPA!$A:$AW, 47, FALSE), 0)</f>
        <v/>
      </c>
      <c r="J179">
        <f>IFERROR(VLOOKUP(A179, AZInsight_Data!$A:$AS, 25, FALSE), 0)</f>
        <v/>
      </c>
      <c r="K179" s="15">
        <f>IFERROR(VLOOKUP(A179, AZInsight_Data!$A:$AS, 16, FALSE), 0)</f>
        <v/>
      </c>
      <c r="L179" s="15">
        <f>IFERROR(K179-T179-J179, 0)</f>
        <v/>
      </c>
      <c r="M179" s="16">
        <f>IFERROR(IF(T179=0, 0, L179/T179), 0)</f>
        <v/>
      </c>
      <c r="N179" s="14">
        <f>IFERROR(C179*($V$2/30), 0)</f>
        <v/>
      </c>
      <c r="O179">
        <f>IFERROR(VLOOKUP(A179, AZInsight_Data!$A:$AS, 40, FALSE), 1)</f>
        <v/>
      </c>
      <c r="P179" s="13">
        <f>IF(O179&gt;0, O179, 1)</f>
        <v/>
      </c>
      <c r="Q179" s="13">
        <f>IFERROR(U179/P179, 0)</f>
        <v/>
      </c>
      <c r="R179">
        <f>IFERROR(VLOOKUP(A179, AZInsight_Data!$A:$AS, 36, FALSE), "")</f>
        <v/>
      </c>
      <c r="S179">
        <f>IFERROR(VLOOKUP(A179, AZInsight_Data!$A:$AS, 3, FALSE), "")</f>
        <v/>
      </c>
      <c r="T179" s="17">
        <f>IFERROR(VLOOKUP(A179, AZInsight_Data!$A:$AS, 13, FALSE), 0)</f>
        <v/>
      </c>
      <c r="U179" s="13">
        <f>AH179</f>
        <v/>
      </c>
      <c r="V179" s="15">
        <f>T179*U179</f>
        <v/>
      </c>
      <c r="W179" s="16" t="n"/>
      <c r="X179" s="12">
        <f>IFERROR(VLOOKUP(A179, AZInsight_Data!$A:$AS, 40, FALSE), 1)</f>
        <v/>
      </c>
      <c r="Y179" s="13">
        <f>IFERROR(VLOOKUP(A179, IP Qty!$D:$R, 5, FALSE), 0)</f>
        <v/>
      </c>
      <c r="Z179" s="14">
        <f>IFERROR(VLOOKUP(A179, IP Qty!$D:$R, 6, FALSE), 0)</f>
        <v/>
      </c>
      <c r="AA179">
        <f>IFERROR(VLOOKUP(A179, IP Qty!$D:$R, 7, FALSE), 0)</f>
        <v/>
      </c>
      <c r="AB179">
        <f>IFERROR(VLOOKUP(A179, IP Qty!$D:$R, 9, FALSE), 0)</f>
        <v/>
      </c>
      <c r="AC179">
        <f>IFERROR(VLOOKUP(A179, IP Qty!$D:$R, 8, FALSE), 0)</f>
        <v/>
      </c>
      <c r="AD179" s="14">
        <f>IFERROR(VLOOKUP(A179, KEEPA!$A:$AW, 34, FALSE), 0)</f>
        <v/>
      </c>
      <c r="AE179" s="15">
        <f>IF(P179&gt;1, ((((M179&gt;=$AD$2)*(L179&gt;=$AH$2)) + ((M179&lt;$AD$2)*(M179&gt;=$AE$2)*(L179&gt;=$AG$2)) + ((M179&lt;$AE$2)*(M179&gt;=$AC$2)*(L179&gt;=0)))*2 * IF($AI$2=0, 1, AI179&lt;=$AI$2) * IF($AK$2=0, 1, AK179&lt;=$AK$2) * AND(N179&gt;=$D$1, H179&lt;=$I$2, G179&gt;=$H$2)), ((((M179&gt;=$AD$2)*(L179&gt;=$AH$2)) + ((M179&lt;$AD$2)*(M179&gt;=$AE$2)*(L179&gt;=$AG$2)) + ((M179&lt;$AE$2)*(M179&gt;=$AC$2)*(L179&gt;=0))) * IF($AI$2=0, 1, AI179&lt;=$AI$2) * IF($AK$2=0, 1, AK179&lt;=$AK$2) * AND(N179&gt;=$D$1, H179&lt;=$I$2, G179&gt;=$H$2)))</f>
        <v/>
      </c>
      <c r="AF179">
        <f>IF(AE179&gt;0, 1, 0)</f>
        <v/>
      </c>
      <c r="AG179">
        <f>IFERROR(IF(ISNUMBER(W179), IF(AN179, N179*W179*$AN$2, N179*W179), NA()), NA())</f>
        <v/>
      </c>
      <c r="AH179" s="13">
        <f>IFERROR(MIN(AG179, $U$2), 0)</f>
        <v/>
      </c>
      <c r="AI179" s="14">
        <f>IFERROR(VLOOKUP(A179, KEEPA!$A:$AW, 26, FALSE), 0)</f>
        <v/>
      </c>
      <c r="AJ179" s="16">
        <f>IFERROR(IF(AI179=0, 0, (AI179-H179)/H179), 0)</f>
        <v/>
      </c>
      <c r="AK179" s="14">
        <f>IFERROR(VLOOKUP(A179, KEEPA!$A:$AW, 28, FALSE), 0)</f>
        <v/>
      </c>
      <c r="AL179" s="16">
        <f>IFERROR(IF(AK179=0, 0, (AK179-H179)/H179), 0)</f>
        <v/>
      </c>
      <c r="AM179" s="13">
        <f>IFERROR(VLOOKUP(A179, AZInsight_Data!$A:$AS, 34, FALSE), 0)</f>
        <v/>
      </c>
      <c r="AN179">
        <f>IFERROR(AND(VLOOKUP(A179, KEEPA!$A:$AW, 2, FALSE)&lt;=$AO$2, N179 &gt;= $AM$2), FALSE)</f>
        <v/>
      </c>
      <c r="AO179" s="16">
        <f>IFERROR(VLOOKUP(A179, KEEPA!$A:$AW, 24, FALSE), 0)</f>
        <v/>
      </c>
      <c r="AP179" s="16">
        <f>IFERROR(VLOOKUP(A179, KEEPA!$A:$AW, 48, FALSE), 0)</f>
        <v/>
      </c>
      <c r="AQ179">
        <f>IFERROR(VLOOKUP(A179, AZInsight_Data!$A:$AS, 5, FALSE), "SL")</f>
        <v/>
      </c>
      <c r="AR179">
        <f>IF(OR(A179="", A179=0), "", HYPERLINK("https://keepa.com/#!product/1-"&amp;A179, "Keepa"))</f>
        <v/>
      </c>
      <c r="AS179">
        <f>IF(OR(A179="", A179=0), "", HYPERLINK("https://www.amazon.com/dp/"&amp;A179, "Amazon"))</f>
        <v/>
      </c>
      <c r="AT179">
        <f>IF(OR(A179="", A179=0), "", HYPERLINK("https://sellercentral.amazon.com/product-search/search?q="&amp;A179, "Check Gated"))</f>
        <v/>
      </c>
      <c r="AU179" s="12" t="n"/>
      <c r="AV179" s="12" t="n"/>
      <c r="AW179" s="12" t="n"/>
    </row>
    <row r="180">
      <c r="A180" s="12" t="n"/>
      <c r="B180" s="12">
        <f>IFERROR(VLOOKUP(A180, AZInsight_Data!$A:$AS, 3, FALSE), "")</f>
        <v/>
      </c>
      <c r="C180" s="13">
        <f>IFERROR(VLOOKUP(A180, AZInsight_Data!$A:$AS, 9, FALSE), 0)</f>
        <v/>
      </c>
      <c r="D180">
        <f>IFERROR(VLOOKUP(A180, AZInsight_Data!$A:$AS, 17, FALSE), 0)</f>
        <v/>
      </c>
      <c r="E180">
        <f>IFERROR(VLOOKUP(A180, AZInsight_Data!$A:$AS, 18, FALSE), 0)</f>
        <v/>
      </c>
      <c r="F180" s="14">
        <f>IFERROR(VLOOKUP(A180, AZInsight_Data!$A:$AS, 7, FALSE), 0)</f>
        <v/>
      </c>
      <c r="G180" s="15">
        <f>IFERROR(VLOOKUP(A180, AZInsight_Data!$A:$AS, 14, FALSE), 0)</f>
        <v/>
      </c>
      <c r="H180" s="14">
        <f>IFERROR(VLOOKUP(A180, AZInsight_Data!$A:$AS, 8, FALSE), 0)</f>
        <v/>
      </c>
      <c r="I180" s="16">
        <f>IFERROR(VLOOKUP(A180, KEEPA!$A:$AW, 47, FALSE), 0)</f>
        <v/>
      </c>
      <c r="J180">
        <f>IFERROR(VLOOKUP(A180, AZInsight_Data!$A:$AS, 25, FALSE), 0)</f>
        <v/>
      </c>
      <c r="K180" s="15">
        <f>IFERROR(VLOOKUP(A180, AZInsight_Data!$A:$AS, 16, FALSE), 0)</f>
        <v/>
      </c>
      <c r="L180" s="15">
        <f>IFERROR(K180-T180-J180, 0)</f>
        <v/>
      </c>
      <c r="M180" s="16">
        <f>IFERROR(IF(T180=0, 0, L180/T180), 0)</f>
        <v/>
      </c>
      <c r="N180" s="14">
        <f>IFERROR(C180*($V$2/30), 0)</f>
        <v/>
      </c>
      <c r="O180">
        <f>IFERROR(VLOOKUP(A180, AZInsight_Data!$A:$AS, 40, FALSE), 1)</f>
        <v/>
      </c>
      <c r="P180" s="13">
        <f>IF(O180&gt;0, O180, 1)</f>
        <v/>
      </c>
      <c r="Q180" s="13">
        <f>IFERROR(U180/P180, 0)</f>
        <v/>
      </c>
      <c r="R180">
        <f>IFERROR(VLOOKUP(A180, AZInsight_Data!$A:$AS, 36, FALSE), "")</f>
        <v/>
      </c>
      <c r="S180">
        <f>IFERROR(VLOOKUP(A180, AZInsight_Data!$A:$AS, 3, FALSE), "")</f>
        <v/>
      </c>
      <c r="T180" s="17">
        <f>IFERROR(VLOOKUP(A180, AZInsight_Data!$A:$AS, 13, FALSE), 0)</f>
        <v/>
      </c>
      <c r="U180" s="13">
        <f>AH180</f>
        <v/>
      </c>
      <c r="V180" s="15">
        <f>T180*U180</f>
        <v/>
      </c>
      <c r="W180" s="16" t="n"/>
      <c r="X180" s="12">
        <f>IFERROR(VLOOKUP(A180, AZInsight_Data!$A:$AS, 40, FALSE), 1)</f>
        <v/>
      </c>
      <c r="Y180" s="13">
        <f>IFERROR(VLOOKUP(A180, IP Qty!$D:$R, 5, FALSE), 0)</f>
        <v/>
      </c>
      <c r="Z180" s="14">
        <f>IFERROR(VLOOKUP(A180, IP Qty!$D:$R, 6, FALSE), 0)</f>
        <v/>
      </c>
      <c r="AA180">
        <f>IFERROR(VLOOKUP(A180, IP Qty!$D:$R, 7, FALSE), 0)</f>
        <v/>
      </c>
      <c r="AB180">
        <f>IFERROR(VLOOKUP(A180, IP Qty!$D:$R, 9, FALSE), 0)</f>
        <v/>
      </c>
      <c r="AC180">
        <f>IFERROR(VLOOKUP(A180, IP Qty!$D:$R, 8, FALSE), 0)</f>
        <v/>
      </c>
      <c r="AD180" s="14">
        <f>IFERROR(VLOOKUP(A180, KEEPA!$A:$AW, 34, FALSE), 0)</f>
        <v/>
      </c>
      <c r="AE180" s="15">
        <f>IF(P180&gt;1, ((((M180&gt;=$AD$2)*(L180&gt;=$AH$2)) + ((M180&lt;$AD$2)*(M180&gt;=$AE$2)*(L180&gt;=$AG$2)) + ((M180&lt;$AE$2)*(M180&gt;=$AC$2)*(L180&gt;=0)))*2 * IF($AI$2=0, 1, AI180&lt;=$AI$2) * IF($AK$2=0, 1, AK180&lt;=$AK$2) * AND(N180&gt;=$D$1, H180&lt;=$I$2, G180&gt;=$H$2)), ((((M180&gt;=$AD$2)*(L180&gt;=$AH$2)) + ((M180&lt;$AD$2)*(M180&gt;=$AE$2)*(L180&gt;=$AG$2)) + ((M180&lt;$AE$2)*(M180&gt;=$AC$2)*(L180&gt;=0))) * IF($AI$2=0, 1, AI180&lt;=$AI$2) * IF($AK$2=0, 1, AK180&lt;=$AK$2) * AND(N180&gt;=$D$1, H180&lt;=$I$2, G180&gt;=$H$2)))</f>
        <v/>
      </c>
      <c r="AF180">
        <f>IF(AE180&gt;0, 1, 0)</f>
        <v/>
      </c>
      <c r="AG180">
        <f>IFERROR(IF(ISNUMBER(W180), IF(AN180, N180*W180*$AN$2, N180*W180), NA()), NA())</f>
        <v/>
      </c>
      <c r="AH180" s="13">
        <f>IFERROR(MIN(AG180, $U$2), 0)</f>
        <v/>
      </c>
      <c r="AI180" s="14">
        <f>IFERROR(VLOOKUP(A180, KEEPA!$A:$AW, 26, FALSE), 0)</f>
        <v/>
      </c>
      <c r="AJ180" s="16">
        <f>IFERROR(IF(AI180=0, 0, (AI180-H180)/H180), 0)</f>
        <v/>
      </c>
      <c r="AK180" s="14">
        <f>IFERROR(VLOOKUP(A180, KEEPA!$A:$AW, 28, FALSE), 0)</f>
        <v/>
      </c>
      <c r="AL180" s="16">
        <f>IFERROR(IF(AK180=0, 0, (AK180-H180)/H180), 0)</f>
        <v/>
      </c>
      <c r="AM180" s="13">
        <f>IFERROR(VLOOKUP(A180, AZInsight_Data!$A:$AS, 34, FALSE), 0)</f>
        <v/>
      </c>
      <c r="AN180">
        <f>IFERROR(AND(VLOOKUP(A180, KEEPA!$A:$AW, 2, FALSE)&lt;=$AO$2, N180 &gt;= $AM$2), FALSE)</f>
        <v/>
      </c>
      <c r="AO180" s="16">
        <f>IFERROR(VLOOKUP(A180, KEEPA!$A:$AW, 24, FALSE), 0)</f>
        <v/>
      </c>
      <c r="AP180" s="16">
        <f>IFERROR(VLOOKUP(A180, KEEPA!$A:$AW, 48, FALSE), 0)</f>
        <v/>
      </c>
      <c r="AQ180">
        <f>IFERROR(VLOOKUP(A180, AZInsight_Data!$A:$AS, 5, FALSE), "SL")</f>
        <v/>
      </c>
      <c r="AR180">
        <f>IF(OR(A180="", A180=0), "", HYPERLINK("https://keepa.com/#!product/1-"&amp;A180, "Keepa"))</f>
        <v/>
      </c>
      <c r="AS180">
        <f>IF(OR(A180="", A180=0), "", HYPERLINK("https://www.amazon.com/dp/"&amp;A180, "Amazon"))</f>
        <v/>
      </c>
      <c r="AT180">
        <f>IF(OR(A180="", A180=0), "", HYPERLINK("https://sellercentral.amazon.com/product-search/search?q="&amp;A180, "Check Gated"))</f>
        <v/>
      </c>
      <c r="AU180" s="12" t="n"/>
      <c r="AV180" s="12" t="n"/>
      <c r="AW180" s="12" t="n"/>
    </row>
    <row r="181">
      <c r="A181" s="12" t="n"/>
      <c r="B181" s="12">
        <f>IFERROR(VLOOKUP(A181, AZInsight_Data!$A:$AS, 3, FALSE), "")</f>
        <v/>
      </c>
      <c r="C181" s="13">
        <f>IFERROR(VLOOKUP(A181, AZInsight_Data!$A:$AS, 9, FALSE), 0)</f>
        <v/>
      </c>
      <c r="D181">
        <f>IFERROR(VLOOKUP(A181, AZInsight_Data!$A:$AS, 17, FALSE), 0)</f>
        <v/>
      </c>
      <c r="E181">
        <f>IFERROR(VLOOKUP(A181, AZInsight_Data!$A:$AS, 18, FALSE), 0)</f>
        <v/>
      </c>
      <c r="F181" s="14">
        <f>IFERROR(VLOOKUP(A181, AZInsight_Data!$A:$AS, 7, FALSE), 0)</f>
        <v/>
      </c>
      <c r="G181" s="15">
        <f>IFERROR(VLOOKUP(A181, AZInsight_Data!$A:$AS, 14, FALSE), 0)</f>
        <v/>
      </c>
      <c r="H181" s="14">
        <f>IFERROR(VLOOKUP(A181, AZInsight_Data!$A:$AS, 8, FALSE), 0)</f>
        <v/>
      </c>
      <c r="I181" s="16">
        <f>IFERROR(VLOOKUP(A181, KEEPA!$A:$AW, 47, FALSE), 0)</f>
        <v/>
      </c>
      <c r="J181">
        <f>IFERROR(VLOOKUP(A181, AZInsight_Data!$A:$AS, 25, FALSE), 0)</f>
        <v/>
      </c>
      <c r="K181" s="15">
        <f>IFERROR(VLOOKUP(A181, AZInsight_Data!$A:$AS, 16, FALSE), 0)</f>
        <v/>
      </c>
      <c r="L181" s="15">
        <f>IFERROR(K181-T181-J181, 0)</f>
        <v/>
      </c>
      <c r="M181" s="16">
        <f>IFERROR(IF(T181=0, 0, L181/T181), 0)</f>
        <v/>
      </c>
      <c r="N181" s="14">
        <f>IFERROR(C181*($V$2/30), 0)</f>
        <v/>
      </c>
      <c r="O181">
        <f>IFERROR(VLOOKUP(A181, AZInsight_Data!$A:$AS, 40, FALSE), 1)</f>
        <v/>
      </c>
      <c r="P181" s="13">
        <f>IF(O181&gt;0, O181, 1)</f>
        <v/>
      </c>
      <c r="Q181" s="13">
        <f>IFERROR(U181/P181, 0)</f>
        <v/>
      </c>
      <c r="R181">
        <f>IFERROR(VLOOKUP(A181, AZInsight_Data!$A:$AS, 36, FALSE), "")</f>
        <v/>
      </c>
      <c r="S181">
        <f>IFERROR(VLOOKUP(A181, AZInsight_Data!$A:$AS, 3, FALSE), "")</f>
        <v/>
      </c>
      <c r="T181" s="17">
        <f>IFERROR(VLOOKUP(A181, AZInsight_Data!$A:$AS, 13, FALSE), 0)</f>
        <v/>
      </c>
      <c r="U181" s="13">
        <f>AH181</f>
        <v/>
      </c>
      <c r="V181" s="15">
        <f>T181*U181</f>
        <v/>
      </c>
      <c r="W181" s="16" t="n"/>
      <c r="X181" s="12">
        <f>IFERROR(VLOOKUP(A181, AZInsight_Data!$A:$AS, 40, FALSE), 1)</f>
        <v/>
      </c>
      <c r="Y181" s="13">
        <f>IFERROR(VLOOKUP(A181, IP Qty!$D:$R, 5, FALSE), 0)</f>
        <v/>
      </c>
      <c r="Z181" s="14">
        <f>IFERROR(VLOOKUP(A181, IP Qty!$D:$R, 6, FALSE), 0)</f>
        <v/>
      </c>
      <c r="AA181">
        <f>IFERROR(VLOOKUP(A181, IP Qty!$D:$R, 7, FALSE), 0)</f>
        <v/>
      </c>
      <c r="AB181">
        <f>IFERROR(VLOOKUP(A181, IP Qty!$D:$R, 9, FALSE), 0)</f>
        <v/>
      </c>
      <c r="AC181">
        <f>IFERROR(VLOOKUP(A181, IP Qty!$D:$R, 8, FALSE), 0)</f>
        <v/>
      </c>
      <c r="AD181" s="14">
        <f>IFERROR(VLOOKUP(A181, KEEPA!$A:$AW, 34, FALSE), 0)</f>
        <v/>
      </c>
      <c r="AE181" s="15">
        <f>IF(P181&gt;1, ((((M181&gt;=$AD$2)*(L181&gt;=$AH$2)) + ((M181&lt;$AD$2)*(M181&gt;=$AE$2)*(L181&gt;=$AG$2)) + ((M181&lt;$AE$2)*(M181&gt;=$AC$2)*(L181&gt;=0)))*2 * IF($AI$2=0, 1, AI181&lt;=$AI$2) * IF($AK$2=0, 1, AK181&lt;=$AK$2) * AND(N181&gt;=$D$1, H181&lt;=$I$2, G181&gt;=$H$2)), ((((M181&gt;=$AD$2)*(L181&gt;=$AH$2)) + ((M181&lt;$AD$2)*(M181&gt;=$AE$2)*(L181&gt;=$AG$2)) + ((M181&lt;$AE$2)*(M181&gt;=$AC$2)*(L181&gt;=0))) * IF($AI$2=0, 1, AI181&lt;=$AI$2) * IF($AK$2=0, 1, AK181&lt;=$AK$2) * AND(N181&gt;=$D$1, H181&lt;=$I$2, G181&gt;=$H$2)))</f>
        <v/>
      </c>
      <c r="AF181">
        <f>IF(AE181&gt;0, 1, 0)</f>
        <v/>
      </c>
      <c r="AG181">
        <f>IFERROR(IF(ISNUMBER(W181), IF(AN181, N181*W181*$AN$2, N181*W181), NA()), NA())</f>
        <v/>
      </c>
      <c r="AH181" s="13">
        <f>IFERROR(MIN(AG181, $U$2), 0)</f>
        <v/>
      </c>
      <c r="AI181" s="14">
        <f>IFERROR(VLOOKUP(A181, KEEPA!$A:$AW, 26, FALSE), 0)</f>
        <v/>
      </c>
      <c r="AJ181" s="16">
        <f>IFERROR(IF(AI181=0, 0, (AI181-H181)/H181), 0)</f>
        <v/>
      </c>
      <c r="AK181" s="14">
        <f>IFERROR(VLOOKUP(A181, KEEPA!$A:$AW, 28, FALSE), 0)</f>
        <v/>
      </c>
      <c r="AL181" s="16">
        <f>IFERROR(IF(AK181=0, 0, (AK181-H181)/H181), 0)</f>
        <v/>
      </c>
      <c r="AM181" s="13">
        <f>IFERROR(VLOOKUP(A181, AZInsight_Data!$A:$AS, 34, FALSE), 0)</f>
        <v/>
      </c>
      <c r="AN181">
        <f>IFERROR(AND(VLOOKUP(A181, KEEPA!$A:$AW, 2, FALSE)&lt;=$AO$2, N181 &gt;= $AM$2), FALSE)</f>
        <v/>
      </c>
      <c r="AO181" s="16">
        <f>IFERROR(VLOOKUP(A181, KEEPA!$A:$AW, 24, FALSE), 0)</f>
        <v/>
      </c>
      <c r="AP181" s="16">
        <f>IFERROR(VLOOKUP(A181, KEEPA!$A:$AW, 48, FALSE), 0)</f>
        <v/>
      </c>
      <c r="AQ181">
        <f>IFERROR(VLOOKUP(A181, AZInsight_Data!$A:$AS, 5, FALSE), "SL")</f>
        <v/>
      </c>
      <c r="AR181">
        <f>IF(OR(A181="", A181=0), "", HYPERLINK("https://keepa.com/#!product/1-"&amp;A181, "Keepa"))</f>
        <v/>
      </c>
      <c r="AS181">
        <f>IF(OR(A181="", A181=0), "", HYPERLINK("https://www.amazon.com/dp/"&amp;A181, "Amazon"))</f>
        <v/>
      </c>
      <c r="AT181">
        <f>IF(OR(A181="", A181=0), "", HYPERLINK("https://sellercentral.amazon.com/product-search/search?q="&amp;A181, "Check Gated"))</f>
        <v/>
      </c>
      <c r="AU181" s="12" t="n"/>
      <c r="AV181" s="12" t="n"/>
      <c r="AW181" s="12" t="n"/>
    </row>
    <row r="182">
      <c r="A182" s="12" t="n"/>
      <c r="B182" s="12">
        <f>IFERROR(VLOOKUP(A182, AZInsight_Data!$A:$AS, 3, FALSE), "")</f>
        <v/>
      </c>
      <c r="C182" s="13">
        <f>IFERROR(VLOOKUP(A182, AZInsight_Data!$A:$AS, 9, FALSE), 0)</f>
        <v/>
      </c>
      <c r="D182">
        <f>IFERROR(VLOOKUP(A182, AZInsight_Data!$A:$AS, 17, FALSE), 0)</f>
        <v/>
      </c>
      <c r="E182">
        <f>IFERROR(VLOOKUP(A182, AZInsight_Data!$A:$AS, 18, FALSE), 0)</f>
        <v/>
      </c>
      <c r="F182" s="14">
        <f>IFERROR(VLOOKUP(A182, AZInsight_Data!$A:$AS, 7, FALSE), 0)</f>
        <v/>
      </c>
      <c r="G182" s="15">
        <f>IFERROR(VLOOKUP(A182, AZInsight_Data!$A:$AS, 14, FALSE), 0)</f>
        <v/>
      </c>
      <c r="H182" s="14">
        <f>IFERROR(VLOOKUP(A182, AZInsight_Data!$A:$AS, 8, FALSE), 0)</f>
        <v/>
      </c>
      <c r="I182" s="16">
        <f>IFERROR(VLOOKUP(A182, KEEPA!$A:$AW, 47, FALSE), 0)</f>
        <v/>
      </c>
      <c r="J182">
        <f>IFERROR(VLOOKUP(A182, AZInsight_Data!$A:$AS, 25, FALSE), 0)</f>
        <v/>
      </c>
      <c r="K182" s="15">
        <f>IFERROR(VLOOKUP(A182, AZInsight_Data!$A:$AS, 16, FALSE), 0)</f>
        <v/>
      </c>
      <c r="L182" s="15">
        <f>IFERROR(K182-T182-J182, 0)</f>
        <v/>
      </c>
      <c r="M182" s="16">
        <f>IFERROR(IF(T182=0, 0, L182/T182), 0)</f>
        <v/>
      </c>
      <c r="N182" s="14">
        <f>IFERROR(C182*($V$2/30), 0)</f>
        <v/>
      </c>
      <c r="O182">
        <f>IFERROR(VLOOKUP(A182, AZInsight_Data!$A:$AS, 40, FALSE), 1)</f>
        <v/>
      </c>
      <c r="P182" s="13">
        <f>IF(O182&gt;0, O182, 1)</f>
        <v/>
      </c>
      <c r="Q182" s="13">
        <f>IFERROR(U182/P182, 0)</f>
        <v/>
      </c>
      <c r="R182">
        <f>IFERROR(VLOOKUP(A182, AZInsight_Data!$A:$AS, 36, FALSE), "")</f>
        <v/>
      </c>
      <c r="S182">
        <f>IFERROR(VLOOKUP(A182, AZInsight_Data!$A:$AS, 3, FALSE), "")</f>
        <v/>
      </c>
      <c r="T182" s="17">
        <f>IFERROR(VLOOKUP(A182, AZInsight_Data!$A:$AS, 13, FALSE), 0)</f>
        <v/>
      </c>
      <c r="U182" s="13">
        <f>AH182</f>
        <v/>
      </c>
      <c r="V182" s="15">
        <f>T182*U182</f>
        <v/>
      </c>
      <c r="W182" s="16" t="n"/>
      <c r="X182" s="12">
        <f>IFERROR(VLOOKUP(A182, AZInsight_Data!$A:$AS, 40, FALSE), 1)</f>
        <v/>
      </c>
      <c r="Y182" s="13">
        <f>IFERROR(VLOOKUP(A182, IP Qty!$D:$R, 5, FALSE), 0)</f>
        <v/>
      </c>
      <c r="Z182" s="14">
        <f>IFERROR(VLOOKUP(A182, IP Qty!$D:$R, 6, FALSE), 0)</f>
        <v/>
      </c>
      <c r="AA182">
        <f>IFERROR(VLOOKUP(A182, IP Qty!$D:$R, 7, FALSE), 0)</f>
        <v/>
      </c>
      <c r="AB182">
        <f>IFERROR(VLOOKUP(A182, IP Qty!$D:$R, 9, FALSE), 0)</f>
        <v/>
      </c>
      <c r="AC182">
        <f>IFERROR(VLOOKUP(A182, IP Qty!$D:$R, 8, FALSE), 0)</f>
        <v/>
      </c>
      <c r="AD182" s="14">
        <f>IFERROR(VLOOKUP(A182, KEEPA!$A:$AW, 34, FALSE), 0)</f>
        <v/>
      </c>
      <c r="AE182" s="15">
        <f>IF(P182&gt;1, ((((M182&gt;=$AD$2)*(L182&gt;=$AH$2)) + ((M182&lt;$AD$2)*(M182&gt;=$AE$2)*(L182&gt;=$AG$2)) + ((M182&lt;$AE$2)*(M182&gt;=$AC$2)*(L182&gt;=0)))*2 * IF($AI$2=0, 1, AI182&lt;=$AI$2) * IF($AK$2=0, 1, AK182&lt;=$AK$2) * AND(N182&gt;=$D$1, H182&lt;=$I$2, G182&gt;=$H$2)), ((((M182&gt;=$AD$2)*(L182&gt;=$AH$2)) + ((M182&lt;$AD$2)*(M182&gt;=$AE$2)*(L182&gt;=$AG$2)) + ((M182&lt;$AE$2)*(M182&gt;=$AC$2)*(L182&gt;=0))) * IF($AI$2=0, 1, AI182&lt;=$AI$2) * IF($AK$2=0, 1, AK182&lt;=$AK$2) * AND(N182&gt;=$D$1, H182&lt;=$I$2, G182&gt;=$H$2)))</f>
        <v/>
      </c>
      <c r="AF182">
        <f>IF(AE182&gt;0, 1, 0)</f>
        <v/>
      </c>
      <c r="AG182">
        <f>IFERROR(IF(ISNUMBER(W182), IF(AN182, N182*W182*$AN$2, N182*W182), NA()), NA())</f>
        <v/>
      </c>
      <c r="AH182" s="13">
        <f>IFERROR(MIN(AG182, $U$2), 0)</f>
        <v/>
      </c>
      <c r="AI182" s="14">
        <f>IFERROR(VLOOKUP(A182, KEEPA!$A:$AW, 26, FALSE), 0)</f>
        <v/>
      </c>
      <c r="AJ182" s="16">
        <f>IFERROR(IF(AI182=0, 0, (AI182-H182)/H182), 0)</f>
        <v/>
      </c>
      <c r="AK182" s="14">
        <f>IFERROR(VLOOKUP(A182, KEEPA!$A:$AW, 28, FALSE), 0)</f>
        <v/>
      </c>
      <c r="AL182" s="16">
        <f>IFERROR(IF(AK182=0, 0, (AK182-H182)/H182), 0)</f>
        <v/>
      </c>
      <c r="AM182" s="13">
        <f>IFERROR(VLOOKUP(A182, AZInsight_Data!$A:$AS, 34, FALSE), 0)</f>
        <v/>
      </c>
      <c r="AN182">
        <f>IFERROR(AND(VLOOKUP(A182, KEEPA!$A:$AW, 2, FALSE)&lt;=$AO$2, N182 &gt;= $AM$2), FALSE)</f>
        <v/>
      </c>
      <c r="AO182" s="16">
        <f>IFERROR(VLOOKUP(A182, KEEPA!$A:$AW, 24, FALSE), 0)</f>
        <v/>
      </c>
      <c r="AP182" s="16">
        <f>IFERROR(VLOOKUP(A182, KEEPA!$A:$AW, 48, FALSE), 0)</f>
        <v/>
      </c>
      <c r="AQ182">
        <f>IFERROR(VLOOKUP(A182, AZInsight_Data!$A:$AS, 5, FALSE), "SL")</f>
        <v/>
      </c>
      <c r="AR182">
        <f>IF(OR(A182="", A182=0), "", HYPERLINK("https://keepa.com/#!product/1-"&amp;A182, "Keepa"))</f>
        <v/>
      </c>
      <c r="AS182">
        <f>IF(OR(A182="", A182=0), "", HYPERLINK("https://www.amazon.com/dp/"&amp;A182, "Amazon"))</f>
        <v/>
      </c>
      <c r="AT182">
        <f>IF(OR(A182="", A182=0), "", HYPERLINK("https://sellercentral.amazon.com/product-search/search?q="&amp;A182, "Check Gated"))</f>
        <v/>
      </c>
      <c r="AU182" s="12" t="n"/>
      <c r="AV182" s="12" t="n"/>
      <c r="AW182" s="12" t="n"/>
    </row>
    <row r="183">
      <c r="A183" s="12" t="n"/>
      <c r="B183" s="12">
        <f>IFERROR(VLOOKUP(A183, AZInsight_Data!$A:$AS, 3, FALSE), "")</f>
        <v/>
      </c>
      <c r="C183" s="13">
        <f>IFERROR(VLOOKUP(A183, AZInsight_Data!$A:$AS, 9, FALSE), 0)</f>
        <v/>
      </c>
      <c r="D183">
        <f>IFERROR(VLOOKUP(A183, AZInsight_Data!$A:$AS, 17, FALSE), 0)</f>
        <v/>
      </c>
      <c r="E183">
        <f>IFERROR(VLOOKUP(A183, AZInsight_Data!$A:$AS, 18, FALSE), 0)</f>
        <v/>
      </c>
      <c r="F183" s="14">
        <f>IFERROR(VLOOKUP(A183, AZInsight_Data!$A:$AS, 7, FALSE), 0)</f>
        <v/>
      </c>
      <c r="G183" s="15">
        <f>IFERROR(VLOOKUP(A183, AZInsight_Data!$A:$AS, 14, FALSE), 0)</f>
        <v/>
      </c>
      <c r="H183" s="14">
        <f>IFERROR(VLOOKUP(A183, AZInsight_Data!$A:$AS, 8, FALSE), 0)</f>
        <v/>
      </c>
      <c r="I183" s="16">
        <f>IFERROR(VLOOKUP(A183, KEEPA!$A:$AW, 47, FALSE), 0)</f>
        <v/>
      </c>
      <c r="J183">
        <f>IFERROR(VLOOKUP(A183, AZInsight_Data!$A:$AS, 25, FALSE), 0)</f>
        <v/>
      </c>
      <c r="K183" s="15">
        <f>IFERROR(VLOOKUP(A183, AZInsight_Data!$A:$AS, 16, FALSE), 0)</f>
        <v/>
      </c>
      <c r="L183" s="15">
        <f>IFERROR(K183-T183-J183, 0)</f>
        <v/>
      </c>
      <c r="M183" s="16">
        <f>IFERROR(IF(T183=0, 0, L183/T183), 0)</f>
        <v/>
      </c>
      <c r="N183" s="14">
        <f>IFERROR(C183*($V$2/30), 0)</f>
        <v/>
      </c>
      <c r="O183">
        <f>IFERROR(VLOOKUP(A183, AZInsight_Data!$A:$AS, 40, FALSE), 1)</f>
        <v/>
      </c>
      <c r="P183" s="13">
        <f>IF(O183&gt;0, O183, 1)</f>
        <v/>
      </c>
      <c r="Q183" s="13">
        <f>IFERROR(U183/P183, 0)</f>
        <v/>
      </c>
      <c r="R183">
        <f>IFERROR(VLOOKUP(A183, AZInsight_Data!$A:$AS, 36, FALSE), "")</f>
        <v/>
      </c>
      <c r="S183">
        <f>IFERROR(VLOOKUP(A183, AZInsight_Data!$A:$AS, 3, FALSE), "")</f>
        <v/>
      </c>
      <c r="T183" s="17">
        <f>IFERROR(VLOOKUP(A183, AZInsight_Data!$A:$AS, 13, FALSE), 0)</f>
        <v/>
      </c>
      <c r="U183" s="13">
        <f>AH183</f>
        <v/>
      </c>
      <c r="V183" s="15">
        <f>T183*U183</f>
        <v/>
      </c>
      <c r="W183" s="16" t="n"/>
      <c r="X183" s="12">
        <f>IFERROR(VLOOKUP(A183, AZInsight_Data!$A:$AS, 40, FALSE), 1)</f>
        <v/>
      </c>
      <c r="Y183" s="13">
        <f>IFERROR(VLOOKUP(A183, IP Qty!$D:$R, 5, FALSE), 0)</f>
        <v/>
      </c>
      <c r="Z183" s="14">
        <f>IFERROR(VLOOKUP(A183, IP Qty!$D:$R, 6, FALSE), 0)</f>
        <v/>
      </c>
      <c r="AA183">
        <f>IFERROR(VLOOKUP(A183, IP Qty!$D:$R, 7, FALSE), 0)</f>
        <v/>
      </c>
      <c r="AB183">
        <f>IFERROR(VLOOKUP(A183, IP Qty!$D:$R, 9, FALSE), 0)</f>
        <v/>
      </c>
      <c r="AC183">
        <f>IFERROR(VLOOKUP(A183, IP Qty!$D:$R, 8, FALSE), 0)</f>
        <v/>
      </c>
      <c r="AD183" s="14">
        <f>IFERROR(VLOOKUP(A183, KEEPA!$A:$AW, 34, FALSE), 0)</f>
        <v/>
      </c>
      <c r="AE183" s="15">
        <f>IF(P183&gt;1, ((((M183&gt;=$AD$2)*(L183&gt;=$AH$2)) + ((M183&lt;$AD$2)*(M183&gt;=$AE$2)*(L183&gt;=$AG$2)) + ((M183&lt;$AE$2)*(M183&gt;=$AC$2)*(L183&gt;=0)))*2 * IF($AI$2=0, 1, AI183&lt;=$AI$2) * IF($AK$2=0, 1, AK183&lt;=$AK$2) * AND(N183&gt;=$D$1, H183&lt;=$I$2, G183&gt;=$H$2)), ((((M183&gt;=$AD$2)*(L183&gt;=$AH$2)) + ((M183&lt;$AD$2)*(M183&gt;=$AE$2)*(L183&gt;=$AG$2)) + ((M183&lt;$AE$2)*(M183&gt;=$AC$2)*(L183&gt;=0))) * IF($AI$2=0, 1, AI183&lt;=$AI$2) * IF($AK$2=0, 1, AK183&lt;=$AK$2) * AND(N183&gt;=$D$1, H183&lt;=$I$2, G183&gt;=$H$2)))</f>
        <v/>
      </c>
      <c r="AF183">
        <f>IF(AE183&gt;0, 1, 0)</f>
        <v/>
      </c>
      <c r="AG183">
        <f>IFERROR(IF(ISNUMBER(W183), IF(AN183, N183*W183*$AN$2, N183*W183), NA()), NA())</f>
        <v/>
      </c>
      <c r="AH183" s="13">
        <f>IFERROR(MIN(AG183, $U$2), 0)</f>
        <v/>
      </c>
      <c r="AI183" s="14">
        <f>IFERROR(VLOOKUP(A183, KEEPA!$A:$AW, 26, FALSE), 0)</f>
        <v/>
      </c>
      <c r="AJ183" s="16">
        <f>IFERROR(IF(AI183=0, 0, (AI183-H183)/H183), 0)</f>
        <v/>
      </c>
      <c r="AK183" s="14">
        <f>IFERROR(VLOOKUP(A183, KEEPA!$A:$AW, 28, FALSE), 0)</f>
        <v/>
      </c>
      <c r="AL183" s="16">
        <f>IFERROR(IF(AK183=0, 0, (AK183-H183)/H183), 0)</f>
        <v/>
      </c>
      <c r="AM183" s="13">
        <f>IFERROR(VLOOKUP(A183, AZInsight_Data!$A:$AS, 34, FALSE), 0)</f>
        <v/>
      </c>
      <c r="AN183">
        <f>IFERROR(AND(VLOOKUP(A183, KEEPA!$A:$AW, 2, FALSE)&lt;=$AO$2, N183 &gt;= $AM$2), FALSE)</f>
        <v/>
      </c>
      <c r="AO183" s="16">
        <f>IFERROR(VLOOKUP(A183, KEEPA!$A:$AW, 24, FALSE), 0)</f>
        <v/>
      </c>
      <c r="AP183" s="16">
        <f>IFERROR(VLOOKUP(A183, KEEPA!$A:$AW, 48, FALSE), 0)</f>
        <v/>
      </c>
      <c r="AQ183">
        <f>IFERROR(VLOOKUP(A183, AZInsight_Data!$A:$AS, 5, FALSE), "SL")</f>
        <v/>
      </c>
      <c r="AR183">
        <f>IF(OR(A183="", A183=0), "", HYPERLINK("https://keepa.com/#!product/1-"&amp;A183, "Keepa"))</f>
        <v/>
      </c>
      <c r="AS183">
        <f>IF(OR(A183="", A183=0), "", HYPERLINK("https://www.amazon.com/dp/"&amp;A183, "Amazon"))</f>
        <v/>
      </c>
      <c r="AT183">
        <f>IF(OR(A183="", A183=0), "", HYPERLINK("https://sellercentral.amazon.com/product-search/search?q="&amp;A183, "Check Gated"))</f>
        <v/>
      </c>
      <c r="AU183" s="12" t="n"/>
      <c r="AV183" s="12" t="n"/>
      <c r="AW183" s="12" t="n"/>
    </row>
    <row r="184">
      <c r="A184" s="12" t="n"/>
      <c r="B184" s="12">
        <f>IFERROR(VLOOKUP(A184, AZInsight_Data!$A:$AS, 3, FALSE), "")</f>
        <v/>
      </c>
      <c r="C184" s="13">
        <f>IFERROR(VLOOKUP(A184, AZInsight_Data!$A:$AS, 9, FALSE), 0)</f>
        <v/>
      </c>
      <c r="D184">
        <f>IFERROR(VLOOKUP(A184, AZInsight_Data!$A:$AS, 17, FALSE), 0)</f>
        <v/>
      </c>
      <c r="E184">
        <f>IFERROR(VLOOKUP(A184, AZInsight_Data!$A:$AS, 18, FALSE), 0)</f>
        <v/>
      </c>
      <c r="F184" s="14">
        <f>IFERROR(VLOOKUP(A184, AZInsight_Data!$A:$AS, 7, FALSE), 0)</f>
        <v/>
      </c>
      <c r="G184" s="15">
        <f>IFERROR(VLOOKUP(A184, AZInsight_Data!$A:$AS, 14, FALSE), 0)</f>
        <v/>
      </c>
      <c r="H184" s="14">
        <f>IFERROR(VLOOKUP(A184, AZInsight_Data!$A:$AS, 8, FALSE), 0)</f>
        <v/>
      </c>
      <c r="I184" s="16">
        <f>IFERROR(VLOOKUP(A184, KEEPA!$A:$AW, 47, FALSE), 0)</f>
        <v/>
      </c>
      <c r="J184">
        <f>IFERROR(VLOOKUP(A184, AZInsight_Data!$A:$AS, 25, FALSE), 0)</f>
        <v/>
      </c>
      <c r="K184" s="15">
        <f>IFERROR(VLOOKUP(A184, AZInsight_Data!$A:$AS, 16, FALSE), 0)</f>
        <v/>
      </c>
      <c r="L184" s="15">
        <f>IFERROR(K184-T184-J184, 0)</f>
        <v/>
      </c>
      <c r="M184" s="16">
        <f>IFERROR(IF(T184=0, 0, L184/T184), 0)</f>
        <v/>
      </c>
      <c r="N184" s="14">
        <f>IFERROR(C184*($V$2/30), 0)</f>
        <v/>
      </c>
      <c r="O184">
        <f>IFERROR(VLOOKUP(A184, AZInsight_Data!$A:$AS, 40, FALSE), 1)</f>
        <v/>
      </c>
      <c r="P184" s="13">
        <f>IF(O184&gt;0, O184, 1)</f>
        <v/>
      </c>
      <c r="Q184" s="13">
        <f>IFERROR(U184/P184, 0)</f>
        <v/>
      </c>
      <c r="R184">
        <f>IFERROR(VLOOKUP(A184, AZInsight_Data!$A:$AS, 36, FALSE), "")</f>
        <v/>
      </c>
      <c r="S184">
        <f>IFERROR(VLOOKUP(A184, AZInsight_Data!$A:$AS, 3, FALSE), "")</f>
        <v/>
      </c>
      <c r="T184" s="17">
        <f>IFERROR(VLOOKUP(A184, AZInsight_Data!$A:$AS, 13, FALSE), 0)</f>
        <v/>
      </c>
      <c r="U184" s="13">
        <f>AH184</f>
        <v/>
      </c>
      <c r="V184" s="15">
        <f>T184*U184</f>
        <v/>
      </c>
      <c r="W184" s="16" t="n"/>
      <c r="X184" s="12">
        <f>IFERROR(VLOOKUP(A184, AZInsight_Data!$A:$AS, 40, FALSE), 1)</f>
        <v/>
      </c>
      <c r="Y184" s="13">
        <f>IFERROR(VLOOKUP(A184, IP Qty!$D:$R, 5, FALSE), 0)</f>
        <v/>
      </c>
      <c r="Z184" s="14">
        <f>IFERROR(VLOOKUP(A184, IP Qty!$D:$R, 6, FALSE), 0)</f>
        <v/>
      </c>
      <c r="AA184">
        <f>IFERROR(VLOOKUP(A184, IP Qty!$D:$R, 7, FALSE), 0)</f>
        <v/>
      </c>
      <c r="AB184">
        <f>IFERROR(VLOOKUP(A184, IP Qty!$D:$R, 9, FALSE), 0)</f>
        <v/>
      </c>
      <c r="AC184">
        <f>IFERROR(VLOOKUP(A184, IP Qty!$D:$R, 8, FALSE), 0)</f>
        <v/>
      </c>
      <c r="AD184" s="14">
        <f>IFERROR(VLOOKUP(A184, KEEPA!$A:$AW, 34, FALSE), 0)</f>
        <v/>
      </c>
      <c r="AE184" s="15">
        <f>IF(P184&gt;1, ((((M184&gt;=$AD$2)*(L184&gt;=$AH$2)) + ((M184&lt;$AD$2)*(M184&gt;=$AE$2)*(L184&gt;=$AG$2)) + ((M184&lt;$AE$2)*(M184&gt;=$AC$2)*(L184&gt;=0)))*2 * IF($AI$2=0, 1, AI184&lt;=$AI$2) * IF($AK$2=0, 1, AK184&lt;=$AK$2) * AND(N184&gt;=$D$1, H184&lt;=$I$2, G184&gt;=$H$2)), ((((M184&gt;=$AD$2)*(L184&gt;=$AH$2)) + ((M184&lt;$AD$2)*(M184&gt;=$AE$2)*(L184&gt;=$AG$2)) + ((M184&lt;$AE$2)*(M184&gt;=$AC$2)*(L184&gt;=0))) * IF($AI$2=0, 1, AI184&lt;=$AI$2) * IF($AK$2=0, 1, AK184&lt;=$AK$2) * AND(N184&gt;=$D$1, H184&lt;=$I$2, G184&gt;=$H$2)))</f>
        <v/>
      </c>
      <c r="AF184">
        <f>IF(AE184&gt;0, 1, 0)</f>
        <v/>
      </c>
      <c r="AG184">
        <f>IFERROR(IF(ISNUMBER(W184), IF(AN184, N184*W184*$AN$2, N184*W184), NA()), NA())</f>
        <v/>
      </c>
      <c r="AH184" s="13">
        <f>IFERROR(MIN(AG184, $U$2), 0)</f>
        <v/>
      </c>
      <c r="AI184" s="14">
        <f>IFERROR(VLOOKUP(A184, KEEPA!$A:$AW, 26, FALSE), 0)</f>
        <v/>
      </c>
      <c r="AJ184" s="16">
        <f>IFERROR(IF(AI184=0, 0, (AI184-H184)/H184), 0)</f>
        <v/>
      </c>
      <c r="AK184" s="14">
        <f>IFERROR(VLOOKUP(A184, KEEPA!$A:$AW, 28, FALSE), 0)</f>
        <v/>
      </c>
      <c r="AL184" s="16">
        <f>IFERROR(IF(AK184=0, 0, (AK184-H184)/H184), 0)</f>
        <v/>
      </c>
      <c r="AM184" s="13">
        <f>IFERROR(VLOOKUP(A184, AZInsight_Data!$A:$AS, 34, FALSE), 0)</f>
        <v/>
      </c>
      <c r="AN184">
        <f>IFERROR(AND(VLOOKUP(A184, KEEPA!$A:$AW, 2, FALSE)&lt;=$AO$2, N184 &gt;= $AM$2), FALSE)</f>
        <v/>
      </c>
      <c r="AO184" s="16">
        <f>IFERROR(VLOOKUP(A184, KEEPA!$A:$AW, 24, FALSE), 0)</f>
        <v/>
      </c>
      <c r="AP184" s="16">
        <f>IFERROR(VLOOKUP(A184, KEEPA!$A:$AW, 48, FALSE), 0)</f>
        <v/>
      </c>
      <c r="AQ184">
        <f>IFERROR(VLOOKUP(A184, AZInsight_Data!$A:$AS, 5, FALSE), "SL")</f>
        <v/>
      </c>
      <c r="AR184">
        <f>IF(OR(A184="", A184=0), "", HYPERLINK("https://keepa.com/#!product/1-"&amp;A184, "Keepa"))</f>
        <v/>
      </c>
      <c r="AS184">
        <f>IF(OR(A184="", A184=0), "", HYPERLINK("https://www.amazon.com/dp/"&amp;A184, "Amazon"))</f>
        <v/>
      </c>
      <c r="AT184">
        <f>IF(OR(A184="", A184=0), "", HYPERLINK("https://sellercentral.amazon.com/product-search/search?q="&amp;A184, "Check Gated"))</f>
        <v/>
      </c>
      <c r="AU184" s="12" t="n"/>
      <c r="AV184" s="12" t="n"/>
      <c r="AW184" s="12" t="n"/>
    </row>
    <row r="185">
      <c r="A185" s="12" t="n"/>
      <c r="B185" s="12">
        <f>IFERROR(VLOOKUP(A185, AZInsight_Data!$A:$AS, 3, FALSE), "")</f>
        <v/>
      </c>
      <c r="C185" s="13">
        <f>IFERROR(VLOOKUP(A185, AZInsight_Data!$A:$AS, 9, FALSE), 0)</f>
        <v/>
      </c>
      <c r="D185">
        <f>IFERROR(VLOOKUP(A185, AZInsight_Data!$A:$AS, 17, FALSE), 0)</f>
        <v/>
      </c>
      <c r="E185">
        <f>IFERROR(VLOOKUP(A185, AZInsight_Data!$A:$AS, 18, FALSE), 0)</f>
        <v/>
      </c>
      <c r="F185" s="14">
        <f>IFERROR(VLOOKUP(A185, AZInsight_Data!$A:$AS, 7, FALSE), 0)</f>
        <v/>
      </c>
      <c r="G185" s="15">
        <f>IFERROR(VLOOKUP(A185, AZInsight_Data!$A:$AS, 14, FALSE), 0)</f>
        <v/>
      </c>
      <c r="H185" s="14">
        <f>IFERROR(VLOOKUP(A185, AZInsight_Data!$A:$AS, 8, FALSE), 0)</f>
        <v/>
      </c>
      <c r="I185" s="16">
        <f>IFERROR(VLOOKUP(A185, KEEPA!$A:$AW, 47, FALSE), 0)</f>
        <v/>
      </c>
      <c r="J185">
        <f>IFERROR(VLOOKUP(A185, AZInsight_Data!$A:$AS, 25, FALSE), 0)</f>
        <v/>
      </c>
      <c r="K185" s="15">
        <f>IFERROR(VLOOKUP(A185, AZInsight_Data!$A:$AS, 16, FALSE), 0)</f>
        <v/>
      </c>
      <c r="L185" s="15">
        <f>IFERROR(K185-T185-J185, 0)</f>
        <v/>
      </c>
      <c r="M185" s="16">
        <f>IFERROR(IF(T185=0, 0, L185/T185), 0)</f>
        <v/>
      </c>
      <c r="N185" s="14">
        <f>IFERROR(C185*($V$2/30), 0)</f>
        <v/>
      </c>
      <c r="O185">
        <f>IFERROR(VLOOKUP(A185, AZInsight_Data!$A:$AS, 40, FALSE), 1)</f>
        <v/>
      </c>
      <c r="P185" s="13">
        <f>IF(O185&gt;0, O185, 1)</f>
        <v/>
      </c>
      <c r="Q185" s="13">
        <f>IFERROR(U185/P185, 0)</f>
        <v/>
      </c>
      <c r="R185">
        <f>IFERROR(VLOOKUP(A185, AZInsight_Data!$A:$AS, 36, FALSE), "")</f>
        <v/>
      </c>
      <c r="S185">
        <f>IFERROR(VLOOKUP(A185, AZInsight_Data!$A:$AS, 3, FALSE), "")</f>
        <v/>
      </c>
      <c r="T185" s="17">
        <f>IFERROR(VLOOKUP(A185, AZInsight_Data!$A:$AS, 13, FALSE), 0)</f>
        <v/>
      </c>
      <c r="U185" s="13">
        <f>AH185</f>
        <v/>
      </c>
      <c r="V185" s="15">
        <f>T185*U185</f>
        <v/>
      </c>
      <c r="W185" s="16" t="n"/>
      <c r="X185" s="12">
        <f>IFERROR(VLOOKUP(A185, AZInsight_Data!$A:$AS, 40, FALSE), 1)</f>
        <v/>
      </c>
      <c r="Y185" s="13">
        <f>IFERROR(VLOOKUP(A185, IP Qty!$D:$R, 5, FALSE), 0)</f>
        <v/>
      </c>
      <c r="Z185" s="14">
        <f>IFERROR(VLOOKUP(A185, IP Qty!$D:$R, 6, FALSE), 0)</f>
        <v/>
      </c>
      <c r="AA185">
        <f>IFERROR(VLOOKUP(A185, IP Qty!$D:$R, 7, FALSE), 0)</f>
        <v/>
      </c>
      <c r="AB185">
        <f>IFERROR(VLOOKUP(A185, IP Qty!$D:$R, 9, FALSE), 0)</f>
        <v/>
      </c>
      <c r="AC185">
        <f>IFERROR(VLOOKUP(A185, IP Qty!$D:$R, 8, FALSE), 0)</f>
        <v/>
      </c>
      <c r="AD185" s="14">
        <f>IFERROR(VLOOKUP(A185, KEEPA!$A:$AW, 34, FALSE), 0)</f>
        <v/>
      </c>
      <c r="AE185" s="15">
        <f>IF(P185&gt;1, ((((M185&gt;=$AD$2)*(L185&gt;=$AH$2)) + ((M185&lt;$AD$2)*(M185&gt;=$AE$2)*(L185&gt;=$AG$2)) + ((M185&lt;$AE$2)*(M185&gt;=$AC$2)*(L185&gt;=0)))*2 * IF($AI$2=0, 1, AI185&lt;=$AI$2) * IF($AK$2=0, 1, AK185&lt;=$AK$2) * AND(N185&gt;=$D$1, H185&lt;=$I$2, G185&gt;=$H$2)), ((((M185&gt;=$AD$2)*(L185&gt;=$AH$2)) + ((M185&lt;$AD$2)*(M185&gt;=$AE$2)*(L185&gt;=$AG$2)) + ((M185&lt;$AE$2)*(M185&gt;=$AC$2)*(L185&gt;=0))) * IF($AI$2=0, 1, AI185&lt;=$AI$2) * IF($AK$2=0, 1, AK185&lt;=$AK$2) * AND(N185&gt;=$D$1, H185&lt;=$I$2, G185&gt;=$H$2)))</f>
        <v/>
      </c>
      <c r="AF185">
        <f>IF(AE185&gt;0, 1, 0)</f>
        <v/>
      </c>
      <c r="AG185">
        <f>IFERROR(IF(ISNUMBER(W185), IF(AN185, N185*W185*$AN$2, N185*W185), NA()), NA())</f>
        <v/>
      </c>
      <c r="AH185" s="13">
        <f>IFERROR(MIN(AG185, $U$2), 0)</f>
        <v/>
      </c>
      <c r="AI185" s="14">
        <f>IFERROR(VLOOKUP(A185, KEEPA!$A:$AW, 26, FALSE), 0)</f>
        <v/>
      </c>
      <c r="AJ185" s="16">
        <f>IFERROR(IF(AI185=0, 0, (AI185-H185)/H185), 0)</f>
        <v/>
      </c>
      <c r="AK185" s="14">
        <f>IFERROR(VLOOKUP(A185, KEEPA!$A:$AW, 28, FALSE), 0)</f>
        <v/>
      </c>
      <c r="AL185" s="16">
        <f>IFERROR(IF(AK185=0, 0, (AK185-H185)/H185), 0)</f>
        <v/>
      </c>
      <c r="AM185" s="13">
        <f>IFERROR(VLOOKUP(A185, AZInsight_Data!$A:$AS, 34, FALSE), 0)</f>
        <v/>
      </c>
      <c r="AN185">
        <f>IFERROR(AND(VLOOKUP(A185, KEEPA!$A:$AW, 2, FALSE)&lt;=$AO$2, N185 &gt;= $AM$2), FALSE)</f>
        <v/>
      </c>
      <c r="AO185" s="16">
        <f>IFERROR(VLOOKUP(A185, KEEPA!$A:$AW, 24, FALSE), 0)</f>
        <v/>
      </c>
      <c r="AP185" s="16">
        <f>IFERROR(VLOOKUP(A185, KEEPA!$A:$AW, 48, FALSE), 0)</f>
        <v/>
      </c>
      <c r="AQ185">
        <f>IFERROR(VLOOKUP(A185, AZInsight_Data!$A:$AS, 5, FALSE), "SL")</f>
        <v/>
      </c>
      <c r="AR185">
        <f>IF(OR(A185="", A185=0), "", HYPERLINK("https://keepa.com/#!product/1-"&amp;A185, "Keepa"))</f>
        <v/>
      </c>
      <c r="AS185">
        <f>IF(OR(A185="", A185=0), "", HYPERLINK("https://www.amazon.com/dp/"&amp;A185, "Amazon"))</f>
        <v/>
      </c>
      <c r="AT185">
        <f>IF(OR(A185="", A185=0), "", HYPERLINK("https://sellercentral.amazon.com/product-search/search?q="&amp;A185, "Check Gated"))</f>
        <v/>
      </c>
      <c r="AU185" s="12" t="n"/>
      <c r="AV185" s="12" t="n"/>
      <c r="AW185" s="12" t="n"/>
    </row>
    <row r="186">
      <c r="A186" s="12" t="n"/>
      <c r="B186" s="12">
        <f>IFERROR(VLOOKUP(A186, AZInsight_Data!$A:$AS, 3, FALSE), "")</f>
        <v/>
      </c>
      <c r="C186" s="13">
        <f>IFERROR(VLOOKUP(A186, AZInsight_Data!$A:$AS, 9, FALSE), 0)</f>
        <v/>
      </c>
      <c r="D186">
        <f>IFERROR(VLOOKUP(A186, AZInsight_Data!$A:$AS, 17, FALSE), 0)</f>
        <v/>
      </c>
      <c r="E186">
        <f>IFERROR(VLOOKUP(A186, AZInsight_Data!$A:$AS, 18, FALSE), 0)</f>
        <v/>
      </c>
      <c r="F186" s="14">
        <f>IFERROR(VLOOKUP(A186, AZInsight_Data!$A:$AS, 7, FALSE), 0)</f>
        <v/>
      </c>
      <c r="G186" s="15">
        <f>IFERROR(VLOOKUP(A186, AZInsight_Data!$A:$AS, 14, FALSE), 0)</f>
        <v/>
      </c>
      <c r="H186" s="14">
        <f>IFERROR(VLOOKUP(A186, AZInsight_Data!$A:$AS, 8, FALSE), 0)</f>
        <v/>
      </c>
      <c r="I186" s="16">
        <f>IFERROR(VLOOKUP(A186, KEEPA!$A:$AW, 47, FALSE), 0)</f>
        <v/>
      </c>
      <c r="J186">
        <f>IFERROR(VLOOKUP(A186, AZInsight_Data!$A:$AS, 25, FALSE), 0)</f>
        <v/>
      </c>
      <c r="K186" s="15">
        <f>IFERROR(VLOOKUP(A186, AZInsight_Data!$A:$AS, 16, FALSE), 0)</f>
        <v/>
      </c>
      <c r="L186" s="15">
        <f>IFERROR(K186-T186-J186, 0)</f>
        <v/>
      </c>
      <c r="M186" s="16">
        <f>IFERROR(IF(T186=0, 0, L186/T186), 0)</f>
        <v/>
      </c>
      <c r="N186" s="14">
        <f>IFERROR(C186*($V$2/30), 0)</f>
        <v/>
      </c>
      <c r="O186">
        <f>IFERROR(VLOOKUP(A186, AZInsight_Data!$A:$AS, 40, FALSE), 1)</f>
        <v/>
      </c>
      <c r="P186" s="13">
        <f>IF(O186&gt;0, O186, 1)</f>
        <v/>
      </c>
      <c r="Q186" s="13">
        <f>IFERROR(U186/P186, 0)</f>
        <v/>
      </c>
      <c r="R186">
        <f>IFERROR(VLOOKUP(A186, AZInsight_Data!$A:$AS, 36, FALSE), "")</f>
        <v/>
      </c>
      <c r="S186">
        <f>IFERROR(VLOOKUP(A186, AZInsight_Data!$A:$AS, 3, FALSE), "")</f>
        <v/>
      </c>
      <c r="T186" s="17">
        <f>IFERROR(VLOOKUP(A186, AZInsight_Data!$A:$AS, 13, FALSE), 0)</f>
        <v/>
      </c>
      <c r="U186" s="13">
        <f>AH186</f>
        <v/>
      </c>
      <c r="V186" s="15">
        <f>T186*U186</f>
        <v/>
      </c>
      <c r="W186" s="16" t="n"/>
      <c r="X186" s="12">
        <f>IFERROR(VLOOKUP(A186, AZInsight_Data!$A:$AS, 40, FALSE), 1)</f>
        <v/>
      </c>
      <c r="Y186" s="13">
        <f>IFERROR(VLOOKUP(A186, IP Qty!$D:$R, 5, FALSE), 0)</f>
        <v/>
      </c>
      <c r="Z186" s="14">
        <f>IFERROR(VLOOKUP(A186, IP Qty!$D:$R, 6, FALSE), 0)</f>
        <v/>
      </c>
      <c r="AA186">
        <f>IFERROR(VLOOKUP(A186, IP Qty!$D:$R, 7, FALSE), 0)</f>
        <v/>
      </c>
      <c r="AB186">
        <f>IFERROR(VLOOKUP(A186, IP Qty!$D:$R, 9, FALSE), 0)</f>
        <v/>
      </c>
      <c r="AC186">
        <f>IFERROR(VLOOKUP(A186, IP Qty!$D:$R, 8, FALSE), 0)</f>
        <v/>
      </c>
      <c r="AD186" s="14">
        <f>IFERROR(VLOOKUP(A186, KEEPA!$A:$AW, 34, FALSE), 0)</f>
        <v/>
      </c>
      <c r="AE186" s="15">
        <f>IF(P186&gt;1, ((((M186&gt;=$AD$2)*(L186&gt;=$AH$2)) + ((M186&lt;$AD$2)*(M186&gt;=$AE$2)*(L186&gt;=$AG$2)) + ((M186&lt;$AE$2)*(M186&gt;=$AC$2)*(L186&gt;=0)))*2 * IF($AI$2=0, 1, AI186&lt;=$AI$2) * IF($AK$2=0, 1, AK186&lt;=$AK$2) * AND(N186&gt;=$D$1, H186&lt;=$I$2, G186&gt;=$H$2)), ((((M186&gt;=$AD$2)*(L186&gt;=$AH$2)) + ((M186&lt;$AD$2)*(M186&gt;=$AE$2)*(L186&gt;=$AG$2)) + ((M186&lt;$AE$2)*(M186&gt;=$AC$2)*(L186&gt;=0))) * IF($AI$2=0, 1, AI186&lt;=$AI$2) * IF($AK$2=0, 1, AK186&lt;=$AK$2) * AND(N186&gt;=$D$1, H186&lt;=$I$2, G186&gt;=$H$2)))</f>
        <v/>
      </c>
      <c r="AF186">
        <f>IF(AE186&gt;0, 1, 0)</f>
        <v/>
      </c>
      <c r="AG186">
        <f>IFERROR(IF(ISNUMBER(W186), IF(AN186, N186*W186*$AN$2, N186*W186), NA()), NA())</f>
        <v/>
      </c>
      <c r="AH186" s="13">
        <f>IFERROR(MIN(AG186, $U$2), 0)</f>
        <v/>
      </c>
      <c r="AI186" s="14">
        <f>IFERROR(VLOOKUP(A186, KEEPA!$A:$AW, 26, FALSE), 0)</f>
        <v/>
      </c>
      <c r="AJ186" s="16">
        <f>IFERROR(IF(AI186=0, 0, (AI186-H186)/H186), 0)</f>
        <v/>
      </c>
      <c r="AK186" s="14">
        <f>IFERROR(VLOOKUP(A186, KEEPA!$A:$AW, 28, FALSE), 0)</f>
        <v/>
      </c>
      <c r="AL186" s="16">
        <f>IFERROR(IF(AK186=0, 0, (AK186-H186)/H186), 0)</f>
        <v/>
      </c>
      <c r="AM186" s="13">
        <f>IFERROR(VLOOKUP(A186, AZInsight_Data!$A:$AS, 34, FALSE), 0)</f>
        <v/>
      </c>
      <c r="AN186">
        <f>IFERROR(AND(VLOOKUP(A186, KEEPA!$A:$AW, 2, FALSE)&lt;=$AO$2, N186 &gt;= $AM$2), FALSE)</f>
        <v/>
      </c>
      <c r="AO186" s="16">
        <f>IFERROR(VLOOKUP(A186, KEEPA!$A:$AW, 24, FALSE), 0)</f>
        <v/>
      </c>
      <c r="AP186" s="16">
        <f>IFERROR(VLOOKUP(A186, KEEPA!$A:$AW, 48, FALSE), 0)</f>
        <v/>
      </c>
      <c r="AQ186">
        <f>IFERROR(VLOOKUP(A186, AZInsight_Data!$A:$AS, 5, FALSE), "SL")</f>
        <v/>
      </c>
      <c r="AR186">
        <f>IF(OR(A186="", A186=0), "", HYPERLINK("https://keepa.com/#!product/1-"&amp;A186, "Keepa"))</f>
        <v/>
      </c>
      <c r="AS186">
        <f>IF(OR(A186="", A186=0), "", HYPERLINK("https://www.amazon.com/dp/"&amp;A186, "Amazon"))</f>
        <v/>
      </c>
      <c r="AT186">
        <f>IF(OR(A186="", A186=0), "", HYPERLINK("https://sellercentral.amazon.com/product-search/search?q="&amp;A186, "Check Gated"))</f>
        <v/>
      </c>
      <c r="AU186" s="12" t="n"/>
      <c r="AV186" s="12" t="n"/>
      <c r="AW186" s="12" t="n"/>
    </row>
    <row r="187">
      <c r="A187" s="12" t="n"/>
      <c r="B187" s="12">
        <f>IFERROR(VLOOKUP(A187, AZInsight_Data!$A:$AS, 3, FALSE), "")</f>
        <v/>
      </c>
      <c r="C187" s="13">
        <f>IFERROR(VLOOKUP(A187, AZInsight_Data!$A:$AS, 9, FALSE), 0)</f>
        <v/>
      </c>
      <c r="D187">
        <f>IFERROR(VLOOKUP(A187, AZInsight_Data!$A:$AS, 17, FALSE), 0)</f>
        <v/>
      </c>
      <c r="E187">
        <f>IFERROR(VLOOKUP(A187, AZInsight_Data!$A:$AS, 18, FALSE), 0)</f>
        <v/>
      </c>
      <c r="F187" s="14">
        <f>IFERROR(VLOOKUP(A187, AZInsight_Data!$A:$AS, 7, FALSE), 0)</f>
        <v/>
      </c>
      <c r="G187" s="15">
        <f>IFERROR(VLOOKUP(A187, AZInsight_Data!$A:$AS, 14, FALSE), 0)</f>
        <v/>
      </c>
      <c r="H187" s="14">
        <f>IFERROR(VLOOKUP(A187, AZInsight_Data!$A:$AS, 8, FALSE), 0)</f>
        <v/>
      </c>
      <c r="I187" s="16">
        <f>IFERROR(VLOOKUP(A187, KEEPA!$A:$AW, 47, FALSE), 0)</f>
        <v/>
      </c>
      <c r="J187">
        <f>IFERROR(VLOOKUP(A187, AZInsight_Data!$A:$AS, 25, FALSE), 0)</f>
        <v/>
      </c>
      <c r="K187" s="15">
        <f>IFERROR(VLOOKUP(A187, AZInsight_Data!$A:$AS, 16, FALSE), 0)</f>
        <v/>
      </c>
      <c r="L187" s="15">
        <f>IFERROR(K187-T187-J187, 0)</f>
        <v/>
      </c>
      <c r="M187" s="16">
        <f>IFERROR(IF(T187=0, 0, L187/T187), 0)</f>
        <v/>
      </c>
      <c r="N187" s="14">
        <f>IFERROR(C187*($V$2/30), 0)</f>
        <v/>
      </c>
      <c r="O187">
        <f>IFERROR(VLOOKUP(A187, AZInsight_Data!$A:$AS, 40, FALSE), 1)</f>
        <v/>
      </c>
      <c r="P187" s="13">
        <f>IF(O187&gt;0, O187, 1)</f>
        <v/>
      </c>
      <c r="Q187" s="13">
        <f>IFERROR(U187/P187, 0)</f>
        <v/>
      </c>
      <c r="R187">
        <f>IFERROR(VLOOKUP(A187, AZInsight_Data!$A:$AS, 36, FALSE), "")</f>
        <v/>
      </c>
      <c r="S187">
        <f>IFERROR(VLOOKUP(A187, AZInsight_Data!$A:$AS, 3, FALSE), "")</f>
        <v/>
      </c>
      <c r="T187" s="17">
        <f>IFERROR(VLOOKUP(A187, AZInsight_Data!$A:$AS, 13, FALSE), 0)</f>
        <v/>
      </c>
      <c r="U187" s="13">
        <f>AH187</f>
        <v/>
      </c>
      <c r="V187" s="15">
        <f>T187*U187</f>
        <v/>
      </c>
      <c r="W187" s="16" t="n"/>
      <c r="X187" s="12">
        <f>IFERROR(VLOOKUP(A187, AZInsight_Data!$A:$AS, 40, FALSE), 1)</f>
        <v/>
      </c>
      <c r="Y187" s="13">
        <f>IFERROR(VLOOKUP(A187, IP Qty!$D:$R, 5, FALSE), 0)</f>
        <v/>
      </c>
      <c r="Z187" s="14">
        <f>IFERROR(VLOOKUP(A187, IP Qty!$D:$R, 6, FALSE), 0)</f>
        <v/>
      </c>
      <c r="AA187">
        <f>IFERROR(VLOOKUP(A187, IP Qty!$D:$R, 7, FALSE), 0)</f>
        <v/>
      </c>
      <c r="AB187">
        <f>IFERROR(VLOOKUP(A187, IP Qty!$D:$R, 9, FALSE), 0)</f>
        <v/>
      </c>
      <c r="AC187">
        <f>IFERROR(VLOOKUP(A187, IP Qty!$D:$R, 8, FALSE), 0)</f>
        <v/>
      </c>
      <c r="AD187" s="14">
        <f>IFERROR(VLOOKUP(A187, KEEPA!$A:$AW, 34, FALSE), 0)</f>
        <v/>
      </c>
      <c r="AE187" s="15">
        <f>IF(P187&gt;1, ((((M187&gt;=$AD$2)*(L187&gt;=$AH$2)) + ((M187&lt;$AD$2)*(M187&gt;=$AE$2)*(L187&gt;=$AG$2)) + ((M187&lt;$AE$2)*(M187&gt;=$AC$2)*(L187&gt;=0)))*2 * IF($AI$2=0, 1, AI187&lt;=$AI$2) * IF($AK$2=0, 1, AK187&lt;=$AK$2) * AND(N187&gt;=$D$1, H187&lt;=$I$2, G187&gt;=$H$2)), ((((M187&gt;=$AD$2)*(L187&gt;=$AH$2)) + ((M187&lt;$AD$2)*(M187&gt;=$AE$2)*(L187&gt;=$AG$2)) + ((M187&lt;$AE$2)*(M187&gt;=$AC$2)*(L187&gt;=0))) * IF($AI$2=0, 1, AI187&lt;=$AI$2) * IF($AK$2=0, 1, AK187&lt;=$AK$2) * AND(N187&gt;=$D$1, H187&lt;=$I$2, G187&gt;=$H$2)))</f>
        <v/>
      </c>
      <c r="AF187">
        <f>IF(AE187&gt;0, 1, 0)</f>
        <v/>
      </c>
      <c r="AG187">
        <f>IFERROR(IF(ISNUMBER(W187), IF(AN187, N187*W187*$AN$2, N187*W187), NA()), NA())</f>
        <v/>
      </c>
      <c r="AH187" s="13">
        <f>IFERROR(MIN(AG187, $U$2), 0)</f>
        <v/>
      </c>
      <c r="AI187" s="14">
        <f>IFERROR(VLOOKUP(A187, KEEPA!$A:$AW, 26, FALSE), 0)</f>
        <v/>
      </c>
      <c r="AJ187" s="16">
        <f>IFERROR(IF(AI187=0, 0, (AI187-H187)/H187), 0)</f>
        <v/>
      </c>
      <c r="AK187" s="14">
        <f>IFERROR(VLOOKUP(A187, KEEPA!$A:$AW, 28, FALSE), 0)</f>
        <v/>
      </c>
      <c r="AL187" s="16">
        <f>IFERROR(IF(AK187=0, 0, (AK187-H187)/H187), 0)</f>
        <v/>
      </c>
      <c r="AM187" s="13">
        <f>IFERROR(VLOOKUP(A187, AZInsight_Data!$A:$AS, 34, FALSE), 0)</f>
        <v/>
      </c>
      <c r="AN187">
        <f>IFERROR(AND(VLOOKUP(A187, KEEPA!$A:$AW, 2, FALSE)&lt;=$AO$2, N187 &gt;= $AM$2), FALSE)</f>
        <v/>
      </c>
      <c r="AO187" s="16">
        <f>IFERROR(VLOOKUP(A187, KEEPA!$A:$AW, 24, FALSE), 0)</f>
        <v/>
      </c>
      <c r="AP187" s="16">
        <f>IFERROR(VLOOKUP(A187, KEEPA!$A:$AW, 48, FALSE), 0)</f>
        <v/>
      </c>
      <c r="AQ187">
        <f>IFERROR(VLOOKUP(A187, AZInsight_Data!$A:$AS, 5, FALSE), "SL")</f>
        <v/>
      </c>
      <c r="AR187">
        <f>IF(OR(A187="", A187=0), "", HYPERLINK("https://keepa.com/#!product/1-"&amp;A187, "Keepa"))</f>
        <v/>
      </c>
      <c r="AS187">
        <f>IF(OR(A187="", A187=0), "", HYPERLINK("https://www.amazon.com/dp/"&amp;A187, "Amazon"))</f>
        <v/>
      </c>
      <c r="AT187">
        <f>IF(OR(A187="", A187=0), "", HYPERLINK("https://sellercentral.amazon.com/product-search/search?q="&amp;A187, "Check Gated"))</f>
        <v/>
      </c>
      <c r="AU187" s="12" t="n"/>
      <c r="AV187" s="12" t="n"/>
      <c r="AW187" s="12" t="n"/>
    </row>
    <row r="188">
      <c r="A188" s="12" t="n"/>
      <c r="B188" s="12">
        <f>IFERROR(VLOOKUP(A188, AZInsight_Data!$A:$AS, 3, FALSE), "")</f>
        <v/>
      </c>
      <c r="C188" s="13">
        <f>IFERROR(VLOOKUP(A188, AZInsight_Data!$A:$AS, 9, FALSE), 0)</f>
        <v/>
      </c>
      <c r="D188">
        <f>IFERROR(VLOOKUP(A188, AZInsight_Data!$A:$AS, 17, FALSE), 0)</f>
        <v/>
      </c>
      <c r="E188">
        <f>IFERROR(VLOOKUP(A188, AZInsight_Data!$A:$AS, 18, FALSE), 0)</f>
        <v/>
      </c>
      <c r="F188" s="14">
        <f>IFERROR(VLOOKUP(A188, AZInsight_Data!$A:$AS, 7, FALSE), 0)</f>
        <v/>
      </c>
      <c r="G188" s="15">
        <f>IFERROR(VLOOKUP(A188, AZInsight_Data!$A:$AS, 14, FALSE), 0)</f>
        <v/>
      </c>
      <c r="H188" s="14">
        <f>IFERROR(VLOOKUP(A188, AZInsight_Data!$A:$AS, 8, FALSE), 0)</f>
        <v/>
      </c>
      <c r="I188" s="16">
        <f>IFERROR(VLOOKUP(A188, KEEPA!$A:$AW, 47, FALSE), 0)</f>
        <v/>
      </c>
      <c r="J188">
        <f>IFERROR(VLOOKUP(A188, AZInsight_Data!$A:$AS, 25, FALSE), 0)</f>
        <v/>
      </c>
      <c r="K188" s="15">
        <f>IFERROR(VLOOKUP(A188, AZInsight_Data!$A:$AS, 16, FALSE), 0)</f>
        <v/>
      </c>
      <c r="L188" s="15">
        <f>IFERROR(K188-T188-J188, 0)</f>
        <v/>
      </c>
      <c r="M188" s="16">
        <f>IFERROR(IF(T188=0, 0, L188/T188), 0)</f>
        <v/>
      </c>
      <c r="N188" s="14">
        <f>IFERROR(C188*($V$2/30), 0)</f>
        <v/>
      </c>
      <c r="O188">
        <f>IFERROR(VLOOKUP(A188, AZInsight_Data!$A:$AS, 40, FALSE), 1)</f>
        <v/>
      </c>
      <c r="P188" s="13">
        <f>IF(O188&gt;0, O188, 1)</f>
        <v/>
      </c>
      <c r="Q188" s="13">
        <f>IFERROR(U188/P188, 0)</f>
        <v/>
      </c>
      <c r="R188">
        <f>IFERROR(VLOOKUP(A188, AZInsight_Data!$A:$AS, 36, FALSE), "")</f>
        <v/>
      </c>
      <c r="S188">
        <f>IFERROR(VLOOKUP(A188, AZInsight_Data!$A:$AS, 3, FALSE), "")</f>
        <v/>
      </c>
      <c r="T188" s="17">
        <f>IFERROR(VLOOKUP(A188, AZInsight_Data!$A:$AS, 13, FALSE), 0)</f>
        <v/>
      </c>
      <c r="U188" s="13">
        <f>AH188</f>
        <v/>
      </c>
      <c r="V188" s="15">
        <f>T188*U188</f>
        <v/>
      </c>
      <c r="W188" s="16" t="n"/>
      <c r="X188" s="12">
        <f>IFERROR(VLOOKUP(A188, AZInsight_Data!$A:$AS, 40, FALSE), 1)</f>
        <v/>
      </c>
      <c r="Y188" s="13">
        <f>IFERROR(VLOOKUP(A188, IP Qty!$D:$R, 5, FALSE), 0)</f>
        <v/>
      </c>
      <c r="Z188" s="14">
        <f>IFERROR(VLOOKUP(A188, IP Qty!$D:$R, 6, FALSE), 0)</f>
        <v/>
      </c>
      <c r="AA188">
        <f>IFERROR(VLOOKUP(A188, IP Qty!$D:$R, 7, FALSE), 0)</f>
        <v/>
      </c>
      <c r="AB188">
        <f>IFERROR(VLOOKUP(A188, IP Qty!$D:$R, 9, FALSE), 0)</f>
        <v/>
      </c>
      <c r="AC188">
        <f>IFERROR(VLOOKUP(A188, IP Qty!$D:$R, 8, FALSE), 0)</f>
        <v/>
      </c>
      <c r="AD188" s="14">
        <f>IFERROR(VLOOKUP(A188, KEEPA!$A:$AW, 34, FALSE), 0)</f>
        <v/>
      </c>
      <c r="AE188" s="15">
        <f>IF(P188&gt;1, ((((M188&gt;=$AD$2)*(L188&gt;=$AH$2)) + ((M188&lt;$AD$2)*(M188&gt;=$AE$2)*(L188&gt;=$AG$2)) + ((M188&lt;$AE$2)*(M188&gt;=$AC$2)*(L188&gt;=0)))*2 * IF($AI$2=0, 1, AI188&lt;=$AI$2) * IF($AK$2=0, 1, AK188&lt;=$AK$2) * AND(N188&gt;=$D$1, H188&lt;=$I$2, G188&gt;=$H$2)), ((((M188&gt;=$AD$2)*(L188&gt;=$AH$2)) + ((M188&lt;$AD$2)*(M188&gt;=$AE$2)*(L188&gt;=$AG$2)) + ((M188&lt;$AE$2)*(M188&gt;=$AC$2)*(L188&gt;=0))) * IF($AI$2=0, 1, AI188&lt;=$AI$2) * IF($AK$2=0, 1, AK188&lt;=$AK$2) * AND(N188&gt;=$D$1, H188&lt;=$I$2, G188&gt;=$H$2)))</f>
        <v/>
      </c>
      <c r="AF188">
        <f>IF(AE188&gt;0, 1, 0)</f>
        <v/>
      </c>
      <c r="AG188">
        <f>IFERROR(IF(ISNUMBER(W188), IF(AN188, N188*W188*$AN$2, N188*W188), NA()), NA())</f>
        <v/>
      </c>
      <c r="AH188" s="13">
        <f>IFERROR(MIN(AG188, $U$2), 0)</f>
        <v/>
      </c>
      <c r="AI188" s="14">
        <f>IFERROR(VLOOKUP(A188, KEEPA!$A:$AW, 26, FALSE), 0)</f>
        <v/>
      </c>
      <c r="AJ188" s="16">
        <f>IFERROR(IF(AI188=0, 0, (AI188-H188)/H188), 0)</f>
        <v/>
      </c>
      <c r="AK188" s="14">
        <f>IFERROR(VLOOKUP(A188, KEEPA!$A:$AW, 28, FALSE), 0)</f>
        <v/>
      </c>
      <c r="AL188" s="16">
        <f>IFERROR(IF(AK188=0, 0, (AK188-H188)/H188), 0)</f>
        <v/>
      </c>
      <c r="AM188" s="13">
        <f>IFERROR(VLOOKUP(A188, AZInsight_Data!$A:$AS, 34, FALSE), 0)</f>
        <v/>
      </c>
      <c r="AN188">
        <f>IFERROR(AND(VLOOKUP(A188, KEEPA!$A:$AW, 2, FALSE)&lt;=$AO$2, N188 &gt;= $AM$2), FALSE)</f>
        <v/>
      </c>
      <c r="AO188" s="16">
        <f>IFERROR(VLOOKUP(A188, KEEPA!$A:$AW, 24, FALSE), 0)</f>
        <v/>
      </c>
      <c r="AP188" s="16">
        <f>IFERROR(VLOOKUP(A188, KEEPA!$A:$AW, 48, FALSE), 0)</f>
        <v/>
      </c>
      <c r="AQ188">
        <f>IFERROR(VLOOKUP(A188, AZInsight_Data!$A:$AS, 5, FALSE), "SL")</f>
        <v/>
      </c>
      <c r="AR188">
        <f>IF(OR(A188="", A188=0), "", HYPERLINK("https://keepa.com/#!product/1-"&amp;A188, "Keepa"))</f>
        <v/>
      </c>
      <c r="AS188">
        <f>IF(OR(A188="", A188=0), "", HYPERLINK("https://www.amazon.com/dp/"&amp;A188, "Amazon"))</f>
        <v/>
      </c>
      <c r="AT188">
        <f>IF(OR(A188="", A188=0), "", HYPERLINK("https://sellercentral.amazon.com/product-search/search?q="&amp;A188, "Check Gated"))</f>
        <v/>
      </c>
      <c r="AU188" s="12" t="n"/>
      <c r="AV188" s="12" t="n"/>
      <c r="AW188" s="12" t="n"/>
    </row>
    <row r="189">
      <c r="A189" s="12" t="n"/>
      <c r="B189" s="12">
        <f>IFERROR(VLOOKUP(A189, AZInsight_Data!$A:$AS, 3, FALSE), "")</f>
        <v/>
      </c>
      <c r="C189" s="13">
        <f>IFERROR(VLOOKUP(A189, AZInsight_Data!$A:$AS, 9, FALSE), 0)</f>
        <v/>
      </c>
      <c r="D189">
        <f>IFERROR(VLOOKUP(A189, AZInsight_Data!$A:$AS, 17, FALSE), 0)</f>
        <v/>
      </c>
      <c r="E189">
        <f>IFERROR(VLOOKUP(A189, AZInsight_Data!$A:$AS, 18, FALSE), 0)</f>
        <v/>
      </c>
      <c r="F189" s="14">
        <f>IFERROR(VLOOKUP(A189, AZInsight_Data!$A:$AS, 7, FALSE), 0)</f>
        <v/>
      </c>
      <c r="G189" s="15">
        <f>IFERROR(VLOOKUP(A189, AZInsight_Data!$A:$AS, 14, FALSE), 0)</f>
        <v/>
      </c>
      <c r="H189" s="14">
        <f>IFERROR(VLOOKUP(A189, AZInsight_Data!$A:$AS, 8, FALSE), 0)</f>
        <v/>
      </c>
      <c r="I189" s="16">
        <f>IFERROR(VLOOKUP(A189, KEEPA!$A:$AW, 47, FALSE), 0)</f>
        <v/>
      </c>
      <c r="J189">
        <f>IFERROR(VLOOKUP(A189, AZInsight_Data!$A:$AS, 25, FALSE), 0)</f>
        <v/>
      </c>
      <c r="K189" s="15">
        <f>IFERROR(VLOOKUP(A189, AZInsight_Data!$A:$AS, 16, FALSE), 0)</f>
        <v/>
      </c>
      <c r="L189" s="15">
        <f>IFERROR(K189-T189-J189, 0)</f>
        <v/>
      </c>
      <c r="M189" s="16">
        <f>IFERROR(IF(T189=0, 0, L189/T189), 0)</f>
        <v/>
      </c>
      <c r="N189" s="14">
        <f>IFERROR(C189*($V$2/30), 0)</f>
        <v/>
      </c>
      <c r="O189">
        <f>IFERROR(VLOOKUP(A189, AZInsight_Data!$A:$AS, 40, FALSE), 1)</f>
        <v/>
      </c>
      <c r="P189" s="13">
        <f>IF(O189&gt;0, O189, 1)</f>
        <v/>
      </c>
      <c r="Q189" s="13">
        <f>IFERROR(U189/P189, 0)</f>
        <v/>
      </c>
      <c r="R189">
        <f>IFERROR(VLOOKUP(A189, AZInsight_Data!$A:$AS, 36, FALSE), "")</f>
        <v/>
      </c>
      <c r="S189">
        <f>IFERROR(VLOOKUP(A189, AZInsight_Data!$A:$AS, 3, FALSE), "")</f>
        <v/>
      </c>
      <c r="T189" s="17">
        <f>IFERROR(VLOOKUP(A189, AZInsight_Data!$A:$AS, 13, FALSE), 0)</f>
        <v/>
      </c>
      <c r="U189" s="13">
        <f>AH189</f>
        <v/>
      </c>
      <c r="V189" s="15">
        <f>T189*U189</f>
        <v/>
      </c>
      <c r="W189" s="16" t="n"/>
      <c r="X189" s="12">
        <f>IFERROR(VLOOKUP(A189, AZInsight_Data!$A:$AS, 40, FALSE), 1)</f>
        <v/>
      </c>
      <c r="Y189" s="13">
        <f>IFERROR(VLOOKUP(A189, IP Qty!$D:$R, 5, FALSE), 0)</f>
        <v/>
      </c>
      <c r="Z189" s="14">
        <f>IFERROR(VLOOKUP(A189, IP Qty!$D:$R, 6, FALSE), 0)</f>
        <v/>
      </c>
      <c r="AA189">
        <f>IFERROR(VLOOKUP(A189, IP Qty!$D:$R, 7, FALSE), 0)</f>
        <v/>
      </c>
      <c r="AB189">
        <f>IFERROR(VLOOKUP(A189, IP Qty!$D:$R, 9, FALSE), 0)</f>
        <v/>
      </c>
      <c r="AC189">
        <f>IFERROR(VLOOKUP(A189, IP Qty!$D:$R, 8, FALSE), 0)</f>
        <v/>
      </c>
      <c r="AD189" s="14">
        <f>IFERROR(VLOOKUP(A189, KEEPA!$A:$AW, 34, FALSE), 0)</f>
        <v/>
      </c>
      <c r="AE189" s="15">
        <f>IF(P189&gt;1, ((((M189&gt;=$AD$2)*(L189&gt;=$AH$2)) + ((M189&lt;$AD$2)*(M189&gt;=$AE$2)*(L189&gt;=$AG$2)) + ((M189&lt;$AE$2)*(M189&gt;=$AC$2)*(L189&gt;=0)))*2 * IF($AI$2=0, 1, AI189&lt;=$AI$2) * IF($AK$2=0, 1, AK189&lt;=$AK$2) * AND(N189&gt;=$D$1, H189&lt;=$I$2, G189&gt;=$H$2)), ((((M189&gt;=$AD$2)*(L189&gt;=$AH$2)) + ((M189&lt;$AD$2)*(M189&gt;=$AE$2)*(L189&gt;=$AG$2)) + ((M189&lt;$AE$2)*(M189&gt;=$AC$2)*(L189&gt;=0))) * IF($AI$2=0, 1, AI189&lt;=$AI$2) * IF($AK$2=0, 1, AK189&lt;=$AK$2) * AND(N189&gt;=$D$1, H189&lt;=$I$2, G189&gt;=$H$2)))</f>
        <v/>
      </c>
      <c r="AF189">
        <f>IF(AE189&gt;0, 1, 0)</f>
        <v/>
      </c>
      <c r="AG189">
        <f>IFERROR(IF(ISNUMBER(W189), IF(AN189, N189*W189*$AN$2, N189*W189), NA()), NA())</f>
        <v/>
      </c>
      <c r="AH189" s="13">
        <f>IFERROR(MIN(AG189, $U$2), 0)</f>
        <v/>
      </c>
      <c r="AI189" s="14">
        <f>IFERROR(VLOOKUP(A189, KEEPA!$A:$AW, 26, FALSE), 0)</f>
        <v/>
      </c>
      <c r="AJ189" s="16">
        <f>IFERROR(IF(AI189=0, 0, (AI189-H189)/H189), 0)</f>
        <v/>
      </c>
      <c r="AK189" s="14">
        <f>IFERROR(VLOOKUP(A189, KEEPA!$A:$AW, 28, FALSE), 0)</f>
        <v/>
      </c>
      <c r="AL189" s="16">
        <f>IFERROR(IF(AK189=0, 0, (AK189-H189)/H189), 0)</f>
        <v/>
      </c>
      <c r="AM189" s="13">
        <f>IFERROR(VLOOKUP(A189, AZInsight_Data!$A:$AS, 34, FALSE), 0)</f>
        <v/>
      </c>
      <c r="AN189">
        <f>IFERROR(AND(VLOOKUP(A189, KEEPA!$A:$AW, 2, FALSE)&lt;=$AO$2, N189 &gt;= $AM$2), FALSE)</f>
        <v/>
      </c>
      <c r="AO189" s="16">
        <f>IFERROR(VLOOKUP(A189, KEEPA!$A:$AW, 24, FALSE), 0)</f>
        <v/>
      </c>
      <c r="AP189" s="16">
        <f>IFERROR(VLOOKUP(A189, KEEPA!$A:$AW, 48, FALSE), 0)</f>
        <v/>
      </c>
      <c r="AQ189">
        <f>IFERROR(VLOOKUP(A189, AZInsight_Data!$A:$AS, 5, FALSE), "SL")</f>
        <v/>
      </c>
      <c r="AR189">
        <f>IF(OR(A189="", A189=0), "", HYPERLINK("https://keepa.com/#!product/1-"&amp;A189, "Keepa"))</f>
        <v/>
      </c>
      <c r="AS189">
        <f>IF(OR(A189="", A189=0), "", HYPERLINK("https://www.amazon.com/dp/"&amp;A189, "Amazon"))</f>
        <v/>
      </c>
      <c r="AT189">
        <f>IF(OR(A189="", A189=0), "", HYPERLINK("https://sellercentral.amazon.com/product-search/search?q="&amp;A189, "Check Gated"))</f>
        <v/>
      </c>
      <c r="AU189" s="12" t="n"/>
      <c r="AV189" s="12" t="n"/>
      <c r="AW189" s="12" t="n"/>
    </row>
    <row r="190">
      <c r="A190" s="12" t="n"/>
      <c r="B190" s="12">
        <f>IFERROR(VLOOKUP(A190, AZInsight_Data!$A:$AS, 3, FALSE), "")</f>
        <v/>
      </c>
      <c r="C190" s="13">
        <f>IFERROR(VLOOKUP(A190, AZInsight_Data!$A:$AS, 9, FALSE), 0)</f>
        <v/>
      </c>
      <c r="D190">
        <f>IFERROR(VLOOKUP(A190, AZInsight_Data!$A:$AS, 17, FALSE), 0)</f>
        <v/>
      </c>
      <c r="E190">
        <f>IFERROR(VLOOKUP(A190, AZInsight_Data!$A:$AS, 18, FALSE), 0)</f>
        <v/>
      </c>
      <c r="F190" s="14">
        <f>IFERROR(VLOOKUP(A190, AZInsight_Data!$A:$AS, 7, FALSE), 0)</f>
        <v/>
      </c>
      <c r="G190" s="15">
        <f>IFERROR(VLOOKUP(A190, AZInsight_Data!$A:$AS, 14, FALSE), 0)</f>
        <v/>
      </c>
      <c r="H190" s="14">
        <f>IFERROR(VLOOKUP(A190, AZInsight_Data!$A:$AS, 8, FALSE), 0)</f>
        <v/>
      </c>
      <c r="I190" s="16">
        <f>IFERROR(VLOOKUP(A190, KEEPA!$A:$AW, 47, FALSE), 0)</f>
        <v/>
      </c>
      <c r="J190">
        <f>IFERROR(VLOOKUP(A190, AZInsight_Data!$A:$AS, 25, FALSE), 0)</f>
        <v/>
      </c>
      <c r="K190" s="15">
        <f>IFERROR(VLOOKUP(A190, AZInsight_Data!$A:$AS, 16, FALSE), 0)</f>
        <v/>
      </c>
      <c r="L190" s="15">
        <f>IFERROR(K190-T190-J190, 0)</f>
        <v/>
      </c>
      <c r="M190" s="16">
        <f>IFERROR(IF(T190=0, 0, L190/T190), 0)</f>
        <v/>
      </c>
      <c r="N190" s="14">
        <f>IFERROR(C190*($V$2/30), 0)</f>
        <v/>
      </c>
      <c r="O190">
        <f>IFERROR(VLOOKUP(A190, AZInsight_Data!$A:$AS, 40, FALSE), 1)</f>
        <v/>
      </c>
      <c r="P190" s="13">
        <f>IF(O190&gt;0, O190, 1)</f>
        <v/>
      </c>
      <c r="Q190" s="13">
        <f>IFERROR(U190/P190, 0)</f>
        <v/>
      </c>
      <c r="R190">
        <f>IFERROR(VLOOKUP(A190, AZInsight_Data!$A:$AS, 36, FALSE), "")</f>
        <v/>
      </c>
      <c r="S190">
        <f>IFERROR(VLOOKUP(A190, AZInsight_Data!$A:$AS, 3, FALSE), "")</f>
        <v/>
      </c>
      <c r="T190" s="17">
        <f>IFERROR(VLOOKUP(A190, AZInsight_Data!$A:$AS, 13, FALSE), 0)</f>
        <v/>
      </c>
      <c r="U190" s="13">
        <f>AH190</f>
        <v/>
      </c>
      <c r="V190" s="15">
        <f>T190*U190</f>
        <v/>
      </c>
      <c r="W190" s="16" t="n"/>
      <c r="X190" s="12">
        <f>IFERROR(VLOOKUP(A190, AZInsight_Data!$A:$AS, 40, FALSE), 1)</f>
        <v/>
      </c>
      <c r="Y190" s="13">
        <f>IFERROR(VLOOKUP(A190, IP Qty!$D:$R, 5, FALSE), 0)</f>
        <v/>
      </c>
      <c r="Z190" s="14">
        <f>IFERROR(VLOOKUP(A190, IP Qty!$D:$R, 6, FALSE), 0)</f>
        <v/>
      </c>
      <c r="AA190">
        <f>IFERROR(VLOOKUP(A190, IP Qty!$D:$R, 7, FALSE), 0)</f>
        <v/>
      </c>
      <c r="AB190">
        <f>IFERROR(VLOOKUP(A190, IP Qty!$D:$R, 9, FALSE), 0)</f>
        <v/>
      </c>
      <c r="AC190">
        <f>IFERROR(VLOOKUP(A190, IP Qty!$D:$R, 8, FALSE), 0)</f>
        <v/>
      </c>
      <c r="AD190" s="14">
        <f>IFERROR(VLOOKUP(A190, KEEPA!$A:$AW, 34, FALSE), 0)</f>
        <v/>
      </c>
      <c r="AE190" s="15">
        <f>IF(P190&gt;1, ((((M190&gt;=$AD$2)*(L190&gt;=$AH$2)) + ((M190&lt;$AD$2)*(M190&gt;=$AE$2)*(L190&gt;=$AG$2)) + ((M190&lt;$AE$2)*(M190&gt;=$AC$2)*(L190&gt;=0)))*2 * IF($AI$2=0, 1, AI190&lt;=$AI$2) * IF($AK$2=0, 1, AK190&lt;=$AK$2) * AND(N190&gt;=$D$1, H190&lt;=$I$2, G190&gt;=$H$2)), ((((M190&gt;=$AD$2)*(L190&gt;=$AH$2)) + ((M190&lt;$AD$2)*(M190&gt;=$AE$2)*(L190&gt;=$AG$2)) + ((M190&lt;$AE$2)*(M190&gt;=$AC$2)*(L190&gt;=0))) * IF($AI$2=0, 1, AI190&lt;=$AI$2) * IF($AK$2=0, 1, AK190&lt;=$AK$2) * AND(N190&gt;=$D$1, H190&lt;=$I$2, G190&gt;=$H$2)))</f>
        <v/>
      </c>
      <c r="AF190">
        <f>IF(AE190&gt;0, 1, 0)</f>
        <v/>
      </c>
      <c r="AG190">
        <f>IFERROR(IF(ISNUMBER(W190), IF(AN190, N190*W190*$AN$2, N190*W190), NA()), NA())</f>
        <v/>
      </c>
      <c r="AH190" s="13">
        <f>IFERROR(MIN(AG190, $U$2), 0)</f>
        <v/>
      </c>
      <c r="AI190" s="14">
        <f>IFERROR(VLOOKUP(A190, KEEPA!$A:$AW, 26, FALSE), 0)</f>
        <v/>
      </c>
      <c r="AJ190" s="16">
        <f>IFERROR(IF(AI190=0, 0, (AI190-H190)/H190), 0)</f>
        <v/>
      </c>
      <c r="AK190" s="14">
        <f>IFERROR(VLOOKUP(A190, KEEPA!$A:$AW, 28, FALSE), 0)</f>
        <v/>
      </c>
      <c r="AL190" s="16">
        <f>IFERROR(IF(AK190=0, 0, (AK190-H190)/H190), 0)</f>
        <v/>
      </c>
      <c r="AM190" s="13">
        <f>IFERROR(VLOOKUP(A190, AZInsight_Data!$A:$AS, 34, FALSE), 0)</f>
        <v/>
      </c>
      <c r="AN190">
        <f>IFERROR(AND(VLOOKUP(A190, KEEPA!$A:$AW, 2, FALSE)&lt;=$AO$2, N190 &gt;= $AM$2), FALSE)</f>
        <v/>
      </c>
      <c r="AO190" s="16">
        <f>IFERROR(VLOOKUP(A190, KEEPA!$A:$AW, 24, FALSE), 0)</f>
        <v/>
      </c>
      <c r="AP190" s="16">
        <f>IFERROR(VLOOKUP(A190, KEEPA!$A:$AW, 48, FALSE), 0)</f>
        <v/>
      </c>
      <c r="AQ190">
        <f>IFERROR(VLOOKUP(A190, AZInsight_Data!$A:$AS, 5, FALSE), "SL")</f>
        <v/>
      </c>
      <c r="AR190">
        <f>IF(OR(A190="", A190=0), "", HYPERLINK("https://keepa.com/#!product/1-"&amp;A190, "Keepa"))</f>
        <v/>
      </c>
      <c r="AS190">
        <f>IF(OR(A190="", A190=0), "", HYPERLINK("https://www.amazon.com/dp/"&amp;A190, "Amazon"))</f>
        <v/>
      </c>
      <c r="AT190">
        <f>IF(OR(A190="", A190=0), "", HYPERLINK("https://sellercentral.amazon.com/product-search/search?q="&amp;A190, "Check Gated"))</f>
        <v/>
      </c>
      <c r="AU190" s="12" t="n"/>
      <c r="AV190" s="12" t="n"/>
      <c r="AW190" s="12" t="n"/>
    </row>
    <row r="191">
      <c r="A191" s="12" t="n"/>
      <c r="B191" s="12">
        <f>IFERROR(VLOOKUP(A191, AZInsight_Data!$A:$AS, 3, FALSE), "")</f>
        <v/>
      </c>
      <c r="C191" s="13">
        <f>IFERROR(VLOOKUP(A191, AZInsight_Data!$A:$AS, 9, FALSE), 0)</f>
        <v/>
      </c>
      <c r="D191">
        <f>IFERROR(VLOOKUP(A191, AZInsight_Data!$A:$AS, 17, FALSE), 0)</f>
        <v/>
      </c>
      <c r="E191">
        <f>IFERROR(VLOOKUP(A191, AZInsight_Data!$A:$AS, 18, FALSE), 0)</f>
        <v/>
      </c>
      <c r="F191" s="14">
        <f>IFERROR(VLOOKUP(A191, AZInsight_Data!$A:$AS, 7, FALSE), 0)</f>
        <v/>
      </c>
      <c r="G191" s="15">
        <f>IFERROR(VLOOKUP(A191, AZInsight_Data!$A:$AS, 14, FALSE), 0)</f>
        <v/>
      </c>
      <c r="H191" s="14">
        <f>IFERROR(VLOOKUP(A191, AZInsight_Data!$A:$AS, 8, FALSE), 0)</f>
        <v/>
      </c>
      <c r="I191" s="16">
        <f>IFERROR(VLOOKUP(A191, KEEPA!$A:$AW, 47, FALSE), 0)</f>
        <v/>
      </c>
      <c r="J191">
        <f>IFERROR(VLOOKUP(A191, AZInsight_Data!$A:$AS, 25, FALSE), 0)</f>
        <v/>
      </c>
      <c r="K191" s="15">
        <f>IFERROR(VLOOKUP(A191, AZInsight_Data!$A:$AS, 16, FALSE), 0)</f>
        <v/>
      </c>
      <c r="L191" s="15">
        <f>IFERROR(K191-T191-J191, 0)</f>
        <v/>
      </c>
      <c r="M191" s="16">
        <f>IFERROR(IF(T191=0, 0, L191/T191), 0)</f>
        <v/>
      </c>
      <c r="N191" s="14">
        <f>IFERROR(C191*($V$2/30), 0)</f>
        <v/>
      </c>
      <c r="O191">
        <f>IFERROR(VLOOKUP(A191, AZInsight_Data!$A:$AS, 40, FALSE), 1)</f>
        <v/>
      </c>
      <c r="P191" s="13">
        <f>IF(O191&gt;0, O191, 1)</f>
        <v/>
      </c>
      <c r="Q191" s="13">
        <f>IFERROR(U191/P191, 0)</f>
        <v/>
      </c>
      <c r="R191">
        <f>IFERROR(VLOOKUP(A191, AZInsight_Data!$A:$AS, 36, FALSE), "")</f>
        <v/>
      </c>
      <c r="S191">
        <f>IFERROR(VLOOKUP(A191, AZInsight_Data!$A:$AS, 3, FALSE), "")</f>
        <v/>
      </c>
      <c r="T191" s="17">
        <f>IFERROR(VLOOKUP(A191, AZInsight_Data!$A:$AS, 13, FALSE), 0)</f>
        <v/>
      </c>
      <c r="U191" s="13">
        <f>AH191</f>
        <v/>
      </c>
      <c r="V191" s="15">
        <f>T191*U191</f>
        <v/>
      </c>
      <c r="W191" s="16" t="n"/>
      <c r="X191" s="12">
        <f>IFERROR(VLOOKUP(A191, AZInsight_Data!$A:$AS, 40, FALSE), 1)</f>
        <v/>
      </c>
      <c r="Y191" s="13">
        <f>IFERROR(VLOOKUP(A191, IP Qty!$D:$R, 5, FALSE), 0)</f>
        <v/>
      </c>
      <c r="Z191" s="14">
        <f>IFERROR(VLOOKUP(A191, IP Qty!$D:$R, 6, FALSE), 0)</f>
        <v/>
      </c>
      <c r="AA191">
        <f>IFERROR(VLOOKUP(A191, IP Qty!$D:$R, 7, FALSE), 0)</f>
        <v/>
      </c>
      <c r="AB191">
        <f>IFERROR(VLOOKUP(A191, IP Qty!$D:$R, 9, FALSE), 0)</f>
        <v/>
      </c>
      <c r="AC191">
        <f>IFERROR(VLOOKUP(A191, IP Qty!$D:$R, 8, FALSE), 0)</f>
        <v/>
      </c>
      <c r="AD191" s="14">
        <f>IFERROR(VLOOKUP(A191, KEEPA!$A:$AW, 34, FALSE), 0)</f>
        <v/>
      </c>
      <c r="AE191" s="15">
        <f>IF(P191&gt;1, ((((M191&gt;=$AD$2)*(L191&gt;=$AH$2)) + ((M191&lt;$AD$2)*(M191&gt;=$AE$2)*(L191&gt;=$AG$2)) + ((M191&lt;$AE$2)*(M191&gt;=$AC$2)*(L191&gt;=0)))*2 * IF($AI$2=0, 1, AI191&lt;=$AI$2) * IF($AK$2=0, 1, AK191&lt;=$AK$2) * AND(N191&gt;=$D$1, H191&lt;=$I$2, G191&gt;=$H$2)), ((((M191&gt;=$AD$2)*(L191&gt;=$AH$2)) + ((M191&lt;$AD$2)*(M191&gt;=$AE$2)*(L191&gt;=$AG$2)) + ((M191&lt;$AE$2)*(M191&gt;=$AC$2)*(L191&gt;=0))) * IF($AI$2=0, 1, AI191&lt;=$AI$2) * IF($AK$2=0, 1, AK191&lt;=$AK$2) * AND(N191&gt;=$D$1, H191&lt;=$I$2, G191&gt;=$H$2)))</f>
        <v/>
      </c>
      <c r="AF191">
        <f>IF(AE191&gt;0, 1, 0)</f>
        <v/>
      </c>
      <c r="AG191">
        <f>IFERROR(IF(ISNUMBER(W191), IF(AN191, N191*W191*$AN$2, N191*W191), NA()), NA())</f>
        <v/>
      </c>
      <c r="AH191" s="13">
        <f>IFERROR(MIN(AG191, $U$2), 0)</f>
        <v/>
      </c>
      <c r="AI191" s="14">
        <f>IFERROR(VLOOKUP(A191, KEEPA!$A:$AW, 26, FALSE), 0)</f>
        <v/>
      </c>
      <c r="AJ191" s="16">
        <f>IFERROR(IF(AI191=0, 0, (AI191-H191)/H191), 0)</f>
        <v/>
      </c>
      <c r="AK191" s="14">
        <f>IFERROR(VLOOKUP(A191, KEEPA!$A:$AW, 28, FALSE), 0)</f>
        <v/>
      </c>
      <c r="AL191" s="16">
        <f>IFERROR(IF(AK191=0, 0, (AK191-H191)/H191), 0)</f>
        <v/>
      </c>
      <c r="AM191" s="13">
        <f>IFERROR(VLOOKUP(A191, AZInsight_Data!$A:$AS, 34, FALSE), 0)</f>
        <v/>
      </c>
      <c r="AN191">
        <f>IFERROR(AND(VLOOKUP(A191, KEEPA!$A:$AW, 2, FALSE)&lt;=$AO$2, N191 &gt;= $AM$2), FALSE)</f>
        <v/>
      </c>
      <c r="AO191" s="16">
        <f>IFERROR(VLOOKUP(A191, KEEPA!$A:$AW, 24, FALSE), 0)</f>
        <v/>
      </c>
      <c r="AP191" s="16">
        <f>IFERROR(VLOOKUP(A191, KEEPA!$A:$AW, 48, FALSE), 0)</f>
        <v/>
      </c>
      <c r="AQ191">
        <f>IFERROR(VLOOKUP(A191, AZInsight_Data!$A:$AS, 5, FALSE), "SL")</f>
        <v/>
      </c>
      <c r="AR191">
        <f>IF(OR(A191="", A191=0), "", HYPERLINK("https://keepa.com/#!product/1-"&amp;A191, "Keepa"))</f>
        <v/>
      </c>
      <c r="AS191">
        <f>IF(OR(A191="", A191=0), "", HYPERLINK("https://www.amazon.com/dp/"&amp;A191, "Amazon"))</f>
        <v/>
      </c>
      <c r="AT191">
        <f>IF(OR(A191="", A191=0), "", HYPERLINK("https://sellercentral.amazon.com/product-search/search?q="&amp;A191, "Check Gated"))</f>
        <v/>
      </c>
      <c r="AU191" s="12" t="n"/>
      <c r="AV191" s="12" t="n"/>
      <c r="AW191" s="12" t="n"/>
    </row>
    <row r="192">
      <c r="A192" s="12" t="n"/>
      <c r="B192" s="12">
        <f>IFERROR(VLOOKUP(A192, AZInsight_Data!$A:$AS, 3, FALSE), "")</f>
        <v/>
      </c>
      <c r="C192" s="13">
        <f>IFERROR(VLOOKUP(A192, AZInsight_Data!$A:$AS, 9, FALSE), 0)</f>
        <v/>
      </c>
      <c r="D192">
        <f>IFERROR(VLOOKUP(A192, AZInsight_Data!$A:$AS, 17, FALSE), 0)</f>
        <v/>
      </c>
      <c r="E192">
        <f>IFERROR(VLOOKUP(A192, AZInsight_Data!$A:$AS, 18, FALSE), 0)</f>
        <v/>
      </c>
      <c r="F192" s="14">
        <f>IFERROR(VLOOKUP(A192, AZInsight_Data!$A:$AS, 7, FALSE), 0)</f>
        <v/>
      </c>
      <c r="G192" s="15">
        <f>IFERROR(VLOOKUP(A192, AZInsight_Data!$A:$AS, 14, FALSE), 0)</f>
        <v/>
      </c>
      <c r="H192" s="14">
        <f>IFERROR(VLOOKUP(A192, AZInsight_Data!$A:$AS, 8, FALSE), 0)</f>
        <v/>
      </c>
      <c r="I192" s="16">
        <f>IFERROR(VLOOKUP(A192, KEEPA!$A:$AW, 47, FALSE), 0)</f>
        <v/>
      </c>
      <c r="J192">
        <f>IFERROR(VLOOKUP(A192, AZInsight_Data!$A:$AS, 25, FALSE), 0)</f>
        <v/>
      </c>
      <c r="K192" s="15">
        <f>IFERROR(VLOOKUP(A192, AZInsight_Data!$A:$AS, 16, FALSE), 0)</f>
        <v/>
      </c>
      <c r="L192" s="15">
        <f>IFERROR(K192-T192-J192, 0)</f>
        <v/>
      </c>
      <c r="M192" s="16">
        <f>IFERROR(IF(T192=0, 0, L192/T192), 0)</f>
        <v/>
      </c>
      <c r="N192" s="14">
        <f>IFERROR(C192*($V$2/30), 0)</f>
        <v/>
      </c>
      <c r="O192">
        <f>IFERROR(VLOOKUP(A192, AZInsight_Data!$A:$AS, 40, FALSE), 1)</f>
        <v/>
      </c>
      <c r="P192" s="13">
        <f>IF(O192&gt;0, O192, 1)</f>
        <v/>
      </c>
      <c r="Q192" s="13">
        <f>IFERROR(U192/P192, 0)</f>
        <v/>
      </c>
      <c r="R192">
        <f>IFERROR(VLOOKUP(A192, AZInsight_Data!$A:$AS, 36, FALSE), "")</f>
        <v/>
      </c>
      <c r="S192">
        <f>IFERROR(VLOOKUP(A192, AZInsight_Data!$A:$AS, 3, FALSE), "")</f>
        <v/>
      </c>
      <c r="T192" s="17">
        <f>IFERROR(VLOOKUP(A192, AZInsight_Data!$A:$AS, 13, FALSE), 0)</f>
        <v/>
      </c>
      <c r="U192" s="13">
        <f>AH192</f>
        <v/>
      </c>
      <c r="V192" s="15">
        <f>T192*U192</f>
        <v/>
      </c>
      <c r="W192" s="16" t="n"/>
      <c r="X192" s="12">
        <f>IFERROR(VLOOKUP(A192, AZInsight_Data!$A:$AS, 40, FALSE), 1)</f>
        <v/>
      </c>
      <c r="Y192" s="13">
        <f>IFERROR(VLOOKUP(A192, IP Qty!$D:$R, 5, FALSE), 0)</f>
        <v/>
      </c>
      <c r="Z192" s="14">
        <f>IFERROR(VLOOKUP(A192, IP Qty!$D:$R, 6, FALSE), 0)</f>
        <v/>
      </c>
      <c r="AA192">
        <f>IFERROR(VLOOKUP(A192, IP Qty!$D:$R, 7, FALSE), 0)</f>
        <v/>
      </c>
      <c r="AB192">
        <f>IFERROR(VLOOKUP(A192, IP Qty!$D:$R, 9, FALSE), 0)</f>
        <v/>
      </c>
      <c r="AC192">
        <f>IFERROR(VLOOKUP(A192, IP Qty!$D:$R, 8, FALSE), 0)</f>
        <v/>
      </c>
      <c r="AD192" s="14">
        <f>IFERROR(VLOOKUP(A192, KEEPA!$A:$AW, 34, FALSE), 0)</f>
        <v/>
      </c>
      <c r="AE192" s="15">
        <f>IF(P192&gt;1, ((((M192&gt;=$AD$2)*(L192&gt;=$AH$2)) + ((M192&lt;$AD$2)*(M192&gt;=$AE$2)*(L192&gt;=$AG$2)) + ((M192&lt;$AE$2)*(M192&gt;=$AC$2)*(L192&gt;=0)))*2 * IF($AI$2=0, 1, AI192&lt;=$AI$2) * IF($AK$2=0, 1, AK192&lt;=$AK$2) * AND(N192&gt;=$D$1, H192&lt;=$I$2, G192&gt;=$H$2)), ((((M192&gt;=$AD$2)*(L192&gt;=$AH$2)) + ((M192&lt;$AD$2)*(M192&gt;=$AE$2)*(L192&gt;=$AG$2)) + ((M192&lt;$AE$2)*(M192&gt;=$AC$2)*(L192&gt;=0))) * IF($AI$2=0, 1, AI192&lt;=$AI$2) * IF($AK$2=0, 1, AK192&lt;=$AK$2) * AND(N192&gt;=$D$1, H192&lt;=$I$2, G192&gt;=$H$2)))</f>
        <v/>
      </c>
      <c r="AF192">
        <f>IF(AE192&gt;0, 1, 0)</f>
        <v/>
      </c>
      <c r="AG192">
        <f>IFERROR(IF(ISNUMBER(W192), IF(AN192, N192*W192*$AN$2, N192*W192), NA()), NA())</f>
        <v/>
      </c>
      <c r="AH192" s="13">
        <f>IFERROR(MIN(AG192, $U$2), 0)</f>
        <v/>
      </c>
      <c r="AI192" s="14">
        <f>IFERROR(VLOOKUP(A192, KEEPA!$A:$AW, 26, FALSE), 0)</f>
        <v/>
      </c>
      <c r="AJ192" s="16">
        <f>IFERROR(IF(AI192=0, 0, (AI192-H192)/H192), 0)</f>
        <v/>
      </c>
      <c r="AK192" s="14">
        <f>IFERROR(VLOOKUP(A192, KEEPA!$A:$AW, 28, FALSE), 0)</f>
        <v/>
      </c>
      <c r="AL192" s="16">
        <f>IFERROR(IF(AK192=0, 0, (AK192-H192)/H192), 0)</f>
        <v/>
      </c>
      <c r="AM192" s="13">
        <f>IFERROR(VLOOKUP(A192, AZInsight_Data!$A:$AS, 34, FALSE), 0)</f>
        <v/>
      </c>
      <c r="AN192">
        <f>IFERROR(AND(VLOOKUP(A192, KEEPA!$A:$AW, 2, FALSE)&lt;=$AO$2, N192 &gt;= $AM$2), FALSE)</f>
        <v/>
      </c>
      <c r="AO192" s="16">
        <f>IFERROR(VLOOKUP(A192, KEEPA!$A:$AW, 24, FALSE), 0)</f>
        <v/>
      </c>
      <c r="AP192" s="16">
        <f>IFERROR(VLOOKUP(A192, KEEPA!$A:$AW, 48, FALSE), 0)</f>
        <v/>
      </c>
      <c r="AQ192">
        <f>IFERROR(VLOOKUP(A192, AZInsight_Data!$A:$AS, 5, FALSE), "SL")</f>
        <v/>
      </c>
      <c r="AR192">
        <f>IF(OR(A192="", A192=0), "", HYPERLINK("https://keepa.com/#!product/1-"&amp;A192, "Keepa"))</f>
        <v/>
      </c>
      <c r="AS192">
        <f>IF(OR(A192="", A192=0), "", HYPERLINK("https://www.amazon.com/dp/"&amp;A192, "Amazon"))</f>
        <v/>
      </c>
      <c r="AT192">
        <f>IF(OR(A192="", A192=0), "", HYPERLINK("https://sellercentral.amazon.com/product-search/search?q="&amp;A192, "Check Gated"))</f>
        <v/>
      </c>
      <c r="AU192" s="12" t="n"/>
      <c r="AV192" s="12" t="n"/>
      <c r="AW192" s="12" t="n"/>
    </row>
    <row r="193">
      <c r="A193" s="12" t="n"/>
      <c r="B193" s="12">
        <f>IFERROR(VLOOKUP(A193, AZInsight_Data!$A:$AS, 3, FALSE), "")</f>
        <v/>
      </c>
      <c r="C193" s="13">
        <f>IFERROR(VLOOKUP(A193, AZInsight_Data!$A:$AS, 9, FALSE), 0)</f>
        <v/>
      </c>
      <c r="D193">
        <f>IFERROR(VLOOKUP(A193, AZInsight_Data!$A:$AS, 17, FALSE), 0)</f>
        <v/>
      </c>
      <c r="E193">
        <f>IFERROR(VLOOKUP(A193, AZInsight_Data!$A:$AS, 18, FALSE), 0)</f>
        <v/>
      </c>
      <c r="F193" s="14">
        <f>IFERROR(VLOOKUP(A193, AZInsight_Data!$A:$AS, 7, FALSE), 0)</f>
        <v/>
      </c>
      <c r="G193" s="15">
        <f>IFERROR(VLOOKUP(A193, AZInsight_Data!$A:$AS, 14, FALSE), 0)</f>
        <v/>
      </c>
      <c r="H193" s="14">
        <f>IFERROR(VLOOKUP(A193, AZInsight_Data!$A:$AS, 8, FALSE), 0)</f>
        <v/>
      </c>
      <c r="I193" s="16">
        <f>IFERROR(VLOOKUP(A193, KEEPA!$A:$AW, 47, FALSE), 0)</f>
        <v/>
      </c>
      <c r="J193">
        <f>IFERROR(VLOOKUP(A193, AZInsight_Data!$A:$AS, 25, FALSE), 0)</f>
        <v/>
      </c>
      <c r="K193" s="15">
        <f>IFERROR(VLOOKUP(A193, AZInsight_Data!$A:$AS, 16, FALSE), 0)</f>
        <v/>
      </c>
      <c r="L193" s="15">
        <f>IFERROR(K193-T193-J193, 0)</f>
        <v/>
      </c>
      <c r="M193" s="16">
        <f>IFERROR(IF(T193=0, 0, L193/T193), 0)</f>
        <v/>
      </c>
      <c r="N193" s="14">
        <f>IFERROR(C193*($V$2/30), 0)</f>
        <v/>
      </c>
      <c r="O193">
        <f>IFERROR(VLOOKUP(A193, AZInsight_Data!$A:$AS, 40, FALSE), 1)</f>
        <v/>
      </c>
      <c r="P193" s="13">
        <f>IF(O193&gt;0, O193, 1)</f>
        <v/>
      </c>
      <c r="Q193" s="13">
        <f>IFERROR(U193/P193, 0)</f>
        <v/>
      </c>
      <c r="R193">
        <f>IFERROR(VLOOKUP(A193, AZInsight_Data!$A:$AS, 36, FALSE), "")</f>
        <v/>
      </c>
      <c r="S193">
        <f>IFERROR(VLOOKUP(A193, AZInsight_Data!$A:$AS, 3, FALSE), "")</f>
        <v/>
      </c>
      <c r="T193" s="17">
        <f>IFERROR(VLOOKUP(A193, AZInsight_Data!$A:$AS, 13, FALSE), 0)</f>
        <v/>
      </c>
      <c r="U193" s="13">
        <f>AH193</f>
        <v/>
      </c>
      <c r="V193" s="15">
        <f>T193*U193</f>
        <v/>
      </c>
      <c r="W193" s="16" t="n"/>
      <c r="X193" s="12">
        <f>IFERROR(VLOOKUP(A193, AZInsight_Data!$A:$AS, 40, FALSE), 1)</f>
        <v/>
      </c>
      <c r="Y193" s="13">
        <f>IFERROR(VLOOKUP(A193, IP Qty!$D:$R, 5, FALSE), 0)</f>
        <v/>
      </c>
      <c r="Z193" s="14">
        <f>IFERROR(VLOOKUP(A193, IP Qty!$D:$R, 6, FALSE), 0)</f>
        <v/>
      </c>
      <c r="AA193">
        <f>IFERROR(VLOOKUP(A193, IP Qty!$D:$R, 7, FALSE), 0)</f>
        <v/>
      </c>
      <c r="AB193">
        <f>IFERROR(VLOOKUP(A193, IP Qty!$D:$R, 9, FALSE), 0)</f>
        <v/>
      </c>
      <c r="AC193">
        <f>IFERROR(VLOOKUP(A193, IP Qty!$D:$R, 8, FALSE), 0)</f>
        <v/>
      </c>
      <c r="AD193" s="14">
        <f>IFERROR(VLOOKUP(A193, KEEPA!$A:$AW, 34, FALSE), 0)</f>
        <v/>
      </c>
      <c r="AE193" s="15">
        <f>IF(P193&gt;1, ((((M193&gt;=$AD$2)*(L193&gt;=$AH$2)) + ((M193&lt;$AD$2)*(M193&gt;=$AE$2)*(L193&gt;=$AG$2)) + ((M193&lt;$AE$2)*(M193&gt;=$AC$2)*(L193&gt;=0)))*2 * IF($AI$2=0, 1, AI193&lt;=$AI$2) * IF($AK$2=0, 1, AK193&lt;=$AK$2) * AND(N193&gt;=$D$1, H193&lt;=$I$2, G193&gt;=$H$2)), ((((M193&gt;=$AD$2)*(L193&gt;=$AH$2)) + ((M193&lt;$AD$2)*(M193&gt;=$AE$2)*(L193&gt;=$AG$2)) + ((M193&lt;$AE$2)*(M193&gt;=$AC$2)*(L193&gt;=0))) * IF($AI$2=0, 1, AI193&lt;=$AI$2) * IF($AK$2=0, 1, AK193&lt;=$AK$2) * AND(N193&gt;=$D$1, H193&lt;=$I$2, G193&gt;=$H$2)))</f>
        <v/>
      </c>
      <c r="AF193">
        <f>IF(AE193&gt;0, 1, 0)</f>
        <v/>
      </c>
      <c r="AG193">
        <f>IFERROR(IF(ISNUMBER(W193), IF(AN193, N193*W193*$AN$2, N193*W193), NA()), NA())</f>
        <v/>
      </c>
      <c r="AH193" s="13">
        <f>IFERROR(MIN(AG193, $U$2), 0)</f>
        <v/>
      </c>
      <c r="AI193" s="14">
        <f>IFERROR(VLOOKUP(A193, KEEPA!$A:$AW, 26, FALSE), 0)</f>
        <v/>
      </c>
      <c r="AJ193" s="16">
        <f>IFERROR(IF(AI193=0, 0, (AI193-H193)/H193), 0)</f>
        <v/>
      </c>
      <c r="AK193" s="14">
        <f>IFERROR(VLOOKUP(A193, KEEPA!$A:$AW, 28, FALSE), 0)</f>
        <v/>
      </c>
      <c r="AL193" s="16">
        <f>IFERROR(IF(AK193=0, 0, (AK193-H193)/H193), 0)</f>
        <v/>
      </c>
      <c r="AM193" s="13">
        <f>IFERROR(VLOOKUP(A193, AZInsight_Data!$A:$AS, 34, FALSE), 0)</f>
        <v/>
      </c>
      <c r="AN193">
        <f>IFERROR(AND(VLOOKUP(A193, KEEPA!$A:$AW, 2, FALSE)&lt;=$AO$2, N193 &gt;= $AM$2), FALSE)</f>
        <v/>
      </c>
      <c r="AO193" s="16">
        <f>IFERROR(VLOOKUP(A193, KEEPA!$A:$AW, 24, FALSE), 0)</f>
        <v/>
      </c>
      <c r="AP193" s="16">
        <f>IFERROR(VLOOKUP(A193, KEEPA!$A:$AW, 48, FALSE), 0)</f>
        <v/>
      </c>
      <c r="AQ193">
        <f>IFERROR(VLOOKUP(A193, AZInsight_Data!$A:$AS, 5, FALSE), "SL")</f>
        <v/>
      </c>
      <c r="AR193">
        <f>IF(OR(A193="", A193=0), "", HYPERLINK("https://keepa.com/#!product/1-"&amp;A193, "Keepa"))</f>
        <v/>
      </c>
      <c r="AS193">
        <f>IF(OR(A193="", A193=0), "", HYPERLINK("https://www.amazon.com/dp/"&amp;A193, "Amazon"))</f>
        <v/>
      </c>
      <c r="AT193">
        <f>IF(OR(A193="", A193=0), "", HYPERLINK("https://sellercentral.amazon.com/product-search/search?q="&amp;A193, "Check Gated"))</f>
        <v/>
      </c>
      <c r="AU193" s="12" t="n"/>
      <c r="AV193" s="12" t="n"/>
      <c r="AW193" s="12" t="n"/>
    </row>
    <row r="194">
      <c r="A194" s="12" t="n"/>
      <c r="B194" s="12">
        <f>IFERROR(VLOOKUP(A194, AZInsight_Data!$A:$AS, 3, FALSE), "")</f>
        <v/>
      </c>
      <c r="C194" s="13">
        <f>IFERROR(VLOOKUP(A194, AZInsight_Data!$A:$AS, 9, FALSE), 0)</f>
        <v/>
      </c>
      <c r="D194">
        <f>IFERROR(VLOOKUP(A194, AZInsight_Data!$A:$AS, 17, FALSE), 0)</f>
        <v/>
      </c>
      <c r="E194">
        <f>IFERROR(VLOOKUP(A194, AZInsight_Data!$A:$AS, 18, FALSE), 0)</f>
        <v/>
      </c>
      <c r="F194" s="14">
        <f>IFERROR(VLOOKUP(A194, AZInsight_Data!$A:$AS, 7, FALSE), 0)</f>
        <v/>
      </c>
      <c r="G194" s="15">
        <f>IFERROR(VLOOKUP(A194, AZInsight_Data!$A:$AS, 14, FALSE), 0)</f>
        <v/>
      </c>
      <c r="H194" s="14">
        <f>IFERROR(VLOOKUP(A194, AZInsight_Data!$A:$AS, 8, FALSE), 0)</f>
        <v/>
      </c>
      <c r="I194" s="16">
        <f>IFERROR(VLOOKUP(A194, KEEPA!$A:$AW, 47, FALSE), 0)</f>
        <v/>
      </c>
      <c r="J194">
        <f>IFERROR(VLOOKUP(A194, AZInsight_Data!$A:$AS, 25, FALSE), 0)</f>
        <v/>
      </c>
      <c r="K194" s="15">
        <f>IFERROR(VLOOKUP(A194, AZInsight_Data!$A:$AS, 16, FALSE), 0)</f>
        <v/>
      </c>
      <c r="L194" s="15">
        <f>IFERROR(K194-T194-J194, 0)</f>
        <v/>
      </c>
      <c r="M194" s="16">
        <f>IFERROR(IF(T194=0, 0, L194/T194), 0)</f>
        <v/>
      </c>
      <c r="N194" s="14">
        <f>IFERROR(C194*($V$2/30), 0)</f>
        <v/>
      </c>
      <c r="O194">
        <f>IFERROR(VLOOKUP(A194, AZInsight_Data!$A:$AS, 40, FALSE), 1)</f>
        <v/>
      </c>
      <c r="P194" s="13">
        <f>IF(O194&gt;0, O194, 1)</f>
        <v/>
      </c>
      <c r="Q194" s="13">
        <f>IFERROR(U194/P194, 0)</f>
        <v/>
      </c>
      <c r="R194">
        <f>IFERROR(VLOOKUP(A194, AZInsight_Data!$A:$AS, 36, FALSE), "")</f>
        <v/>
      </c>
      <c r="S194">
        <f>IFERROR(VLOOKUP(A194, AZInsight_Data!$A:$AS, 3, FALSE), "")</f>
        <v/>
      </c>
      <c r="T194" s="17">
        <f>IFERROR(VLOOKUP(A194, AZInsight_Data!$A:$AS, 13, FALSE), 0)</f>
        <v/>
      </c>
      <c r="U194" s="13">
        <f>AH194</f>
        <v/>
      </c>
      <c r="V194" s="15">
        <f>T194*U194</f>
        <v/>
      </c>
      <c r="W194" s="16" t="n"/>
      <c r="X194" s="12">
        <f>IFERROR(VLOOKUP(A194, AZInsight_Data!$A:$AS, 40, FALSE), 1)</f>
        <v/>
      </c>
      <c r="Y194" s="13">
        <f>IFERROR(VLOOKUP(A194, IP Qty!$D:$R, 5, FALSE), 0)</f>
        <v/>
      </c>
      <c r="Z194" s="14">
        <f>IFERROR(VLOOKUP(A194, IP Qty!$D:$R, 6, FALSE), 0)</f>
        <v/>
      </c>
      <c r="AA194">
        <f>IFERROR(VLOOKUP(A194, IP Qty!$D:$R, 7, FALSE), 0)</f>
        <v/>
      </c>
      <c r="AB194">
        <f>IFERROR(VLOOKUP(A194, IP Qty!$D:$R, 9, FALSE), 0)</f>
        <v/>
      </c>
      <c r="AC194">
        <f>IFERROR(VLOOKUP(A194, IP Qty!$D:$R, 8, FALSE), 0)</f>
        <v/>
      </c>
      <c r="AD194" s="14">
        <f>IFERROR(VLOOKUP(A194, KEEPA!$A:$AW, 34, FALSE), 0)</f>
        <v/>
      </c>
      <c r="AE194" s="15">
        <f>IF(P194&gt;1, ((((M194&gt;=$AD$2)*(L194&gt;=$AH$2)) + ((M194&lt;$AD$2)*(M194&gt;=$AE$2)*(L194&gt;=$AG$2)) + ((M194&lt;$AE$2)*(M194&gt;=$AC$2)*(L194&gt;=0)))*2 * IF($AI$2=0, 1, AI194&lt;=$AI$2) * IF($AK$2=0, 1, AK194&lt;=$AK$2) * AND(N194&gt;=$D$1, H194&lt;=$I$2, G194&gt;=$H$2)), ((((M194&gt;=$AD$2)*(L194&gt;=$AH$2)) + ((M194&lt;$AD$2)*(M194&gt;=$AE$2)*(L194&gt;=$AG$2)) + ((M194&lt;$AE$2)*(M194&gt;=$AC$2)*(L194&gt;=0))) * IF($AI$2=0, 1, AI194&lt;=$AI$2) * IF($AK$2=0, 1, AK194&lt;=$AK$2) * AND(N194&gt;=$D$1, H194&lt;=$I$2, G194&gt;=$H$2)))</f>
        <v/>
      </c>
      <c r="AF194">
        <f>IF(AE194&gt;0, 1, 0)</f>
        <v/>
      </c>
      <c r="AG194">
        <f>IFERROR(IF(ISNUMBER(W194), IF(AN194, N194*W194*$AN$2, N194*W194), NA()), NA())</f>
        <v/>
      </c>
      <c r="AH194" s="13">
        <f>IFERROR(MIN(AG194, $U$2), 0)</f>
        <v/>
      </c>
      <c r="AI194" s="14">
        <f>IFERROR(VLOOKUP(A194, KEEPA!$A:$AW, 26, FALSE), 0)</f>
        <v/>
      </c>
      <c r="AJ194" s="16">
        <f>IFERROR(IF(AI194=0, 0, (AI194-H194)/H194), 0)</f>
        <v/>
      </c>
      <c r="AK194" s="14">
        <f>IFERROR(VLOOKUP(A194, KEEPA!$A:$AW, 28, FALSE), 0)</f>
        <v/>
      </c>
      <c r="AL194" s="16">
        <f>IFERROR(IF(AK194=0, 0, (AK194-H194)/H194), 0)</f>
        <v/>
      </c>
      <c r="AM194" s="13">
        <f>IFERROR(VLOOKUP(A194, AZInsight_Data!$A:$AS, 34, FALSE), 0)</f>
        <v/>
      </c>
      <c r="AN194">
        <f>IFERROR(AND(VLOOKUP(A194, KEEPA!$A:$AW, 2, FALSE)&lt;=$AO$2, N194 &gt;= $AM$2), FALSE)</f>
        <v/>
      </c>
      <c r="AO194" s="16">
        <f>IFERROR(VLOOKUP(A194, KEEPA!$A:$AW, 24, FALSE), 0)</f>
        <v/>
      </c>
      <c r="AP194" s="16">
        <f>IFERROR(VLOOKUP(A194, KEEPA!$A:$AW, 48, FALSE), 0)</f>
        <v/>
      </c>
      <c r="AQ194">
        <f>IFERROR(VLOOKUP(A194, AZInsight_Data!$A:$AS, 5, FALSE), "SL")</f>
        <v/>
      </c>
      <c r="AR194">
        <f>IF(OR(A194="", A194=0), "", HYPERLINK("https://keepa.com/#!product/1-"&amp;A194, "Keepa"))</f>
        <v/>
      </c>
      <c r="AS194">
        <f>IF(OR(A194="", A194=0), "", HYPERLINK("https://www.amazon.com/dp/"&amp;A194, "Amazon"))</f>
        <v/>
      </c>
      <c r="AT194">
        <f>IF(OR(A194="", A194=0), "", HYPERLINK("https://sellercentral.amazon.com/product-search/search?q="&amp;A194, "Check Gated"))</f>
        <v/>
      </c>
      <c r="AU194" s="12" t="n"/>
      <c r="AV194" s="12" t="n"/>
      <c r="AW194" s="12" t="n"/>
    </row>
    <row r="195">
      <c r="A195" s="12" t="n"/>
      <c r="B195" s="12">
        <f>IFERROR(VLOOKUP(A195, AZInsight_Data!$A:$AS, 3, FALSE), "")</f>
        <v/>
      </c>
      <c r="C195" s="13">
        <f>IFERROR(VLOOKUP(A195, AZInsight_Data!$A:$AS, 9, FALSE), 0)</f>
        <v/>
      </c>
      <c r="D195">
        <f>IFERROR(VLOOKUP(A195, AZInsight_Data!$A:$AS, 17, FALSE), 0)</f>
        <v/>
      </c>
      <c r="E195">
        <f>IFERROR(VLOOKUP(A195, AZInsight_Data!$A:$AS, 18, FALSE), 0)</f>
        <v/>
      </c>
      <c r="F195" s="14">
        <f>IFERROR(VLOOKUP(A195, AZInsight_Data!$A:$AS, 7, FALSE), 0)</f>
        <v/>
      </c>
      <c r="G195" s="15">
        <f>IFERROR(VLOOKUP(A195, AZInsight_Data!$A:$AS, 14, FALSE), 0)</f>
        <v/>
      </c>
      <c r="H195" s="14">
        <f>IFERROR(VLOOKUP(A195, AZInsight_Data!$A:$AS, 8, FALSE), 0)</f>
        <v/>
      </c>
      <c r="I195" s="16">
        <f>IFERROR(VLOOKUP(A195, KEEPA!$A:$AW, 47, FALSE), 0)</f>
        <v/>
      </c>
      <c r="J195">
        <f>IFERROR(VLOOKUP(A195, AZInsight_Data!$A:$AS, 25, FALSE), 0)</f>
        <v/>
      </c>
      <c r="K195" s="15">
        <f>IFERROR(VLOOKUP(A195, AZInsight_Data!$A:$AS, 16, FALSE), 0)</f>
        <v/>
      </c>
      <c r="L195" s="15">
        <f>IFERROR(K195-T195-J195, 0)</f>
        <v/>
      </c>
      <c r="M195" s="16">
        <f>IFERROR(IF(T195=0, 0, L195/T195), 0)</f>
        <v/>
      </c>
      <c r="N195" s="14">
        <f>IFERROR(C195*($V$2/30), 0)</f>
        <v/>
      </c>
      <c r="O195">
        <f>IFERROR(VLOOKUP(A195, AZInsight_Data!$A:$AS, 40, FALSE), 1)</f>
        <v/>
      </c>
      <c r="P195" s="13">
        <f>IF(O195&gt;0, O195, 1)</f>
        <v/>
      </c>
      <c r="Q195" s="13">
        <f>IFERROR(U195/P195, 0)</f>
        <v/>
      </c>
      <c r="R195">
        <f>IFERROR(VLOOKUP(A195, AZInsight_Data!$A:$AS, 36, FALSE), "")</f>
        <v/>
      </c>
      <c r="S195">
        <f>IFERROR(VLOOKUP(A195, AZInsight_Data!$A:$AS, 3, FALSE), "")</f>
        <v/>
      </c>
      <c r="T195" s="17">
        <f>IFERROR(VLOOKUP(A195, AZInsight_Data!$A:$AS, 13, FALSE), 0)</f>
        <v/>
      </c>
      <c r="U195" s="13">
        <f>AH195</f>
        <v/>
      </c>
      <c r="V195" s="15">
        <f>T195*U195</f>
        <v/>
      </c>
      <c r="W195" s="16" t="n"/>
      <c r="X195" s="12">
        <f>IFERROR(VLOOKUP(A195, AZInsight_Data!$A:$AS, 40, FALSE), 1)</f>
        <v/>
      </c>
      <c r="Y195" s="13">
        <f>IFERROR(VLOOKUP(A195, IP Qty!$D:$R, 5, FALSE), 0)</f>
        <v/>
      </c>
      <c r="Z195" s="14">
        <f>IFERROR(VLOOKUP(A195, IP Qty!$D:$R, 6, FALSE), 0)</f>
        <v/>
      </c>
      <c r="AA195">
        <f>IFERROR(VLOOKUP(A195, IP Qty!$D:$R, 7, FALSE), 0)</f>
        <v/>
      </c>
      <c r="AB195">
        <f>IFERROR(VLOOKUP(A195, IP Qty!$D:$R, 9, FALSE), 0)</f>
        <v/>
      </c>
      <c r="AC195">
        <f>IFERROR(VLOOKUP(A195, IP Qty!$D:$R, 8, FALSE), 0)</f>
        <v/>
      </c>
      <c r="AD195" s="14">
        <f>IFERROR(VLOOKUP(A195, KEEPA!$A:$AW, 34, FALSE), 0)</f>
        <v/>
      </c>
      <c r="AE195" s="15">
        <f>IF(P195&gt;1, ((((M195&gt;=$AD$2)*(L195&gt;=$AH$2)) + ((M195&lt;$AD$2)*(M195&gt;=$AE$2)*(L195&gt;=$AG$2)) + ((M195&lt;$AE$2)*(M195&gt;=$AC$2)*(L195&gt;=0)))*2 * IF($AI$2=0, 1, AI195&lt;=$AI$2) * IF($AK$2=0, 1, AK195&lt;=$AK$2) * AND(N195&gt;=$D$1, H195&lt;=$I$2, G195&gt;=$H$2)), ((((M195&gt;=$AD$2)*(L195&gt;=$AH$2)) + ((M195&lt;$AD$2)*(M195&gt;=$AE$2)*(L195&gt;=$AG$2)) + ((M195&lt;$AE$2)*(M195&gt;=$AC$2)*(L195&gt;=0))) * IF($AI$2=0, 1, AI195&lt;=$AI$2) * IF($AK$2=0, 1, AK195&lt;=$AK$2) * AND(N195&gt;=$D$1, H195&lt;=$I$2, G195&gt;=$H$2)))</f>
        <v/>
      </c>
      <c r="AF195">
        <f>IF(AE195&gt;0, 1, 0)</f>
        <v/>
      </c>
      <c r="AG195">
        <f>IFERROR(IF(ISNUMBER(W195), IF(AN195, N195*W195*$AN$2, N195*W195), NA()), NA())</f>
        <v/>
      </c>
      <c r="AH195" s="13">
        <f>IFERROR(MIN(AG195, $U$2), 0)</f>
        <v/>
      </c>
      <c r="AI195" s="14">
        <f>IFERROR(VLOOKUP(A195, KEEPA!$A:$AW, 26, FALSE), 0)</f>
        <v/>
      </c>
      <c r="AJ195" s="16">
        <f>IFERROR(IF(AI195=0, 0, (AI195-H195)/H195), 0)</f>
        <v/>
      </c>
      <c r="AK195" s="14">
        <f>IFERROR(VLOOKUP(A195, KEEPA!$A:$AW, 28, FALSE), 0)</f>
        <v/>
      </c>
      <c r="AL195" s="16">
        <f>IFERROR(IF(AK195=0, 0, (AK195-H195)/H195), 0)</f>
        <v/>
      </c>
      <c r="AM195" s="13">
        <f>IFERROR(VLOOKUP(A195, AZInsight_Data!$A:$AS, 34, FALSE), 0)</f>
        <v/>
      </c>
      <c r="AN195">
        <f>IFERROR(AND(VLOOKUP(A195, KEEPA!$A:$AW, 2, FALSE)&lt;=$AO$2, N195 &gt;= $AM$2), FALSE)</f>
        <v/>
      </c>
      <c r="AO195" s="16">
        <f>IFERROR(VLOOKUP(A195, KEEPA!$A:$AW, 24, FALSE), 0)</f>
        <v/>
      </c>
      <c r="AP195" s="16">
        <f>IFERROR(VLOOKUP(A195, KEEPA!$A:$AW, 48, FALSE), 0)</f>
        <v/>
      </c>
      <c r="AQ195">
        <f>IFERROR(VLOOKUP(A195, AZInsight_Data!$A:$AS, 5, FALSE), "SL")</f>
        <v/>
      </c>
      <c r="AR195">
        <f>IF(OR(A195="", A195=0), "", HYPERLINK("https://keepa.com/#!product/1-"&amp;A195, "Keepa"))</f>
        <v/>
      </c>
      <c r="AS195">
        <f>IF(OR(A195="", A195=0), "", HYPERLINK("https://www.amazon.com/dp/"&amp;A195, "Amazon"))</f>
        <v/>
      </c>
      <c r="AT195">
        <f>IF(OR(A195="", A195=0), "", HYPERLINK("https://sellercentral.amazon.com/product-search/search?q="&amp;A195, "Check Gated"))</f>
        <v/>
      </c>
      <c r="AU195" s="12" t="n"/>
      <c r="AV195" s="12" t="n"/>
      <c r="AW195" s="12" t="n"/>
    </row>
    <row r="196">
      <c r="A196" s="12" t="n"/>
      <c r="B196" s="12">
        <f>IFERROR(VLOOKUP(A196, AZInsight_Data!$A:$AS, 3, FALSE), "")</f>
        <v/>
      </c>
      <c r="C196" s="13">
        <f>IFERROR(VLOOKUP(A196, AZInsight_Data!$A:$AS, 9, FALSE), 0)</f>
        <v/>
      </c>
      <c r="D196">
        <f>IFERROR(VLOOKUP(A196, AZInsight_Data!$A:$AS, 17, FALSE), 0)</f>
        <v/>
      </c>
      <c r="E196">
        <f>IFERROR(VLOOKUP(A196, AZInsight_Data!$A:$AS, 18, FALSE), 0)</f>
        <v/>
      </c>
      <c r="F196" s="14">
        <f>IFERROR(VLOOKUP(A196, AZInsight_Data!$A:$AS, 7, FALSE), 0)</f>
        <v/>
      </c>
      <c r="G196" s="15">
        <f>IFERROR(VLOOKUP(A196, AZInsight_Data!$A:$AS, 14, FALSE), 0)</f>
        <v/>
      </c>
      <c r="H196" s="14">
        <f>IFERROR(VLOOKUP(A196, AZInsight_Data!$A:$AS, 8, FALSE), 0)</f>
        <v/>
      </c>
      <c r="I196" s="16">
        <f>IFERROR(VLOOKUP(A196, KEEPA!$A:$AW, 47, FALSE), 0)</f>
        <v/>
      </c>
      <c r="J196">
        <f>IFERROR(VLOOKUP(A196, AZInsight_Data!$A:$AS, 25, FALSE), 0)</f>
        <v/>
      </c>
      <c r="K196" s="15">
        <f>IFERROR(VLOOKUP(A196, AZInsight_Data!$A:$AS, 16, FALSE), 0)</f>
        <v/>
      </c>
      <c r="L196" s="15">
        <f>IFERROR(K196-T196-J196, 0)</f>
        <v/>
      </c>
      <c r="M196" s="16">
        <f>IFERROR(IF(T196=0, 0, L196/T196), 0)</f>
        <v/>
      </c>
      <c r="N196" s="14">
        <f>IFERROR(C196*($V$2/30), 0)</f>
        <v/>
      </c>
      <c r="O196">
        <f>IFERROR(VLOOKUP(A196, AZInsight_Data!$A:$AS, 40, FALSE), 1)</f>
        <v/>
      </c>
      <c r="P196" s="13">
        <f>IF(O196&gt;0, O196, 1)</f>
        <v/>
      </c>
      <c r="Q196" s="13">
        <f>IFERROR(U196/P196, 0)</f>
        <v/>
      </c>
      <c r="R196">
        <f>IFERROR(VLOOKUP(A196, AZInsight_Data!$A:$AS, 36, FALSE), "")</f>
        <v/>
      </c>
      <c r="S196">
        <f>IFERROR(VLOOKUP(A196, AZInsight_Data!$A:$AS, 3, FALSE), "")</f>
        <v/>
      </c>
      <c r="T196" s="17">
        <f>IFERROR(VLOOKUP(A196, AZInsight_Data!$A:$AS, 13, FALSE), 0)</f>
        <v/>
      </c>
      <c r="U196" s="13">
        <f>AH196</f>
        <v/>
      </c>
      <c r="V196" s="15">
        <f>T196*U196</f>
        <v/>
      </c>
      <c r="W196" s="16" t="n"/>
      <c r="X196" s="12">
        <f>IFERROR(VLOOKUP(A196, AZInsight_Data!$A:$AS, 40, FALSE), 1)</f>
        <v/>
      </c>
      <c r="Y196" s="13">
        <f>IFERROR(VLOOKUP(A196, IP Qty!$D:$R, 5, FALSE), 0)</f>
        <v/>
      </c>
      <c r="Z196" s="14">
        <f>IFERROR(VLOOKUP(A196, IP Qty!$D:$R, 6, FALSE), 0)</f>
        <v/>
      </c>
      <c r="AA196">
        <f>IFERROR(VLOOKUP(A196, IP Qty!$D:$R, 7, FALSE), 0)</f>
        <v/>
      </c>
      <c r="AB196">
        <f>IFERROR(VLOOKUP(A196, IP Qty!$D:$R, 9, FALSE), 0)</f>
        <v/>
      </c>
      <c r="AC196">
        <f>IFERROR(VLOOKUP(A196, IP Qty!$D:$R, 8, FALSE), 0)</f>
        <v/>
      </c>
      <c r="AD196" s="14">
        <f>IFERROR(VLOOKUP(A196, KEEPA!$A:$AW, 34, FALSE), 0)</f>
        <v/>
      </c>
      <c r="AE196" s="15">
        <f>IF(P196&gt;1, ((((M196&gt;=$AD$2)*(L196&gt;=$AH$2)) + ((M196&lt;$AD$2)*(M196&gt;=$AE$2)*(L196&gt;=$AG$2)) + ((M196&lt;$AE$2)*(M196&gt;=$AC$2)*(L196&gt;=0)))*2 * IF($AI$2=0, 1, AI196&lt;=$AI$2) * IF($AK$2=0, 1, AK196&lt;=$AK$2) * AND(N196&gt;=$D$1, H196&lt;=$I$2, G196&gt;=$H$2)), ((((M196&gt;=$AD$2)*(L196&gt;=$AH$2)) + ((M196&lt;$AD$2)*(M196&gt;=$AE$2)*(L196&gt;=$AG$2)) + ((M196&lt;$AE$2)*(M196&gt;=$AC$2)*(L196&gt;=0))) * IF($AI$2=0, 1, AI196&lt;=$AI$2) * IF($AK$2=0, 1, AK196&lt;=$AK$2) * AND(N196&gt;=$D$1, H196&lt;=$I$2, G196&gt;=$H$2)))</f>
        <v/>
      </c>
      <c r="AF196">
        <f>IF(AE196&gt;0, 1, 0)</f>
        <v/>
      </c>
      <c r="AG196">
        <f>IFERROR(IF(ISNUMBER(W196), IF(AN196, N196*W196*$AN$2, N196*W196), NA()), NA())</f>
        <v/>
      </c>
      <c r="AH196" s="13">
        <f>IFERROR(MIN(AG196, $U$2), 0)</f>
        <v/>
      </c>
      <c r="AI196" s="14">
        <f>IFERROR(VLOOKUP(A196, KEEPA!$A:$AW, 26, FALSE), 0)</f>
        <v/>
      </c>
      <c r="AJ196" s="16">
        <f>IFERROR(IF(AI196=0, 0, (AI196-H196)/H196), 0)</f>
        <v/>
      </c>
      <c r="AK196" s="14">
        <f>IFERROR(VLOOKUP(A196, KEEPA!$A:$AW, 28, FALSE), 0)</f>
        <v/>
      </c>
      <c r="AL196" s="16">
        <f>IFERROR(IF(AK196=0, 0, (AK196-H196)/H196), 0)</f>
        <v/>
      </c>
      <c r="AM196" s="13">
        <f>IFERROR(VLOOKUP(A196, AZInsight_Data!$A:$AS, 34, FALSE), 0)</f>
        <v/>
      </c>
      <c r="AN196">
        <f>IFERROR(AND(VLOOKUP(A196, KEEPA!$A:$AW, 2, FALSE)&lt;=$AO$2, N196 &gt;= $AM$2), FALSE)</f>
        <v/>
      </c>
      <c r="AO196" s="16">
        <f>IFERROR(VLOOKUP(A196, KEEPA!$A:$AW, 24, FALSE), 0)</f>
        <v/>
      </c>
      <c r="AP196" s="16">
        <f>IFERROR(VLOOKUP(A196, KEEPA!$A:$AW, 48, FALSE), 0)</f>
        <v/>
      </c>
      <c r="AQ196">
        <f>IFERROR(VLOOKUP(A196, AZInsight_Data!$A:$AS, 5, FALSE), "SL")</f>
        <v/>
      </c>
      <c r="AR196">
        <f>IF(OR(A196="", A196=0), "", HYPERLINK("https://keepa.com/#!product/1-"&amp;A196, "Keepa"))</f>
        <v/>
      </c>
      <c r="AS196">
        <f>IF(OR(A196="", A196=0), "", HYPERLINK("https://www.amazon.com/dp/"&amp;A196, "Amazon"))</f>
        <v/>
      </c>
      <c r="AT196">
        <f>IF(OR(A196="", A196=0), "", HYPERLINK("https://sellercentral.amazon.com/product-search/search?q="&amp;A196, "Check Gated"))</f>
        <v/>
      </c>
      <c r="AU196" s="12" t="n"/>
      <c r="AV196" s="12" t="n"/>
      <c r="AW196" s="12" t="n"/>
    </row>
    <row r="197">
      <c r="A197" s="12" t="n"/>
      <c r="B197" s="12">
        <f>IFERROR(VLOOKUP(A197, AZInsight_Data!$A:$AS, 3, FALSE), "")</f>
        <v/>
      </c>
      <c r="C197" s="13">
        <f>IFERROR(VLOOKUP(A197, AZInsight_Data!$A:$AS, 9, FALSE), 0)</f>
        <v/>
      </c>
      <c r="D197">
        <f>IFERROR(VLOOKUP(A197, AZInsight_Data!$A:$AS, 17, FALSE), 0)</f>
        <v/>
      </c>
      <c r="E197">
        <f>IFERROR(VLOOKUP(A197, AZInsight_Data!$A:$AS, 18, FALSE), 0)</f>
        <v/>
      </c>
      <c r="F197" s="14">
        <f>IFERROR(VLOOKUP(A197, AZInsight_Data!$A:$AS, 7, FALSE), 0)</f>
        <v/>
      </c>
      <c r="G197" s="15">
        <f>IFERROR(VLOOKUP(A197, AZInsight_Data!$A:$AS, 14, FALSE), 0)</f>
        <v/>
      </c>
      <c r="H197" s="14">
        <f>IFERROR(VLOOKUP(A197, AZInsight_Data!$A:$AS, 8, FALSE), 0)</f>
        <v/>
      </c>
      <c r="I197" s="16">
        <f>IFERROR(VLOOKUP(A197, KEEPA!$A:$AW, 47, FALSE), 0)</f>
        <v/>
      </c>
      <c r="J197">
        <f>IFERROR(VLOOKUP(A197, AZInsight_Data!$A:$AS, 25, FALSE), 0)</f>
        <v/>
      </c>
      <c r="K197" s="15">
        <f>IFERROR(VLOOKUP(A197, AZInsight_Data!$A:$AS, 16, FALSE), 0)</f>
        <v/>
      </c>
      <c r="L197" s="15">
        <f>IFERROR(K197-T197-J197, 0)</f>
        <v/>
      </c>
      <c r="M197" s="16">
        <f>IFERROR(IF(T197=0, 0, L197/T197), 0)</f>
        <v/>
      </c>
      <c r="N197" s="14">
        <f>IFERROR(C197*($V$2/30), 0)</f>
        <v/>
      </c>
      <c r="O197">
        <f>IFERROR(VLOOKUP(A197, AZInsight_Data!$A:$AS, 40, FALSE), 1)</f>
        <v/>
      </c>
      <c r="P197" s="13">
        <f>IF(O197&gt;0, O197, 1)</f>
        <v/>
      </c>
      <c r="Q197" s="13">
        <f>IFERROR(U197/P197, 0)</f>
        <v/>
      </c>
      <c r="R197">
        <f>IFERROR(VLOOKUP(A197, AZInsight_Data!$A:$AS, 36, FALSE), "")</f>
        <v/>
      </c>
      <c r="S197">
        <f>IFERROR(VLOOKUP(A197, AZInsight_Data!$A:$AS, 3, FALSE), "")</f>
        <v/>
      </c>
      <c r="T197" s="17">
        <f>IFERROR(VLOOKUP(A197, AZInsight_Data!$A:$AS, 13, FALSE), 0)</f>
        <v/>
      </c>
      <c r="U197" s="13">
        <f>AH197</f>
        <v/>
      </c>
      <c r="V197" s="15">
        <f>T197*U197</f>
        <v/>
      </c>
      <c r="W197" s="16" t="n"/>
      <c r="X197" s="12">
        <f>IFERROR(VLOOKUP(A197, AZInsight_Data!$A:$AS, 40, FALSE), 1)</f>
        <v/>
      </c>
      <c r="Y197" s="13">
        <f>IFERROR(VLOOKUP(A197, IP Qty!$D:$R, 5, FALSE), 0)</f>
        <v/>
      </c>
      <c r="Z197" s="14">
        <f>IFERROR(VLOOKUP(A197, IP Qty!$D:$R, 6, FALSE), 0)</f>
        <v/>
      </c>
      <c r="AA197">
        <f>IFERROR(VLOOKUP(A197, IP Qty!$D:$R, 7, FALSE), 0)</f>
        <v/>
      </c>
      <c r="AB197">
        <f>IFERROR(VLOOKUP(A197, IP Qty!$D:$R, 9, FALSE), 0)</f>
        <v/>
      </c>
      <c r="AC197">
        <f>IFERROR(VLOOKUP(A197, IP Qty!$D:$R, 8, FALSE), 0)</f>
        <v/>
      </c>
      <c r="AD197" s="14">
        <f>IFERROR(VLOOKUP(A197, KEEPA!$A:$AW, 34, FALSE), 0)</f>
        <v/>
      </c>
      <c r="AE197" s="15">
        <f>IF(P197&gt;1, ((((M197&gt;=$AD$2)*(L197&gt;=$AH$2)) + ((M197&lt;$AD$2)*(M197&gt;=$AE$2)*(L197&gt;=$AG$2)) + ((M197&lt;$AE$2)*(M197&gt;=$AC$2)*(L197&gt;=0)))*2 * IF($AI$2=0, 1, AI197&lt;=$AI$2) * IF($AK$2=0, 1, AK197&lt;=$AK$2) * AND(N197&gt;=$D$1, H197&lt;=$I$2, G197&gt;=$H$2)), ((((M197&gt;=$AD$2)*(L197&gt;=$AH$2)) + ((M197&lt;$AD$2)*(M197&gt;=$AE$2)*(L197&gt;=$AG$2)) + ((M197&lt;$AE$2)*(M197&gt;=$AC$2)*(L197&gt;=0))) * IF($AI$2=0, 1, AI197&lt;=$AI$2) * IF($AK$2=0, 1, AK197&lt;=$AK$2) * AND(N197&gt;=$D$1, H197&lt;=$I$2, G197&gt;=$H$2)))</f>
        <v/>
      </c>
      <c r="AF197">
        <f>IF(AE197&gt;0, 1, 0)</f>
        <v/>
      </c>
      <c r="AG197">
        <f>IFERROR(IF(ISNUMBER(W197), IF(AN197, N197*W197*$AN$2, N197*W197), NA()), NA())</f>
        <v/>
      </c>
      <c r="AH197" s="13">
        <f>IFERROR(MIN(AG197, $U$2), 0)</f>
        <v/>
      </c>
      <c r="AI197" s="14">
        <f>IFERROR(VLOOKUP(A197, KEEPA!$A:$AW, 26, FALSE), 0)</f>
        <v/>
      </c>
      <c r="AJ197" s="16">
        <f>IFERROR(IF(AI197=0, 0, (AI197-H197)/H197), 0)</f>
        <v/>
      </c>
      <c r="AK197" s="14">
        <f>IFERROR(VLOOKUP(A197, KEEPA!$A:$AW, 28, FALSE), 0)</f>
        <v/>
      </c>
      <c r="AL197" s="16">
        <f>IFERROR(IF(AK197=0, 0, (AK197-H197)/H197), 0)</f>
        <v/>
      </c>
      <c r="AM197" s="13">
        <f>IFERROR(VLOOKUP(A197, AZInsight_Data!$A:$AS, 34, FALSE), 0)</f>
        <v/>
      </c>
      <c r="AN197">
        <f>IFERROR(AND(VLOOKUP(A197, KEEPA!$A:$AW, 2, FALSE)&lt;=$AO$2, N197 &gt;= $AM$2), FALSE)</f>
        <v/>
      </c>
      <c r="AO197" s="16">
        <f>IFERROR(VLOOKUP(A197, KEEPA!$A:$AW, 24, FALSE), 0)</f>
        <v/>
      </c>
      <c r="AP197" s="16">
        <f>IFERROR(VLOOKUP(A197, KEEPA!$A:$AW, 48, FALSE), 0)</f>
        <v/>
      </c>
      <c r="AQ197">
        <f>IFERROR(VLOOKUP(A197, AZInsight_Data!$A:$AS, 5, FALSE), "SL")</f>
        <v/>
      </c>
      <c r="AR197">
        <f>IF(OR(A197="", A197=0), "", HYPERLINK("https://keepa.com/#!product/1-"&amp;A197, "Keepa"))</f>
        <v/>
      </c>
      <c r="AS197">
        <f>IF(OR(A197="", A197=0), "", HYPERLINK("https://www.amazon.com/dp/"&amp;A197, "Amazon"))</f>
        <v/>
      </c>
      <c r="AT197">
        <f>IF(OR(A197="", A197=0), "", HYPERLINK("https://sellercentral.amazon.com/product-search/search?q="&amp;A197, "Check Gated"))</f>
        <v/>
      </c>
      <c r="AU197" s="12" t="n"/>
      <c r="AV197" s="12" t="n"/>
      <c r="AW197" s="12" t="n"/>
    </row>
    <row r="198">
      <c r="A198" s="12" t="n"/>
      <c r="B198" s="12">
        <f>IFERROR(VLOOKUP(A198, AZInsight_Data!$A:$AS, 3, FALSE), "")</f>
        <v/>
      </c>
      <c r="C198" s="13">
        <f>IFERROR(VLOOKUP(A198, AZInsight_Data!$A:$AS, 9, FALSE), 0)</f>
        <v/>
      </c>
      <c r="D198">
        <f>IFERROR(VLOOKUP(A198, AZInsight_Data!$A:$AS, 17, FALSE), 0)</f>
        <v/>
      </c>
      <c r="E198">
        <f>IFERROR(VLOOKUP(A198, AZInsight_Data!$A:$AS, 18, FALSE), 0)</f>
        <v/>
      </c>
      <c r="F198" s="14">
        <f>IFERROR(VLOOKUP(A198, AZInsight_Data!$A:$AS, 7, FALSE), 0)</f>
        <v/>
      </c>
      <c r="G198" s="15">
        <f>IFERROR(VLOOKUP(A198, AZInsight_Data!$A:$AS, 14, FALSE), 0)</f>
        <v/>
      </c>
      <c r="H198" s="14">
        <f>IFERROR(VLOOKUP(A198, AZInsight_Data!$A:$AS, 8, FALSE), 0)</f>
        <v/>
      </c>
      <c r="I198" s="16">
        <f>IFERROR(VLOOKUP(A198, KEEPA!$A:$AW, 47, FALSE), 0)</f>
        <v/>
      </c>
      <c r="J198">
        <f>IFERROR(VLOOKUP(A198, AZInsight_Data!$A:$AS, 25, FALSE), 0)</f>
        <v/>
      </c>
      <c r="K198" s="15">
        <f>IFERROR(VLOOKUP(A198, AZInsight_Data!$A:$AS, 16, FALSE), 0)</f>
        <v/>
      </c>
      <c r="L198" s="15">
        <f>IFERROR(K198-T198-J198, 0)</f>
        <v/>
      </c>
      <c r="M198" s="16">
        <f>IFERROR(IF(T198=0, 0, L198/T198), 0)</f>
        <v/>
      </c>
      <c r="N198" s="14">
        <f>IFERROR(C198*($V$2/30), 0)</f>
        <v/>
      </c>
      <c r="O198">
        <f>IFERROR(VLOOKUP(A198, AZInsight_Data!$A:$AS, 40, FALSE), 1)</f>
        <v/>
      </c>
      <c r="P198" s="13">
        <f>IF(O198&gt;0, O198, 1)</f>
        <v/>
      </c>
      <c r="Q198" s="13">
        <f>IFERROR(U198/P198, 0)</f>
        <v/>
      </c>
      <c r="R198">
        <f>IFERROR(VLOOKUP(A198, AZInsight_Data!$A:$AS, 36, FALSE), "")</f>
        <v/>
      </c>
      <c r="S198">
        <f>IFERROR(VLOOKUP(A198, AZInsight_Data!$A:$AS, 3, FALSE), "")</f>
        <v/>
      </c>
      <c r="T198" s="17">
        <f>IFERROR(VLOOKUP(A198, AZInsight_Data!$A:$AS, 13, FALSE), 0)</f>
        <v/>
      </c>
      <c r="U198" s="13">
        <f>AH198</f>
        <v/>
      </c>
      <c r="V198" s="15">
        <f>T198*U198</f>
        <v/>
      </c>
      <c r="W198" s="16" t="n"/>
      <c r="X198" s="12">
        <f>IFERROR(VLOOKUP(A198, AZInsight_Data!$A:$AS, 40, FALSE), 1)</f>
        <v/>
      </c>
      <c r="Y198" s="13">
        <f>IFERROR(VLOOKUP(A198, IP Qty!$D:$R, 5, FALSE), 0)</f>
        <v/>
      </c>
      <c r="Z198" s="14">
        <f>IFERROR(VLOOKUP(A198, IP Qty!$D:$R, 6, FALSE), 0)</f>
        <v/>
      </c>
      <c r="AA198">
        <f>IFERROR(VLOOKUP(A198, IP Qty!$D:$R, 7, FALSE), 0)</f>
        <v/>
      </c>
      <c r="AB198">
        <f>IFERROR(VLOOKUP(A198, IP Qty!$D:$R, 9, FALSE), 0)</f>
        <v/>
      </c>
      <c r="AC198">
        <f>IFERROR(VLOOKUP(A198, IP Qty!$D:$R, 8, FALSE), 0)</f>
        <v/>
      </c>
      <c r="AD198" s="14">
        <f>IFERROR(VLOOKUP(A198, KEEPA!$A:$AW, 34, FALSE), 0)</f>
        <v/>
      </c>
      <c r="AE198" s="15">
        <f>IF(P198&gt;1, ((((M198&gt;=$AD$2)*(L198&gt;=$AH$2)) + ((M198&lt;$AD$2)*(M198&gt;=$AE$2)*(L198&gt;=$AG$2)) + ((M198&lt;$AE$2)*(M198&gt;=$AC$2)*(L198&gt;=0)))*2 * IF($AI$2=0, 1, AI198&lt;=$AI$2) * IF($AK$2=0, 1, AK198&lt;=$AK$2) * AND(N198&gt;=$D$1, H198&lt;=$I$2, G198&gt;=$H$2)), ((((M198&gt;=$AD$2)*(L198&gt;=$AH$2)) + ((M198&lt;$AD$2)*(M198&gt;=$AE$2)*(L198&gt;=$AG$2)) + ((M198&lt;$AE$2)*(M198&gt;=$AC$2)*(L198&gt;=0))) * IF($AI$2=0, 1, AI198&lt;=$AI$2) * IF($AK$2=0, 1, AK198&lt;=$AK$2) * AND(N198&gt;=$D$1, H198&lt;=$I$2, G198&gt;=$H$2)))</f>
        <v/>
      </c>
      <c r="AF198">
        <f>IF(AE198&gt;0, 1, 0)</f>
        <v/>
      </c>
      <c r="AG198">
        <f>IFERROR(IF(ISNUMBER(W198), IF(AN198, N198*W198*$AN$2, N198*W198), NA()), NA())</f>
        <v/>
      </c>
      <c r="AH198" s="13">
        <f>IFERROR(MIN(AG198, $U$2), 0)</f>
        <v/>
      </c>
      <c r="AI198" s="14">
        <f>IFERROR(VLOOKUP(A198, KEEPA!$A:$AW, 26, FALSE), 0)</f>
        <v/>
      </c>
      <c r="AJ198" s="16">
        <f>IFERROR(IF(AI198=0, 0, (AI198-H198)/H198), 0)</f>
        <v/>
      </c>
      <c r="AK198" s="14">
        <f>IFERROR(VLOOKUP(A198, KEEPA!$A:$AW, 28, FALSE), 0)</f>
        <v/>
      </c>
      <c r="AL198" s="16">
        <f>IFERROR(IF(AK198=0, 0, (AK198-H198)/H198), 0)</f>
        <v/>
      </c>
      <c r="AM198" s="13">
        <f>IFERROR(VLOOKUP(A198, AZInsight_Data!$A:$AS, 34, FALSE), 0)</f>
        <v/>
      </c>
      <c r="AN198">
        <f>IFERROR(AND(VLOOKUP(A198, KEEPA!$A:$AW, 2, FALSE)&lt;=$AO$2, N198 &gt;= $AM$2), FALSE)</f>
        <v/>
      </c>
      <c r="AO198" s="16">
        <f>IFERROR(VLOOKUP(A198, KEEPA!$A:$AW, 24, FALSE), 0)</f>
        <v/>
      </c>
      <c r="AP198" s="16">
        <f>IFERROR(VLOOKUP(A198, KEEPA!$A:$AW, 48, FALSE), 0)</f>
        <v/>
      </c>
      <c r="AQ198">
        <f>IFERROR(VLOOKUP(A198, AZInsight_Data!$A:$AS, 5, FALSE), "SL")</f>
        <v/>
      </c>
      <c r="AR198">
        <f>IF(OR(A198="", A198=0), "", HYPERLINK("https://keepa.com/#!product/1-"&amp;A198, "Keepa"))</f>
        <v/>
      </c>
      <c r="AS198">
        <f>IF(OR(A198="", A198=0), "", HYPERLINK("https://www.amazon.com/dp/"&amp;A198, "Amazon"))</f>
        <v/>
      </c>
      <c r="AT198">
        <f>IF(OR(A198="", A198=0), "", HYPERLINK("https://sellercentral.amazon.com/product-search/search?q="&amp;A198, "Check Gated"))</f>
        <v/>
      </c>
      <c r="AU198" s="12" t="n"/>
      <c r="AV198" s="12" t="n"/>
      <c r="AW198" s="12" t="n"/>
    </row>
    <row r="199">
      <c r="A199" s="12" t="n"/>
      <c r="B199" s="12">
        <f>IFERROR(VLOOKUP(A199, AZInsight_Data!$A:$AS, 3, FALSE), "")</f>
        <v/>
      </c>
      <c r="C199" s="13">
        <f>IFERROR(VLOOKUP(A199, AZInsight_Data!$A:$AS, 9, FALSE), 0)</f>
        <v/>
      </c>
      <c r="D199">
        <f>IFERROR(VLOOKUP(A199, AZInsight_Data!$A:$AS, 17, FALSE), 0)</f>
        <v/>
      </c>
      <c r="E199">
        <f>IFERROR(VLOOKUP(A199, AZInsight_Data!$A:$AS, 18, FALSE), 0)</f>
        <v/>
      </c>
      <c r="F199" s="14">
        <f>IFERROR(VLOOKUP(A199, AZInsight_Data!$A:$AS, 7, FALSE), 0)</f>
        <v/>
      </c>
      <c r="G199" s="15">
        <f>IFERROR(VLOOKUP(A199, AZInsight_Data!$A:$AS, 14, FALSE), 0)</f>
        <v/>
      </c>
      <c r="H199" s="14">
        <f>IFERROR(VLOOKUP(A199, AZInsight_Data!$A:$AS, 8, FALSE), 0)</f>
        <v/>
      </c>
      <c r="I199" s="16">
        <f>IFERROR(VLOOKUP(A199, KEEPA!$A:$AW, 47, FALSE), 0)</f>
        <v/>
      </c>
      <c r="J199">
        <f>IFERROR(VLOOKUP(A199, AZInsight_Data!$A:$AS, 25, FALSE), 0)</f>
        <v/>
      </c>
      <c r="K199" s="15">
        <f>IFERROR(VLOOKUP(A199, AZInsight_Data!$A:$AS, 16, FALSE), 0)</f>
        <v/>
      </c>
      <c r="L199" s="15">
        <f>IFERROR(K199-T199-J199, 0)</f>
        <v/>
      </c>
      <c r="M199" s="16">
        <f>IFERROR(IF(T199=0, 0, L199/T199), 0)</f>
        <v/>
      </c>
      <c r="N199" s="14">
        <f>IFERROR(C199*($V$2/30), 0)</f>
        <v/>
      </c>
      <c r="O199">
        <f>IFERROR(VLOOKUP(A199, AZInsight_Data!$A:$AS, 40, FALSE), 1)</f>
        <v/>
      </c>
      <c r="P199" s="13">
        <f>IF(O199&gt;0, O199, 1)</f>
        <v/>
      </c>
      <c r="Q199" s="13">
        <f>IFERROR(U199/P199, 0)</f>
        <v/>
      </c>
      <c r="R199">
        <f>IFERROR(VLOOKUP(A199, AZInsight_Data!$A:$AS, 36, FALSE), "")</f>
        <v/>
      </c>
      <c r="S199">
        <f>IFERROR(VLOOKUP(A199, AZInsight_Data!$A:$AS, 3, FALSE), "")</f>
        <v/>
      </c>
      <c r="T199" s="17">
        <f>IFERROR(VLOOKUP(A199, AZInsight_Data!$A:$AS, 13, FALSE), 0)</f>
        <v/>
      </c>
      <c r="U199" s="13">
        <f>AH199</f>
        <v/>
      </c>
      <c r="V199" s="15">
        <f>T199*U199</f>
        <v/>
      </c>
      <c r="W199" s="16" t="n"/>
      <c r="X199" s="12">
        <f>IFERROR(VLOOKUP(A199, AZInsight_Data!$A:$AS, 40, FALSE), 1)</f>
        <v/>
      </c>
      <c r="Y199" s="13">
        <f>IFERROR(VLOOKUP(A199, IP Qty!$D:$R, 5, FALSE), 0)</f>
        <v/>
      </c>
      <c r="Z199" s="14">
        <f>IFERROR(VLOOKUP(A199, IP Qty!$D:$R, 6, FALSE), 0)</f>
        <v/>
      </c>
      <c r="AA199">
        <f>IFERROR(VLOOKUP(A199, IP Qty!$D:$R, 7, FALSE), 0)</f>
        <v/>
      </c>
      <c r="AB199">
        <f>IFERROR(VLOOKUP(A199, IP Qty!$D:$R, 9, FALSE), 0)</f>
        <v/>
      </c>
      <c r="AC199">
        <f>IFERROR(VLOOKUP(A199, IP Qty!$D:$R, 8, FALSE), 0)</f>
        <v/>
      </c>
      <c r="AD199" s="14">
        <f>IFERROR(VLOOKUP(A199, KEEPA!$A:$AW, 34, FALSE), 0)</f>
        <v/>
      </c>
      <c r="AE199" s="15">
        <f>IF(P199&gt;1, ((((M199&gt;=$AD$2)*(L199&gt;=$AH$2)) + ((M199&lt;$AD$2)*(M199&gt;=$AE$2)*(L199&gt;=$AG$2)) + ((M199&lt;$AE$2)*(M199&gt;=$AC$2)*(L199&gt;=0)))*2 * IF($AI$2=0, 1, AI199&lt;=$AI$2) * IF($AK$2=0, 1, AK199&lt;=$AK$2) * AND(N199&gt;=$D$1, H199&lt;=$I$2, G199&gt;=$H$2)), ((((M199&gt;=$AD$2)*(L199&gt;=$AH$2)) + ((M199&lt;$AD$2)*(M199&gt;=$AE$2)*(L199&gt;=$AG$2)) + ((M199&lt;$AE$2)*(M199&gt;=$AC$2)*(L199&gt;=0))) * IF($AI$2=0, 1, AI199&lt;=$AI$2) * IF($AK$2=0, 1, AK199&lt;=$AK$2) * AND(N199&gt;=$D$1, H199&lt;=$I$2, G199&gt;=$H$2)))</f>
        <v/>
      </c>
      <c r="AF199">
        <f>IF(AE199&gt;0, 1, 0)</f>
        <v/>
      </c>
      <c r="AG199">
        <f>IFERROR(IF(ISNUMBER(W199), IF(AN199, N199*W199*$AN$2, N199*W199), NA()), NA())</f>
        <v/>
      </c>
      <c r="AH199" s="13">
        <f>IFERROR(MIN(AG199, $U$2), 0)</f>
        <v/>
      </c>
      <c r="AI199" s="14">
        <f>IFERROR(VLOOKUP(A199, KEEPA!$A:$AW, 26, FALSE), 0)</f>
        <v/>
      </c>
      <c r="AJ199" s="16">
        <f>IFERROR(IF(AI199=0, 0, (AI199-H199)/H199), 0)</f>
        <v/>
      </c>
      <c r="AK199" s="14">
        <f>IFERROR(VLOOKUP(A199, KEEPA!$A:$AW, 28, FALSE), 0)</f>
        <v/>
      </c>
      <c r="AL199" s="16">
        <f>IFERROR(IF(AK199=0, 0, (AK199-H199)/H199), 0)</f>
        <v/>
      </c>
      <c r="AM199" s="13">
        <f>IFERROR(VLOOKUP(A199, AZInsight_Data!$A:$AS, 34, FALSE), 0)</f>
        <v/>
      </c>
      <c r="AN199">
        <f>IFERROR(AND(VLOOKUP(A199, KEEPA!$A:$AW, 2, FALSE)&lt;=$AO$2, N199 &gt;= $AM$2), FALSE)</f>
        <v/>
      </c>
      <c r="AO199" s="16">
        <f>IFERROR(VLOOKUP(A199, KEEPA!$A:$AW, 24, FALSE), 0)</f>
        <v/>
      </c>
      <c r="AP199" s="16">
        <f>IFERROR(VLOOKUP(A199, KEEPA!$A:$AW, 48, FALSE), 0)</f>
        <v/>
      </c>
      <c r="AQ199">
        <f>IFERROR(VLOOKUP(A199, AZInsight_Data!$A:$AS, 5, FALSE), "SL")</f>
        <v/>
      </c>
      <c r="AR199">
        <f>IF(OR(A199="", A199=0), "", HYPERLINK("https://keepa.com/#!product/1-"&amp;A199, "Keepa"))</f>
        <v/>
      </c>
      <c r="AS199">
        <f>IF(OR(A199="", A199=0), "", HYPERLINK("https://www.amazon.com/dp/"&amp;A199, "Amazon"))</f>
        <v/>
      </c>
      <c r="AT199">
        <f>IF(OR(A199="", A199=0), "", HYPERLINK("https://sellercentral.amazon.com/product-search/search?q="&amp;A199, "Check Gated"))</f>
        <v/>
      </c>
      <c r="AU199" s="12" t="n"/>
      <c r="AV199" s="12" t="n"/>
      <c r="AW199" s="12" t="n"/>
    </row>
    <row r="200">
      <c r="A200" s="12" t="n"/>
      <c r="B200" s="12">
        <f>IFERROR(VLOOKUP(A200, AZInsight_Data!$A:$AS, 3, FALSE), "")</f>
        <v/>
      </c>
      <c r="C200" s="13">
        <f>IFERROR(VLOOKUP(A200, AZInsight_Data!$A:$AS, 9, FALSE), 0)</f>
        <v/>
      </c>
      <c r="D200">
        <f>IFERROR(VLOOKUP(A200, AZInsight_Data!$A:$AS, 17, FALSE), 0)</f>
        <v/>
      </c>
      <c r="E200">
        <f>IFERROR(VLOOKUP(A200, AZInsight_Data!$A:$AS, 18, FALSE), 0)</f>
        <v/>
      </c>
      <c r="F200" s="14">
        <f>IFERROR(VLOOKUP(A200, AZInsight_Data!$A:$AS, 7, FALSE), 0)</f>
        <v/>
      </c>
      <c r="G200" s="15">
        <f>IFERROR(VLOOKUP(A200, AZInsight_Data!$A:$AS, 14, FALSE), 0)</f>
        <v/>
      </c>
      <c r="H200" s="14">
        <f>IFERROR(VLOOKUP(A200, AZInsight_Data!$A:$AS, 8, FALSE), 0)</f>
        <v/>
      </c>
      <c r="I200" s="16">
        <f>IFERROR(VLOOKUP(A200, KEEPA!$A:$AW, 47, FALSE), 0)</f>
        <v/>
      </c>
      <c r="J200">
        <f>IFERROR(VLOOKUP(A200, AZInsight_Data!$A:$AS, 25, FALSE), 0)</f>
        <v/>
      </c>
      <c r="K200" s="15">
        <f>IFERROR(VLOOKUP(A200, AZInsight_Data!$A:$AS, 16, FALSE), 0)</f>
        <v/>
      </c>
      <c r="L200" s="15">
        <f>IFERROR(K200-T200-J200, 0)</f>
        <v/>
      </c>
      <c r="M200" s="16">
        <f>IFERROR(IF(T200=0, 0, L200/T200), 0)</f>
        <v/>
      </c>
      <c r="N200" s="14">
        <f>IFERROR(C200*($V$2/30), 0)</f>
        <v/>
      </c>
      <c r="O200">
        <f>IFERROR(VLOOKUP(A200, AZInsight_Data!$A:$AS, 40, FALSE), 1)</f>
        <v/>
      </c>
      <c r="P200" s="13">
        <f>IF(O200&gt;0, O200, 1)</f>
        <v/>
      </c>
      <c r="Q200" s="13">
        <f>IFERROR(U200/P200, 0)</f>
        <v/>
      </c>
      <c r="R200">
        <f>IFERROR(VLOOKUP(A200, AZInsight_Data!$A:$AS, 36, FALSE), "")</f>
        <v/>
      </c>
      <c r="S200">
        <f>IFERROR(VLOOKUP(A200, AZInsight_Data!$A:$AS, 3, FALSE), "")</f>
        <v/>
      </c>
      <c r="T200" s="17">
        <f>IFERROR(VLOOKUP(A200, AZInsight_Data!$A:$AS, 13, FALSE), 0)</f>
        <v/>
      </c>
      <c r="U200" s="13">
        <f>AH200</f>
        <v/>
      </c>
      <c r="V200" s="15">
        <f>T200*U200</f>
        <v/>
      </c>
      <c r="W200" s="16" t="n"/>
      <c r="X200" s="12">
        <f>IFERROR(VLOOKUP(A200, AZInsight_Data!$A:$AS, 40, FALSE), 1)</f>
        <v/>
      </c>
      <c r="Y200" s="13">
        <f>IFERROR(VLOOKUP(A200, IP Qty!$D:$R, 5, FALSE), 0)</f>
        <v/>
      </c>
      <c r="Z200" s="14">
        <f>IFERROR(VLOOKUP(A200, IP Qty!$D:$R, 6, FALSE), 0)</f>
        <v/>
      </c>
      <c r="AA200">
        <f>IFERROR(VLOOKUP(A200, IP Qty!$D:$R, 7, FALSE), 0)</f>
        <v/>
      </c>
      <c r="AB200">
        <f>IFERROR(VLOOKUP(A200, IP Qty!$D:$R, 9, FALSE), 0)</f>
        <v/>
      </c>
      <c r="AC200">
        <f>IFERROR(VLOOKUP(A200, IP Qty!$D:$R, 8, FALSE), 0)</f>
        <v/>
      </c>
      <c r="AD200" s="14">
        <f>IFERROR(VLOOKUP(A200, KEEPA!$A:$AW, 34, FALSE), 0)</f>
        <v/>
      </c>
      <c r="AE200" s="15">
        <f>IF(P200&gt;1, ((((M200&gt;=$AD$2)*(L200&gt;=$AH$2)) + ((M200&lt;$AD$2)*(M200&gt;=$AE$2)*(L200&gt;=$AG$2)) + ((M200&lt;$AE$2)*(M200&gt;=$AC$2)*(L200&gt;=0)))*2 * IF($AI$2=0, 1, AI200&lt;=$AI$2) * IF($AK$2=0, 1, AK200&lt;=$AK$2) * AND(N200&gt;=$D$1, H200&lt;=$I$2, G200&gt;=$H$2)), ((((M200&gt;=$AD$2)*(L200&gt;=$AH$2)) + ((M200&lt;$AD$2)*(M200&gt;=$AE$2)*(L200&gt;=$AG$2)) + ((M200&lt;$AE$2)*(M200&gt;=$AC$2)*(L200&gt;=0))) * IF($AI$2=0, 1, AI200&lt;=$AI$2) * IF($AK$2=0, 1, AK200&lt;=$AK$2) * AND(N200&gt;=$D$1, H200&lt;=$I$2, G200&gt;=$H$2)))</f>
        <v/>
      </c>
      <c r="AF200">
        <f>IF(AE200&gt;0, 1, 0)</f>
        <v/>
      </c>
      <c r="AG200">
        <f>IFERROR(IF(ISNUMBER(W200), IF(AN200, N200*W200*$AN$2, N200*W200), NA()), NA())</f>
        <v/>
      </c>
      <c r="AH200" s="13">
        <f>IFERROR(MIN(AG200, $U$2), 0)</f>
        <v/>
      </c>
      <c r="AI200" s="14">
        <f>IFERROR(VLOOKUP(A200, KEEPA!$A:$AW, 26, FALSE), 0)</f>
        <v/>
      </c>
      <c r="AJ200" s="16">
        <f>IFERROR(IF(AI200=0, 0, (AI200-H200)/H200), 0)</f>
        <v/>
      </c>
      <c r="AK200" s="14">
        <f>IFERROR(VLOOKUP(A200, KEEPA!$A:$AW, 28, FALSE), 0)</f>
        <v/>
      </c>
      <c r="AL200" s="16">
        <f>IFERROR(IF(AK200=0, 0, (AK200-H200)/H200), 0)</f>
        <v/>
      </c>
      <c r="AM200" s="13">
        <f>IFERROR(VLOOKUP(A200, AZInsight_Data!$A:$AS, 34, FALSE), 0)</f>
        <v/>
      </c>
      <c r="AN200">
        <f>IFERROR(AND(VLOOKUP(A200, KEEPA!$A:$AW, 2, FALSE)&lt;=$AO$2, N200 &gt;= $AM$2), FALSE)</f>
        <v/>
      </c>
      <c r="AO200" s="16">
        <f>IFERROR(VLOOKUP(A200, KEEPA!$A:$AW, 24, FALSE), 0)</f>
        <v/>
      </c>
      <c r="AP200" s="16">
        <f>IFERROR(VLOOKUP(A200, KEEPA!$A:$AW, 48, FALSE), 0)</f>
        <v/>
      </c>
      <c r="AQ200">
        <f>IFERROR(VLOOKUP(A200, AZInsight_Data!$A:$AS, 5, FALSE), "SL")</f>
        <v/>
      </c>
      <c r="AR200">
        <f>IF(OR(A200="", A200=0), "", HYPERLINK("https://keepa.com/#!product/1-"&amp;A200, "Keepa"))</f>
        <v/>
      </c>
      <c r="AS200">
        <f>IF(OR(A200="", A200=0), "", HYPERLINK("https://www.amazon.com/dp/"&amp;A200, "Amazon"))</f>
        <v/>
      </c>
      <c r="AT200">
        <f>IF(OR(A200="", A200=0), "", HYPERLINK("https://sellercentral.amazon.com/product-search/search?q="&amp;A200, "Check Gated"))</f>
        <v/>
      </c>
      <c r="AU200" s="12" t="n"/>
      <c r="AV200" s="12" t="n"/>
      <c r="AW200" s="12" t="n"/>
    </row>
    <row r="201">
      <c r="A201" s="12" t="n"/>
      <c r="B201" s="12">
        <f>IFERROR(VLOOKUP(A201, AZInsight_Data!$A:$AS, 3, FALSE), "")</f>
        <v/>
      </c>
      <c r="C201" s="13">
        <f>IFERROR(VLOOKUP(A201, AZInsight_Data!$A:$AS, 9, FALSE), 0)</f>
        <v/>
      </c>
      <c r="D201">
        <f>IFERROR(VLOOKUP(A201, AZInsight_Data!$A:$AS, 17, FALSE), 0)</f>
        <v/>
      </c>
      <c r="E201">
        <f>IFERROR(VLOOKUP(A201, AZInsight_Data!$A:$AS, 18, FALSE), 0)</f>
        <v/>
      </c>
      <c r="F201" s="14">
        <f>IFERROR(VLOOKUP(A201, AZInsight_Data!$A:$AS, 7, FALSE), 0)</f>
        <v/>
      </c>
      <c r="G201" s="15">
        <f>IFERROR(VLOOKUP(A201, AZInsight_Data!$A:$AS, 14, FALSE), 0)</f>
        <v/>
      </c>
      <c r="H201" s="14">
        <f>IFERROR(VLOOKUP(A201, AZInsight_Data!$A:$AS, 8, FALSE), 0)</f>
        <v/>
      </c>
      <c r="I201" s="16">
        <f>IFERROR(VLOOKUP(A201, KEEPA!$A:$AW, 47, FALSE), 0)</f>
        <v/>
      </c>
      <c r="J201">
        <f>IFERROR(VLOOKUP(A201, AZInsight_Data!$A:$AS, 25, FALSE), 0)</f>
        <v/>
      </c>
      <c r="K201" s="15">
        <f>IFERROR(VLOOKUP(A201, AZInsight_Data!$A:$AS, 16, FALSE), 0)</f>
        <v/>
      </c>
      <c r="L201" s="15">
        <f>IFERROR(K201-T201-J201, 0)</f>
        <v/>
      </c>
      <c r="M201" s="16">
        <f>IFERROR(IF(T201=0, 0, L201/T201), 0)</f>
        <v/>
      </c>
      <c r="N201" s="14">
        <f>IFERROR(C201*($V$2/30), 0)</f>
        <v/>
      </c>
      <c r="O201">
        <f>IFERROR(VLOOKUP(A201, AZInsight_Data!$A:$AS, 40, FALSE), 1)</f>
        <v/>
      </c>
      <c r="P201" s="13">
        <f>IF(O201&gt;0, O201, 1)</f>
        <v/>
      </c>
      <c r="Q201" s="13">
        <f>IFERROR(U201/P201, 0)</f>
        <v/>
      </c>
      <c r="R201">
        <f>IFERROR(VLOOKUP(A201, AZInsight_Data!$A:$AS, 36, FALSE), "")</f>
        <v/>
      </c>
      <c r="S201">
        <f>IFERROR(VLOOKUP(A201, AZInsight_Data!$A:$AS, 3, FALSE), "")</f>
        <v/>
      </c>
      <c r="T201" s="17">
        <f>IFERROR(VLOOKUP(A201, AZInsight_Data!$A:$AS, 13, FALSE), 0)</f>
        <v/>
      </c>
      <c r="U201" s="13">
        <f>AH201</f>
        <v/>
      </c>
      <c r="V201" s="15">
        <f>T201*U201</f>
        <v/>
      </c>
      <c r="W201" s="16" t="n"/>
      <c r="X201" s="12">
        <f>IFERROR(VLOOKUP(A201, AZInsight_Data!$A:$AS, 40, FALSE), 1)</f>
        <v/>
      </c>
      <c r="Y201" s="13">
        <f>IFERROR(VLOOKUP(A201, IP Qty!$D:$R, 5, FALSE), 0)</f>
        <v/>
      </c>
      <c r="Z201" s="14">
        <f>IFERROR(VLOOKUP(A201, IP Qty!$D:$R, 6, FALSE), 0)</f>
        <v/>
      </c>
      <c r="AA201">
        <f>IFERROR(VLOOKUP(A201, IP Qty!$D:$R, 7, FALSE), 0)</f>
        <v/>
      </c>
      <c r="AB201">
        <f>IFERROR(VLOOKUP(A201, IP Qty!$D:$R, 9, FALSE), 0)</f>
        <v/>
      </c>
      <c r="AC201">
        <f>IFERROR(VLOOKUP(A201, IP Qty!$D:$R, 8, FALSE), 0)</f>
        <v/>
      </c>
      <c r="AD201" s="14">
        <f>IFERROR(VLOOKUP(A201, KEEPA!$A:$AW, 34, FALSE), 0)</f>
        <v/>
      </c>
      <c r="AE201" s="15">
        <f>IF(P201&gt;1, ((((M201&gt;=$AD$2)*(L201&gt;=$AH$2)) + ((M201&lt;$AD$2)*(M201&gt;=$AE$2)*(L201&gt;=$AG$2)) + ((M201&lt;$AE$2)*(M201&gt;=$AC$2)*(L201&gt;=0)))*2 * IF($AI$2=0, 1, AI201&lt;=$AI$2) * IF($AK$2=0, 1, AK201&lt;=$AK$2) * AND(N201&gt;=$D$1, H201&lt;=$I$2, G201&gt;=$H$2)), ((((M201&gt;=$AD$2)*(L201&gt;=$AH$2)) + ((M201&lt;$AD$2)*(M201&gt;=$AE$2)*(L201&gt;=$AG$2)) + ((M201&lt;$AE$2)*(M201&gt;=$AC$2)*(L201&gt;=0))) * IF($AI$2=0, 1, AI201&lt;=$AI$2) * IF($AK$2=0, 1, AK201&lt;=$AK$2) * AND(N201&gt;=$D$1, H201&lt;=$I$2, G201&gt;=$H$2)))</f>
        <v/>
      </c>
      <c r="AF201">
        <f>IF(AE201&gt;0, 1, 0)</f>
        <v/>
      </c>
      <c r="AG201">
        <f>IFERROR(IF(ISNUMBER(W201), IF(AN201, N201*W201*$AN$2, N201*W201), NA()), NA())</f>
        <v/>
      </c>
      <c r="AH201" s="13">
        <f>IFERROR(MIN(AG201, $U$2), 0)</f>
        <v/>
      </c>
      <c r="AI201" s="14">
        <f>IFERROR(VLOOKUP(A201, KEEPA!$A:$AW, 26, FALSE), 0)</f>
        <v/>
      </c>
      <c r="AJ201" s="16">
        <f>IFERROR(IF(AI201=0, 0, (AI201-H201)/H201), 0)</f>
        <v/>
      </c>
      <c r="AK201" s="14">
        <f>IFERROR(VLOOKUP(A201, KEEPA!$A:$AW, 28, FALSE), 0)</f>
        <v/>
      </c>
      <c r="AL201" s="16">
        <f>IFERROR(IF(AK201=0, 0, (AK201-H201)/H201), 0)</f>
        <v/>
      </c>
      <c r="AM201" s="13">
        <f>IFERROR(VLOOKUP(A201, AZInsight_Data!$A:$AS, 34, FALSE), 0)</f>
        <v/>
      </c>
      <c r="AN201">
        <f>IFERROR(AND(VLOOKUP(A201, KEEPA!$A:$AW, 2, FALSE)&lt;=$AO$2, N201 &gt;= $AM$2), FALSE)</f>
        <v/>
      </c>
      <c r="AO201" s="16">
        <f>IFERROR(VLOOKUP(A201, KEEPA!$A:$AW, 24, FALSE), 0)</f>
        <v/>
      </c>
      <c r="AP201" s="16">
        <f>IFERROR(VLOOKUP(A201, KEEPA!$A:$AW, 48, FALSE), 0)</f>
        <v/>
      </c>
      <c r="AQ201">
        <f>IFERROR(VLOOKUP(A201, AZInsight_Data!$A:$AS, 5, FALSE), "SL")</f>
        <v/>
      </c>
      <c r="AR201">
        <f>IF(OR(A201="", A201=0), "", HYPERLINK("https://keepa.com/#!product/1-"&amp;A201, "Keepa"))</f>
        <v/>
      </c>
      <c r="AS201">
        <f>IF(OR(A201="", A201=0), "", HYPERLINK("https://www.amazon.com/dp/"&amp;A201, "Amazon"))</f>
        <v/>
      </c>
      <c r="AT201">
        <f>IF(OR(A201="", A201=0), "", HYPERLINK("https://sellercentral.amazon.com/product-search/search?q="&amp;A201, "Check Gated"))</f>
        <v/>
      </c>
      <c r="AU201" s="12" t="n"/>
      <c r="AV201" s="12" t="n"/>
      <c r="AW201" s="12" t="n"/>
    </row>
    <row r="202">
      <c r="A202" s="12" t="n"/>
      <c r="B202" s="12">
        <f>IFERROR(VLOOKUP(A202, AZInsight_Data!$A:$AS, 3, FALSE), "")</f>
        <v/>
      </c>
      <c r="C202" s="13">
        <f>IFERROR(VLOOKUP(A202, AZInsight_Data!$A:$AS, 9, FALSE), 0)</f>
        <v/>
      </c>
      <c r="D202">
        <f>IFERROR(VLOOKUP(A202, AZInsight_Data!$A:$AS, 17, FALSE), 0)</f>
        <v/>
      </c>
      <c r="E202">
        <f>IFERROR(VLOOKUP(A202, AZInsight_Data!$A:$AS, 18, FALSE), 0)</f>
        <v/>
      </c>
      <c r="F202" s="14">
        <f>IFERROR(VLOOKUP(A202, AZInsight_Data!$A:$AS, 7, FALSE), 0)</f>
        <v/>
      </c>
      <c r="G202" s="15">
        <f>IFERROR(VLOOKUP(A202, AZInsight_Data!$A:$AS, 14, FALSE), 0)</f>
        <v/>
      </c>
      <c r="H202" s="14">
        <f>IFERROR(VLOOKUP(A202, AZInsight_Data!$A:$AS, 8, FALSE), 0)</f>
        <v/>
      </c>
      <c r="I202" s="16">
        <f>IFERROR(VLOOKUP(A202, KEEPA!$A:$AW, 47, FALSE), 0)</f>
        <v/>
      </c>
      <c r="J202">
        <f>IFERROR(VLOOKUP(A202, AZInsight_Data!$A:$AS, 25, FALSE), 0)</f>
        <v/>
      </c>
      <c r="K202" s="15">
        <f>IFERROR(VLOOKUP(A202, AZInsight_Data!$A:$AS, 16, FALSE), 0)</f>
        <v/>
      </c>
      <c r="L202" s="15">
        <f>IFERROR(K202-T202-J202, 0)</f>
        <v/>
      </c>
      <c r="M202" s="16">
        <f>IFERROR(IF(T202=0, 0, L202/T202), 0)</f>
        <v/>
      </c>
      <c r="N202" s="14">
        <f>IFERROR(C202*($V$2/30), 0)</f>
        <v/>
      </c>
      <c r="O202">
        <f>IFERROR(VLOOKUP(A202, AZInsight_Data!$A:$AS, 40, FALSE), 1)</f>
        <v/>
      </c>
      <c r="P202" s="13">
        <f>IF(O202&gt;0, O202, 1)</f>
        <v/>
      </c>
      <c r="Q202" s="13">
        <f>IFERROR(U202/P202, 0)</f>
        <v/>
      </c>
      <c r="R202">
        <f>IFERROR(VLOOKUP(A202, AZInsight_Data!$A:$AS, 36, FALSE), "")</f>
        <v/>
      </c>
      <c r="S202">
        <f>IFERROR(VLOOKUP(A202, AZInsight_Data!$A:$AS, 3, FALSE), "")</f>
        <v/>
      </c>
      <c r="T202" s="17">
        <f>IFERROR(VLOOKUP(A202, AZInsight_Data!$A:$AS, 13, FALSE), 0)</f>
        <v/>
      </c>
      <c r="U202" s="13">
        <f>AH202</f>
        <v/>
      </c>
      <c r="V202" s="15">
        <f>T202*U202</f>
        <v/>
      </c>
      <c r="W202" s="16" t="n"/>
      <c r="X202" s="12">
        <f>IFERROR(VLOOKUP(A202, AZInsight_Data!$A:$AS, 40, FALSE), 1)</f>
        <v/>
      </c>
      <c r="Y202" s="13">
        <f>IFERROR(VLOOKUP(A202, IP Qty!$D:$R, 5, FALSE), 0)</f>
        <v/>
      </c>
      <c r="Z202" s="14">
        <f>IFERROR(VLOOKUP(A202, IP Qty!$D:$R, 6, FALSE), 0)</f>
        <v/>
      </c>
      <c r="AA202">
        <f>IFERROR(VLOOKUP(A202, IP Qty!$D:$R, 7, FALSE), 0)</f>
        <v/>
      </c>
      <c r="AB202">
        <f>IFERROR(VLOOKUP(A202, IP Qty!$D:$R, 9, FALSE), 0)</f>
        <v/>
      </c>
      <c r="AC202">
        <f>IFERROR(VLOOKUP(A202, IP Qty!$D:$R, 8, FALSE), 0)</f>
        <v/>
      </c>
      <c r="AD202" s="14">
        <f>IFERROR(VLOOKUP(A202, KEEPA!$A:$AW, 34, FALSE), 0)</f>
        <v/>
      </c>
      <c r="AE202" s="15">
        <f>IF(P202&gt;1, ((((M202&gt;=$AD$2)*(L202&gt;=$AH$2)) + ((M202&lt;$AD$2)*(M202&gt;=$AE$2)*(L202&gt;=$AG$2)) + ((M202&lt;$AE$2)*(M202&gt;=$AC$2)*(L202&gt;=0)))*2 * IF($AI$2=0, 1, AI202&lt;=$AI$2) * IF($AK$2=0, 1, AK202&lt;=$AK$2) * AND(N202&gt;=$D$1, H202&lt;=$I$2, G202&gt;=$H$2)), ((((M202&gt;=$AD$2)*(L202&gt;=$AH$2)) + ((M202&lt;$AD$2)*(M202&gt;=$AE$2)*(L202&gt;=$AG$2)) + ((M202&lt;$AE$2)*(M202&gt;=$AC$2)*(L202&gt;=0))) * IF($AI$2=0, 1, AI202&lt;=$AI$2) * IF($AK$2=0, 1, AK202&lt;=$AK$2) * AND(N202&gt;=$D$1, H202&lt;=$I$2, G202&gt;=$H$2)))</f>
        <v/>
      </c>
      <c r="AF202">
        <f>IF(AE202&gt;0, 1, 0)</f>
        <v/>
      </c>
      <c r="AG202">
        <f>IFERROR(IF(ISNUMBER(W202), IF(AN202, N202*W202*$AN$2, N202*W202), NA()), NA())</f>
        <v/>
      </c>
      <c r="AH202" s="13">
        <f>IFERROR(MIN(AG202, $U$2), 0)</f>
        <v/>
      </c>
      <c r="AI202" s="14">
        <f>IFERROR(VLOOKUP(A202, KEEPA!$A:$AW, 26, FALSE), 0)</f>
        <v/>
      </c>
      <c r="AJ202" s="16">
        <f>IFERROR(IF(AI202=0, 0, (AI202-H202)/H202), 0)</f>
        <v/>
      </c>
      <c r="AK202" s="14">
        <f>IFERROR(VLOOKUP(A202, KEEPA!$A:$AW, 28, FALSE), 0)</f>
        <v/>
      </c>
      <c r="AL202" s="16">
        <f>IFERROR(IF(AK202=0, 0, (AK202-H202)/H202), 0)</f>
        <v/>
      </c>
      <c r="AM202" s="13">
        <f>IFERROR(VLOOKUP(A202, AZInsight_Data!$A:$AS, 34, FALSE), 0)</f>
        <v/>
      </c>
      <c r="AN202">
        <f>IFERROR(AND(VLOOKUP(A202, KEEPA!$A:$AW, 2, FALSE)&lt;=$AO$2, N202 &gt;= $AM$2), FALSE)</f>
        <v/>
      </c>
      <c r="AO202" s="16">
        <f>IFERROR(VLOOKUP(A202, KEEPA!$A:$AW, 24, FALSE), 0)</f>
        <v/>
      </c>
      <c r="AP202" s="16">
        <f>IFERROR(VLOOKUP(A202, KEEPA!$A:$AW, 48, FALSE), 0)</f>
        <v/>
      </c>
      <c r="AQ202">
        <f>IFERROR(VLOOKUP(A202, AZInsight_Data!$A:$AS, 5, FALSE), "SL")</f>
        <v/>
      </c>
      <c r="AR202">
        <f>IF(OR(A202="", A202=0), "", HYPERLINK("https://keepa.com/#!product/1-"&amp;A202, "Keepa"))</f>
        <v/>
      </c>
      <c r="AS202">
        <f>IF(OR(A202="", A202=0), "", HYPERLINK("https://www.amazon.com/dp/"&amp;A202, "Amazon"))</f>
        <v/>
      </c>
      <c r="AT202">
        <f>IF(OR(A202="", A202=0), "", HYPERLINK("https://sellercentral.amazon.com/product-search/search?q="&amp;A202, "Check Gated"))</f>
        <v/>
      </c>
      <c r="AU202" s="12" t="n"/>
      <c r="AV202" s="12" t="n"/>
      <c r="AW202" s="12" t="n"/>
    </row>
    <row r="203">
      <c r="A203" s="12" t="n"/>
      <c r="B203" s="12">
        <f>IFERROR(VLOOKUP(A203, AZInsight_Data!$A:$AS, 3, FALSE), "")</f>
        <v/>
      </c>
      <c r="C203" s="13">
        <f>IFERROR(VLOOKUP(A203, AZInsight_Data!$A:$AS, 9, FALSE), 0)</f>
        <v/>
      </c>
      <c r="D203">
        <f>IFERROR(VLOOKUP(A203, AZInsight_Data!$A:$AS, 17, FALSE), 0)</f>
        <v/>
      </c>
      <c r="E203">
        <f>IFERROR(VLOOKUP(A203, AZInsight_Data!$A:$AS, 18, FALSE), 0)</f>
        <v/>
      </c>
      <c r="F203" s="14">
        <f>IFERROR(VLOOKUP(A203, AZInsight_Data!$A:$AS, 7, FALSE), 0)</f>
        <v/>
      </c>
      <c r="G203" s="15">
        <f>IFERROR(VLOOKUP(A203, AZInsight_Data!$A:$AS, 14, FALSE), 0)</f>
        <v/>
      </c>
      <c r="H203" s="14">
        <f>IFERROR(VLOOKUP(A203, AZInsight_Data!$A:$AS, 8, FALSE), 0)</f>
        <v/>
      </c>
      <c r="I203" s="16">
        <f>IFERROR(VLOOKUP(A203, KEEPA!$A:$AW, 47, FALSE), 0)</f>
        <v/>
      </c>
      <c r="J203">
        <f>IFERROR(VLOOKUP(A203, AZInsight_Data!$A:$AS, 25, FALSE), 0)</f>
        <v/>
      </c>
      <c r="K203" s="15">
        <f>IFERROR(VLOOKUP(A203, AZInsight_Data!$A:$AS, 16, FALSE), 0)</f>
        <v/>
      </c>
      <c r="L203" s="15">
        <f>IFERROR(K203-T203-J203, 0)</f>
        <v/>
      </c>
      <c r="M203" s="16">
        <f>IFERROR(IF(T203=0, 0, L203/T203), 0)</f>
        <v/>
      </c>
      <c r="N203" s="14">
        <f>IFERROR(C203*($V$2/30), 0)</f>
        <v/>
      </c>
      <c r="O203">
        <f>IFERROR(VLOOKUP(A203, AZInsight_Data!$A:$AS, 40, FALSE), 1)</f>
        <v/>
      </c>
      <c r="P203" s="13">
        <f>IF(O203&gt;0, O203, 1)</f>
        <v/>
      </c>
      <c r="Q203" s="13">
        <f>IFERROR(U203/P203, 0)</f>
        <v/>
      </c>
      <c r="R203">
        <f>IFERROR(VLOOKUP(A203, AZInsight_Data!$A:$AS, 36, FALSE), "")</f>
        <v/>
      </c>
      <c r="S203">
        <f>IFERROR(VLOOKUP(A203, AZInsight_Data!$A:$AS, 3, FALSE), "")</f>
        <v/>
      </c>
      <c r="T203" s="17">
        <f>IFERROR(VLOOKUP(A203, AZInsight_Data!$A:$AS, 13, FALSE), 0)</f>
        <v/>
      </c>
      <c r="U203" s="13">
        <f>AH203</f>
        <v/>
      </c>
      <c r="V203" s="15">
        <f>T203*U203</f>
        <v/>
      </c>
      <c r="W203" s="16" t="n"/>
      <c r="X203" s="12">
        <f>IFERROR(VLOOKUP(A203, AZInsight_Data!$A:$AS, 40, FALSE), 1)</f>
        <v/>
      </c>
      <c r="Y203" s="13">
        <f>IFERROR(VLOOKUP(A203, IP Qty!$D:$R, 5, FALSE), 0)</f>
        <v/>
      </c>
      <c r="Z203" s="14">
        <f>IFERROR(VLOOKUP(A203, IP Qty!$D:$R, 6, FALSE), 0)</f>
        <v/>
      </c>
      <c r="AA203">
        <f>IFERROR(VLOOKUP(A203, IP Qty!$D:$R, 7, FALSE), 0)</f>
        <v/>
      </c>
      <c r="AB203">
        <f>IFERROR(VLOOKUP(A203, IP Qty!$D:$R, 9, FALSE), 0)</f>
        <v/>
      </c>
      <c r="AC203">
        <f>IFERROR(VLOOKUP(A203, IP Qty!$D:$R, 8, FALSE), 0)</f>
        <v/>
      </c>
      <c r="AD203" s="14">
        <f>IFERROR(VLOOKUP(A203, KEEPA!$A:$AW, 34, FALSE), 0)</f>
        <v/>
      </c>
      <c r="AE203" s="15">
        <f>IF(P203&gt;1, ((((M203&gt;=$AD$2)*(L203&gt;=$AH$2)) + ((M203&lt;$AD$2)*(M203&gt;=$AE$2)*(L203&gt;=$AG$2)) + ((M203&lt;$AE$2)*(M203&gt;=$AC$2)*(L203&gt;=0)))*2 * IF($AI$2=0, 1, AI203&lt;=$AI$2) * IF($AK$2=0, 1, AK203&lt;=$AK$2) * AND(N203&gt;=$D$1, H203&lt;=$I$2, G203&gt;=$H$2)), ((((M203&gt;=$AD$2)*(L203&gt;=$AH$2)) + ((M203&lt;$AD$2)*(M203&gt;=$AE$2)*(L203&gt;=$AG$2)) + ((M203&lt;$AE$2)*(M203&gt;=$AC$2)*(L203&gt;=0))) * IF($AI$2=0, 1, AI203&lt;=$AI$2) * IF($AK$2=0, 1, AK203&lt;=$AK$2) * AND(N203&gt;=$D$1, H203&lt;=$I$2, G203&gt;=$H$2)))</f>
        <v/>
      </c>
      <c r="AF203">
        <f>IF(AE203&gt;0, 1, 0)</f>
        <v/>
      </c>
      <c r="AG203">
        <f>IFERROR(IF(ISNUMBER(W203), IF(AN203, N203*W203*$AN$2, N203*W203), NA()), NA())</f>
        <v/>
      </c>
      <c r="AH203" s="13">
        <f>IFERROR(MIN(AG203, $U$2), 0)</f>
        <v/>
      </c>
      <c r="AI203" s="14">
        <f>IFERROR(VLOOKUP(A203, KEEPA!$A:$AW, 26, FALSE), 0)</f>
        <v/>
      </c>
      <c r="AJ203" s="16">
        <f>IFERROR(IF(AI203=0, 0, (AI203-H203)/H203), 0)</f>
        <v/>
      </c>
      <c r="AK203" s="14">
        <f>IFERROR(VLOOKUP(A203, KEEPA!$A:$AW, 28, FALSE), 0)</f>
        <v/>
      </c>
      <c r="AL203" s="16">
        <f>IFERROR(IF(AK203=0, 0, (AK203-H203)/H203), 0)</f>
        <v/>
      </c>
      <c r="AM203" s="13">
        <f>IFERROR(VLOOKUP(A203, AZInsight_Data!$A:$AS, 34, FALSE), 0)</f>
        <v/>
      </c>
      <c r="AN203">
        <f>IFERROR(AND(VLOOKUP(A203, KEEPA!$A:$AW, 2, FALSE)&lt;=$AO$2, N203 &gt;= $AM$2), FALSE)</f>
        <v/>
      </c>
      <c r="AO203" s="16">
        <f>IFERROR(VLOOKUP(A203, KEEPA!$A:$AW, 24, FALSE), 0)</f>
        <v/>
      </c>
      <c r="AP203" s="16">
        <f>IFERROR(VLOOKUP(A203, KEEPA!$A:$AW, 48, FALSE), 0)</f>
        <v/>
      </c>
      <c r="AQ203">
        <f>IFERROR(VLOOKUP(A203, AZInsight_Data!$A:$AS, 5, FALSE), "SL")</f>
        <v/>
      </c>
      <c r="AR203">
        <f>IF(OR(A203="", A203=0), "", HYPERLINK("https://keepa.com/#!product/1-"&amp;A203, "Keepa"))</f>
        <v/>
      </c>
      <c r="AS203">
        <f>IF(OR(A203="", A203=0), "", HYPERLINK("https://www.amazon.com/dp/"&amp;A203, "Amazon"))</f>
        <v/>
      </c>
      <c r="AT203">
        <f>IF(OR(A203="", A203=0), "", HYPERLINK("https://sellercentral.amazon.com/product-search/search?q="&amp;A203, "Check Gated"))</f>
        <v/>
      </c>
      <c r="AU203" s="12" t="n"/>
      <c r="AV203" s="12" t="n"/>
      <c r="AW203" s="1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W203"/>
  <conditionalFormatting sqref="A4:A204">
    <cfRule type="duplicateValues" priority="1" dxfId="0"/>
  </conditionalFormatting>
  <conditionalFormatting sqref="B4:B204">
    <cfRule type="expression" priority="2" dxfId="1">
      <formula>NOT(ISERROR(SEARCH("Frozen",B4)))</formula>
    </cfRule>
    <cfRule type="expression" priority="3" dxfId="1">
      <formula>NOT(ISERROR(SEARCH("Cool Ship",B4)))</formula>
    </cfRule>
    <cfRule type="expression" priority="4" dxfId="1">
      <formula>NOT(ISERROR(SEARCH("Spray",B4)))</formula>
    </cfRule>
  </conditionalFormatting>
  <conditionalFormatting sqref="Z4:Z204">
    <cfRule type="cellIs" priority="5" operator="lessThan" dxfId="0">
      <formula>3</formula>
    </cfRule>
  </conditionalFormatting>
  <dataValidations count="1">
    <dataValidation sqref="AN4:AN204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55" customWidth="1" min="3" max="3"/>
    <col width="15" customWidth="1" min="4" max="4"/>
    <col width="15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5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2" customWidth="1" min="30" max="30"/>
    <col width="12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6" customWidth="1" min="38" max="38"/>
    <col width="15" customWidth="1" min="39" max="39"/>
    <col width="15" customWidth="1" min="40" max="40"/>
    <col width="14" customWidth="1" min="41" max="41"/>
    <col width="14" customWidth="1" min="42" max="42"/>
    <col width="12" customWidth="1" min="43" max="43"/>
    <col width="14" customWidth="1" min="44" max="44"/>
    <col width="12" customWidth="1" min="45" max="45"/>
  </cols>
  <sheetData>
    <row r="1">
      <c r="A1" s="6" t="inlineStr">
        <is>
          <t>Total Items</t>
        </is>
      </c>
      <c r="B1" s="11">
        <f>COUNTA(A4:A203)</f>
        <v/>
      </c>
      <c r="C1" s="6" t="inlineStr">
        <is>
          <t>Matches Found on AMZ</t>
        </is>
      </c>
      <c r="D1" s="11">
        <f>COUNTIF(A4:A203, "*?")</f>
        <v/>
      </c>
      <c r="E1" s="6" t="inlineStr">
        <is>
          <t>Not Found on AMZ</t>
        </is>
      </c>
      <c r="F1" s="11">
        <f>B1-D1</f>
        <v/>
      </c>
    </row>
    <row r="3">
      <c r="A3" s="1" t="inlineStr">
        <is>
          <t>ASIN</t>
        </is>
      </c>
      <c r="B3" s="1" t="inlineStr">
        <is>
          <t>Product ID</t>
        </is>
      </c>
      <c r="C3" s="1" t="inlineStr">
        <is>
          <t>Title</t>
        </is>
      </c>
      <c r="D3" s="1" t="inlineStr">
        <is>
          <t>Package Quantity</t>
        </is>
      </c>
      <c r="E3" s="1" t="inlineStr">
        <is>
          <t>Brand</t>
        </is>
      </c>
      <c r="F3" s="1" t="inlineStr">
        <is>
          <t>Product Group</t>
        </is>
      </c>
      <c r="G3" s="1" t="inlineStr">
        <is>
          <t>Total Offers</t>
        </is>
      </c>
      <c r="H3" s="1" t="inlineStr">
        <is>
          <t>Sales Rank</t>
        </is>
      </c>
      <c r="I3" s="1" t="inlineStr">
        <is>
          <t>Estimated Number of Sales</t>
        </is>
      </c>
      <c r="J3" s="1" t="inlineStr">
        <is>
          <t>Profit</t>
        </is>
      </c>
      <c r="K3" s="1" t="inlineStr">
        <is>
          <t>Margin</t>
        </is>
      </c>
      <c r="L3" s="1" t="inlineStr">
        <is>
          <t>ROI</t>
        </is>
      </c>
      <c r="M3" s="1" t="inlineStr">
        <is>
          <t>Purchase Price</t>
        </is>
      </c>
      <c r="N3" s="1" t="inlineStr">
        <is>
          <t>Sell Price</t>
        </is>
      </c>
      <c r="O3" s="1" t="inlineStr">
        <is>
          <t>Buy Box Landed</t>
        </is>
      </c>
      <c r="P3" s="1" t="inlineStr">
        <is>
          <t>Seller Proceeds</t>
        </is>
      </c>
      <c r="Q3" s="1" t="inlineStr">
        <is>
          <t>Low New Fba Price</t>
        </is>
      </c>
      <c r="R3" s="1" t="inlineStr">
        <is>
          <t>Low New Mfn Price</t>
        </is>
      </c>
      <c r="S3" s="1" t="inlineStr">
        <is>
          <t>Referral Fee</t>
        </is>
      </c>
      <c r="T3" s="1" t="inlineStr">
        <is>
          <t>Variable Closing Fee</t>
        </is>
      </c>
      <c r="U3" s="1" t="inlineStr">
        <is>
          <t>Fulfillment Subtotal</t>
        </is>
      </c>
      <c r="V3" s="1" t="inlineStr">
        <is>
          <t>Cost Sub Total</t>
        </is>
      </c>
      <c r="W3" s="1" t="inlineStr">
        <is>
          <t>VAT %</t>
        </is>
      </c>
      <c r="X3" s="1" t="inlineStr">
        <is>
          <t>VAT $</t>
        </is>
      </c>
      <c r="Y3" s="1" t="inlineStr">
        <is>
          <t>Inbound Shipping Estimate</t>
        </is>
      </c>
      <c r="Z3" s="1" t="inlineStr">
        <is>
          <t>Package Weight</t>
        </is>
      </c>
      <c r="AA3" s="1" t="inlineStr">
        <is>
          <t>Package Height</t>
        </is>
      </c>
      <c r="AB3" s="1" t="inlineStr">
        <is>
          <t>Package Length</t>
        </is>
      </c>
      <c r="AC3" s="1" t="inlineStr">
        <is>
          <t>Package Width</t>
        </is>
      </c>
      <c r="AD3" s="1" t="inlineStr">
        <is>
          <t>New FBA Num Offers</t>
        </is>
      </c>
      <c r="AE3" s="1" t="inlineStr">
        <is>
          <t>New MFN Num Offers</t>
        </is>
      </c>
      <c r="AF3" s="1" t="inlineStr">
        <is>
          <t>Keepa</t>
        </is>
      </c>
      <c r="AG3" s="1" t="inlineStr">
        <is>
          <t>CamelCC</t>
        </is>
      </c>
      <c r="AH3" s="1" t="inlineStr">
        <is>
          <t>Size</t>
        </is>
      </c>
      <c r="AI3" s="1" t="inlineStr">
        <is>
          <t>Last Run</t>
        </is>
      </c>
      <c r="AJ3" s="1" t="inlineStr">
        <is>
          <t>Item Number</t>
        </is>
      </c>
      <c r="AK3" s="1" t="inlineStr">
        <is>
          <t>PRODUCT</t>
        </is>
      </c>
      <c r="AL3" s="1" t="inlineStr">
        <is>
          <t>SKU #</t>
        </is>
      </c>
      <c r="AM3" s="1" t="inlineStr">
        <is>
          <t>Size(1)</t>
        </is>
      </c>
      <c r="AN3" s="1" t="inlineStr">
        <is>
          <t>Case Pk</t>
        </is>
      </c>
      <c r="AO3" s="1" t="inlineStr">
        <is>
          <t>Salon price / each</t>
        </is>
      </c>
      <c r="AP3" s="1" t="inlineStr">
        <is>
          <t>Salon price / case</t>
        </is>
      </c>
      <c r="AQ3" s="1" t="inlineStr">
        <is>
          <t>QTY</t>
        </is>
      </c>
      <c r="AR3" s="1" t="inlineStr">
        <is>
          <t>YOUR TOTAL COST</t>
        </is>
      </c>
      <c r="AS3" s="1" t="inlineStr">
        <is>
          <t>CASE COUNT</t>
        </is>
      </c>
    </row>
    <row r="4">
      <c r="A4" s="12" t="n"/>
      <c r="B4" s="12" t="n"/>
      <c r="C4" s="12" t="n"/>
      <c r="G4" s="14" t="n"/>
      <c r="H4" s="14" t="n"/>
      <c r="I4" s="14" t="n"/>
      <c r="J4" s="15" t="n"/>
      <c r="K4" s="16" t="n"/>
      <c r="L4" s="16" t="n"/>
      <c r="M4" s="15" t="n"/>
      <c r="N4" s="15" t="n"/>
      <c r="P4" s="15" t="n"/>
      <c r="Q4" s="15" t="n"/>
      <c r="R4" s="15" t="n"/>
      <c r="S4" s="15" t="n"/>
      <c r="T4" s="15" t="n"/>
      <c r="U4" s="15" t="n"/>
      <c r="V4" s="17" t="n"/>
      <c r="W4" s="16" t="n"/>
      <c r="Z4" s="16" t="n"/>
      <c r="AD4" s="14" t="n"/>
      <c r="AE4" s="14" t="n"/>
      <c r="AL4" s="12" t="n"/>
      <c r="AO4" s="15" t="n"/>
      <c r="AP4" s="15" t="n"/>
      <c r="AQ4" s="13" t="n"/>
      <c r="AR4" s="17" t="n"/>
      <c r="AS4" s="14" t="n"/>
    </row>
    <row r="5">
      <c r="A5" s="12" t="n"/>
      <c r="B5" s="12" t="n"/>
      <c r="C5" s="12" t="n"/>
      <c r="G5" s="14" t="n"/>
      <c r="H5" s="14" t="n"/>
      <c r="I5" s="14" t="n"/>
      <c r="J5" s="15" t="n"/>
      <c r="K5" s="16" t="n"/>
      <c r="L5" s="16" t="n"/>
      <c r="M5" s="15" t="n"/>
      <c r="N5" s="15" t="n"/>
      <c r="P5" s="15" t="n"/>
      <c r="Q5" s="15" t="n"/>
      <c r="R5" s="15" t="n"/>
      <c r="S5" s="15" t="n"/>
      <c r="T5" s="15" t="n"/>
      <c r="U5" s="15" t="n"/>
      <c r="V5" s="17" t="n"/>
      <c r="W5" s="16" t="n"/>
      <c r="Z5" s="16" t="n"/>
      <c r="AD5" s="14" t="n"/>
      <c r="AE5" s="14" t="n"/>
      <c r="AL5" s="12" t="n"/>
      <c r="AO5" s="15" t="n"/>
      <c r="AP5" s="15" t="n"/>
      <c r="AQ5" s="13" t="n"/>
      <c r="AR5" s="17" t="n"/>
      <c r="AS5" s="14" t="n"/>
    </row>
    <row r="6">
      <c r="A6" s="12" t="n"/>
      <c r="B6" s="12" t="n"/>
      <c r="C6" s="12" t="n"/>
      <c r="G6" s="14" t="n"/>
      <c r="H6" s="14" t="n"/>
      <c r="I6" s="14" t="n"/>
      <c r="J6" s="15" t="n"/>
      <c r="K6" s="16" t="n"/>
      <c r="L6" s="16" t="n"/>
      <c r="M6" s="15" t="n"/>
      <c r="N6" s="15" t="n"/>
      <c r="P6" s="15" t="n"/>
      <c r="Q6" s="15" t="n"/>
      <c r="R6" s="15" t="n"/>
      <c r="S6" s="15" t="n"/>
      <c r="T6" s="15" t="n"/>
      <c r="U6" s="15" t="n"/>
      <c r="V6" s="17" t="n"/>
      <c r="W6" s="16" t="n"/>
      <c r="Z6" s="16" t="n"/>
      <c r="AD6" s="14" t="n"/>
      <c r="AE6" s="14" t="n"/>
      <c r="AL6" s="12" t="n"/>
      <c r="AO6" s="15" t="n"/>
      <c r="AP6" s="15" t="n"/>
      <c r="AQ6" s="13" t="n"/>
      <c r="AR6" s="17" t="n"/>
      <c r="AS6" s="14" t="n"/>
    </row>
    <row r="7">
      <c r="A7" s="12" t="n"/>
      <c r="B7" s="12" t="n"/>
      <c r="C7" s="12" t="n"/>
      <c r="G7" s="14" t="n"/>
      <c r="H7" s="14" t="n"/>
      <c r="I7" s="14" t="n"/>
      <c r="J7" s="15" t="n"/>
      <c r="K7" s="16" t="n"/>
      <c r="L7" s="16" t="n"/>
      <c r="M7" s="15" t="n"/>
      <c r="N7" s="15" t="n"/>
      <c r="P7" s="15" t="n"/>
      <c r="Q7" s="15" t="n"/>
      <c r="R7" s="15" t="n"/>
      <c r="S7" s="15" t="n"/>
      <c r="T7" s="15" t="n"/>
      <c r="U7" s="15" t="n"/>
      <c r="V7" s="17" t="n"/>
      <c r="W7" s="16" t="n"/>
      <c r="Z7" s="16" t="n"/>
      <c r="AD7" s="14" t="n"/>
      <c r="AE7" s="14" t="n"/>
      <c r="AL7" s="12" t="n"/>
      <c r="AO7" s="15" t="n"/>
      <c r="AP7" s="15" t="n"/>
      <c r="AQ7" s="13" t="n"/>
      <c r="AR7" s="17" t="n"/>
      <c r="AS7" s="14" t="n"/>
    </row>
    <row r="8">
      <c r="A8" s="12" t="n"/>
      <c r="B8" s="12" t="n"/>
      <c r="C8" s="12" t="n"/>
      <c r="G8" s="14" t="n"/>
      <c r="H8" s="14" t="n"/>
      <c r="I8" s="14" t="n"/>
      <c r="J8" s="15" t="n"/>
      <c r="K8" s="16" t="n"/>
      <c r="L8" s="16" t="n"/>
      <c r="M8" s="15" t="n"/>
      <c r="N8" s="15" t="n"/>
      <c r="P8" s="15" t="n"/>
      <c r="Q8" s="15" t="n"/>
      <c r="R8" s="15" t="n"/>
      <c r="S8" s="15" t="n"/>
      <c r="T8" s="15" t="n"/>
      <c r="U8" s="15" t="n"/>
      <c r="V8" s="17" t="n"/>
      <c r="W8" s="16" t="n"/>
      <c r="Z8" s="16" t="n"/>
      <c r="AD8" s="14" t="n"/>
      <c r="AE8" s="14" t="n"/>
      <c r="AL8" s="12" t="n"/>
      <c r="AO8" s="15" t="n"/>
      <c r="AP8" s="15" t="n"/>
      <c r="AQ8" s="13" t="n"/>
      <c r="AR8" s="17" t="n"/>
      <c r="AS8" s="14" t="n"/>
    </row>
    <row r="9">
      <c r="A9" s="12" t="n"/>
      <c r="B9" s="12" t="n"/>
      <c r="C9" s="12" t="n"/>
      <c r="G9" s="14" t="n"/>
      <c r="H9" s="14" t="n"/>
      <c r="I9" s="14" t="n"/>
      <c r="J9" s="15" t="n"/>
      <c r="K9" s="16" t="n"/>
      <c r="L9" s="16" t="n"/>
      <c r="M9" s="15" t="n"/>
      <c r="N9" s="15" t="n"/>
      <c r="P9" s="15" t="n"/>
      <c r="Q9" s="15" t="n"/>
      <c r="R9" s="15" t="n"/>
      <c r="S9" s="15" t="n"/>
      <c r="T9" s="15" t="n"/>
      <c r="U9" s="15" t="n"/>
      <c r="V9" s="17" t="n"/>
      <c r="W9" s="16" t="n"/>
      <c r="Z9" s="16" t="n"/>
      <c r="AD9" s="14" t="n"/>
      <c r="AE9" s="14" t="n"/>
      <c r="AL9" s="12" t="n"/>
      <c r="AO9" s="15" t="n"/>
      <c r="AP9" s="15" t="n"/>
      <c r="AQ9" s="13" t="n"/>
      <c r="AR9" s="17" t="n"/>
      <c r="AS9" s="14" t="n"/>
    </row>
    <row r="10">
      <c r="A10" s="12" t="n"/>
      <c r="B10" s="12" t="n"/>
      <c r="C10" s="12" t="n"/>
      <c r="G10" s="14" t="n"/>
      <c r="H10" s="14" t="n"/>
      <c r="I10" s="14" t="n"/>
      <c r="J10" s="15" t="n"/>
      <c r="K10" s="16" t="n"/>
      <c r="L10" s="16" t="n"/>
      <c r="M10" s="15" t="n"/>
      <c r="N10" s="15" t="n"/>
      <c r="P10" s="15" t="n"/>
      <c r="Q10" s="15" t="n"/>
      <c r="R10" s="15" t="n"/>
      <c r="S10" s="15" t="n"/>
      <c r="T10" s="15" t="n"/>
      <c r="U10" s="15" t="n"/>
      <c r="V10" s="17" t="n"/>
      <c r="W10" s="16" t="n"/>
      <c r="Z10" s="16" t="n"/>
      <c r="AD10" s="14" t="n"/>
      <c r="AE10" s="14" t="n"/>
      <c r="AL10" s="12" t="n"/>
      <c r="AO10" s="15" t="n"/>
      <c r="AP10" s="15" t="n"/>
      <c r="AQ10" s="13" t="n"/>
      <c r="AR10" s="17" t="n"/>
      <c r="AS10" s="14" t="n"/>
    </row>
    <row r="11">
      <c r="A11" s="12" t="n"/>
      <c r="B11" s="12" t="n"/>
      <c r="C11" s="12" t="n"/>
      <c r="G11" s="14" t="n"/>
      <c r="H11" s="14" t="n"/>
      <c r="I11" s="14" t="n"/>
      <c r="J11" s="15" t="n"/>
      <c r="K11" s="16" t="n"/>
      <c r="L11" s="16" t="n"/>
      <c r="M11" s="15" t="n"/>
      <c r="N11" s="15" t="n"/>
      <c r="P11" s="15" t="n"/>
      <c r="Q11" s="15" t="n"/>
      <c r="R11" s="15" t="n"/>
      <c r="S11" s="15" t="n"/>
      <c r="T11" s="15" t="n"/>
      <c r="U11" s="15" t="n"/>
      <c r="V11" s="17" t="n"/>
      <c r="W11" s="16" t="n"/>
      <c r="Z11" s="16" t="n"/>
      <c r="AD11" s="14" t="n"/>
      <c r="AE11" s="14" t="n"/>
      <c r="AL11" s="12" t="n"/>
      <c r="AO11" s="15" t="n"/>
      <c r="AP11" s="15" t="n"/>
      <c r="AQ11" s="13" t="n"/>
      <c r="AR11" s="17" t="n"/>
      <c r="AS11" s="14" t="n"/>
    </row>
    <row r="12">
      <c r="A12" s="12" t="n"/>
      <c r="B12" s="12" t="n"/>
      <c r="C12" s="12" t="n"/>
      <c r="G12" s="14" t="n"/>
      <c r="H12" s="14" t="n"/>
      <c r="I12" s="14" t="n"/>
      <c r="J12" s="15" t="n"/>
      <c r="K12" s="16" t="n"/>
      <c r="L12" s="16" t="n"/>
      <c r="M12" s="15" t="n"/>
      <c r="N12" s="15" t="n"/>
      <c r="P12" s="15" t="n"/>
      <c r="Q12" s="15" t="n"/>
      <c r="R12" s="15" t="n"/>
      <c r="S12" s="15" t="n"/>
      <c r="T12" s="15" t="n"/>
      <c r="U12" s="15" t="n"/>
      <c r="V12" s="17" t="n"/>
      <c r="W12" s="16" t="n"/>
      <c r="Z12" s="16" t="n"/>
      <c r="AD12" s="14" t="n"/>
      <c r="AE12" s="14" t="n"/>
      <c r="AL12" s="12" t="n"/>
      <c r="AO12" s="15" t="n"/>
      <c r="AP12" s="15" t="n"/>
      <c r="AQ12" s="13" t="n"/>
      <c r="AR12" s="17" t="n"/>
      <c r="AS12" s="14" t="n"/>
    </row>
    <row r="13">
      <c r="A13" s="12" t="n"/>
      <c r="B13" s="12" t="n"/>
      <c r="C13" s="12" t="n"/>
      <c r="G13" s="14" t="n"/>
      <c r="H13" s="14" t="n"/>
      <c r="I13" s="14" t="n"/>
      <c r="J13" s="15" t="n"/>
      <c r="K13" s="16" t="n"/>
      <c r="L13" s="16" t="n"/>
      <c r="M13" s="15" t="n"/>
      <c r="N13" s="15" t="n"/>
      <c r="P13" s="15" t="n"/>
      <c r="Q13" s="15" t="n"/>
      <c r="R13" s="15" t="n"/>
      <c r="S13" s="15" t="n"/>
      <c r="T13" s="15" t="n"/>
      <c r="U13" s="15" t="n"/>
      <c r="V13" s="17" t="n"/>
      <c r="W13" s="16" t="n"/>
      <c r="Z13" s="16" t="n"/>
      <c r="AD13" s="14" t="n"/>
      <c r="AE13" s="14" t="n"/>
      <c r="AL13" s="12" t="n"/>
      <c r="AO13" s="15" t="n"/>
      <c r="AP13" s="15" t="n"/>
      <c r="AQ13" s="13" t="n"/>
      <c r="AR13" s="17" t="n"/>
      <c r="AS13" s="14" t="n"/>
    </row>
    <row r="14">
      <c r="A14" s="12" t="n"/>
      <c r="B14" s="12" t="n"/>
      <c r="C14" s="12" t="n"/>
      <c r="G14" s="14" t="n"/>
      <c r="H14" s="14" t="n"/>
      <c r="I14" s="14" t="n"/>
      <c r="J14" s="15" t="n"/>
      <c r="K14" s="16" t="n"/>
      <c r="L14" s="16" t="n"/>
      <c r="M14" s="15" t="n"/>
      <c r="N14" s="15" t="n"/>
      <c r="P14" s="15" t="n"/>
      <c r="Q14" s="15" t="n"/>
      <c r="R14" s="15" t="n"/>
      <c r="S14" s="15" t="n"/>
      <c r="T14" s="15" t="n"/>
      <c r="U14" s="15" t="n"/>
      <c r="V14" s="17" t="n"/>
      <c r="W14" s="16" t="n"/>
      <c r="Z14" s="16" t="n"/>
      <c r="AD14" s="14" t="n"/>
      <c r="AE14" s="14" t="n"/>
      <c r="AL14" s="12" t="n"/>
      <c r="AO14" s="15" t="n"/>
      <c r="AP14" s="15" t="n"/>
      <c r="AQ14" s="13" t="n"/>
      <c r="AR14" s="17" t="n"/>
      <c r="AS14" s="14" t="n"/>
    </row>
    <row r="15">
      <c r="A15" s="12" t="n"/>
      <c r="B15" s="12" t="n"/>
      <c r="C15" s="12" t="n"/>
      <c r="G15" s="14" t="n"/>
      <c r="H15" s="14" t="n"/>
      <c r="I15" s="14" t="n"/>
      <c r="J15" s="15" t="n"/>
      <c r="K15" s="16" t="n"/>
      <c r="L15" s="16" t="n"/>
      <c r="M15" s="15" t="n"/>
      <c r="N15" s="15" t="n"/>
      <c r="P15" s="15" t="n"/>
      <c r="Q15" s="15" t="n"/>
      <c r="R15" s="15" t="n"/>
      <c r="S15" s="15" t="n"/>
      <c r="T15" s="15" t="n"/>
      <c r="U15" s="15" t="n"/>
      <c r="V15" s="17" t="n"/>
      <c r="W15" s="16" t="n"/>
      <c r="Z15" s="16" t="n"/>
      <c r="AD15" s="14" t="n"/>
      <c r="AE15" s="14" t="n"/>
      <c r="AL15" s="12" t="n"/>
      <c r="AO15" s="15" t="n"/>
      <c r="AP15" s="15" t="n"/>
      <c r="AQ15" s="13" t="n"/>
      <c r="AR15" s="17" t="n"/>
      <c r="AS15" s="14" t="n"/>
    </row>
    <row r="16">
      <c r="A16" s="12" t="n"/>
      <c r="B16" s="12" t="n"/>
      <c r="C16" s="12" t="n"/>
      <c r="G16" s="14" t="n"/>
      <c r="H16" s="14" t="n"/>
      <c r="I16" s="14" t="n"/>
      <c r="J16" s="15" t="n"/>
      <c r="K16" s="16" t="n"/>
      <c r="L16" s="16" t="n"/>
      <c r="M16" s="15" t="n"/>
      <c r="N16" s="15" t="n"/>
      <c r="P16" s="15" t="n"/>
      <c r="Q16" s="15" t="n"/>
      <c r="R16" s="15" t="n"/>
      <c r="S16" s="15" t="n"/>
      <c r="T16" s="15" t="n"/>
      <c r="U16" s="15" t="n"/>
      <c r="V16" s="17" t="n"/>
      <c r="W16" s="16" t="n"/>
      <c r="Z16" s="16" t="n"/>
      <c r="AD16" s="14" t="n"/>
      <c r="AE16" s="14" t="n"/>
      <c r="AL16" s="12" t="n"/>
      <c r="AO16" s="15" t="n"/>
      <c r="AP16" s="15" t="n"/>
      <c r="AQ16" s="13" t="n"/>
      <c r="AR16" s="17" t="n"/>
      <c r="AS16" s="14" t="n"/>
    </row>
    <row r="17">
      <c r="A17" s="12" t="n"/>
      <c r="B17" s="12" t="n"/>
      <c r="C17" s="12" t="n"/>
      <c r="G17" s="14" t="n"/>
      <c r="H17" s="14" t="n"/>
      <c r="I17" s="14" t="n"/>
      <c r="J17" s="15" t="n"/>
      <c r="K17" s="16" t="n"/>
      <c r="L17" s="16" t="n"/>
      <c r="M17" s="15" t="n"/>
      <c r="N17" s="15" t="n"/>
      <c r="P17" s="15" t="n"/>
      <c r="Q17" s="15" t="n"/>
      <c r="R17" s="15" t="n"/>
      <c r="S17" s="15" t="n"/>
      <c r="T17" s="15" t="n"/>
      <c r="U17" s="15" t="n"/>
      <c r="V17" s="17" t="n"/>
      <c r="W17" s="16" t="n"/>
      <c r="Z17" s="16" t="n"/>
      <c r="AD17" s="14" t="n"/>
      <c r="AE17" s="14" t="n"/>
      <c r="AL17" s="12" t="n"/>
      <c r="AO17" s="15" t="n"/>
      <c r="AP17" s="15" t="n"/>
      <c r="AQ17" s="13" t="n"/>
      <c r="AR17" s="17" t="n"/>
      <c r="AS17" s="14" t="n"/>
    </row>
    <row r="18">
      <c r="A18" s="12" t="n"/>
      <c r="B18" s="12" t="n"/>
      <c r="C18" s="12" t="n"/>
      <c r="G18" s="14" t="n"/>
      <c r="H18" s="14" t="n"/>
      <c r="I18" s="14" t="n"/>
      <c r="J18" s="15" t="n"/>
      <c r="K18" s="16" t="n"/>
      <c r="L18" s="16" t="n"/>
      <c r="M18" s="15" t="n"/>
      <c r="N18" s="15" t="n"/>
      <c r="P18" s="15" t="n"/>
      <c r="Q18" s="15" t="n"/>
      <c r="R18" s="15" t="n"/>
      <c r="S18" s="15" t="n"/>
      <c r="T18" s="15" t="n"/>
      <c r="U18" s="15" t="n"/>
      <c r="V18" s="17" t="n"/>
      <c r="W18" s="16" t="n"/>
      <c r="Z18" s="16" t="n"/>
      <c r="AD18" s="14" t="n"/>
      <c r="AE18" s="14" t="n"/>
      <c r="AL18" s="12" t="n"/>
      <c r="AO18" s="15" t="n"/>
      <c r="AP18" s="15" t="n"/>
      <c r="AQ18" s="13" t="n"/>
      <c r="AR18" s="17" t="n"/>
      <c r="AS18" s="14" t="n"/>
    </row>
    <row r="19">
      <c r="A19" s="12" t="n"/>
      <c r="B19" s="12" t="n"/>
      <c r="C19" s="12" t="n"/>
      <c r="G19" s="14" t="n"/>
      <c r="H19" s="14" t="n"/>
      <c r="I19" s="14" t="n"/>
      <c r="J19" s="15" t="n"/>
      <c r="K19" s="16" t="n"/>
      <c r="L19" s="16" t="n"/>
      <c r="M19" s="15" t="n"/>
      <c r="N19" s="15" t="n"/>
      <c r="P19" s="15" t="n"/>
      <c r="Q19" s="15" t="n"/>
      <c r="R19" s="15" t="n"/>
      <c r="S19" s="15" t="n"/>
      <c r="T19" s="15" t="n"/>
      <c r="U19" s="15" t="n"/>
      <c r="V19" s="17" t="n"/>
      <c r="W19" s="16" t="n"/>
      <c r="Z19" s="16" t="n"/>
      <c r="AD19" s="14" t="n"/>
      <c r="AE19" s="14" t="n"/>
      <c r="AL19" s="12" t="n"/>
      <c r="AO19" s="15" t="n"/>
      <c r="AP19" s="15" t="n"/>
      <c r="AQ19" s="13" t="n"/>
      <c r="AR19" s="17" t="n"/>
      <c r="AS19" s="14" t="n"/>
    </row>
    <row r="20">
      <c r="A20" s="12" t="n"/>
      <c r="B20" s="12" t="n"/>
      <c r="C20" s="12" t="n"/>
      <c r="G20" s="14" t="n"/>
      <c r="H20" s="14" t="n"/>
      <c r="I20" s="14" t="n"/>
      <c r="J20" s="15" t="n"/>
      <c r="K20" s="16" t="n"/>
      <c r="L20" s="16" t="n"/>
      <c r="M20" s="15" t="n"/>
      <c r="N20" s="15" t="n"/>
      <c r="P20" s="15" t="n"/>
      <c r="Q20" s="15" t="n"/>
      <c r="R20" s="15" t="n"/>
      <c r="S20" s="15" t="n"/>
      <c r="T20" s="15" t="n"/>
      <c r="U20" s="15" t="n"/>
      <c r="V20" s="17" t="n"/>
      <c r="W20" s="16" t="n"/>
      <c r="Z20" s="16" t="n"/>
      <c r="AD20" s="14" t="n"/>
      <c r="AE20" s="14" t="n"/>
      <c r="AL20" s="12" t="n"/>
      <c r="AO20" s="15" t="n"/>
      <c r="AP20" s="15" t="n"/>
      <c r="AQ20" s="13" t="n"/>
      <c r="AR20" s="17" t="n"/>
      <c r="AS20" s="14" t="n"/>
    </row>
    <row r="21">
      <c r="A21" s="12" t="n"/>
      <c r="B21" s="12" t="n"/>
      <c r="C21" s="12" t="n"/>
      <c r="G21" s="14" t="n"/>
      <c r="H21" s="14" t="n"/>
      <c r="I21" s="14" t="n"/>
      <c r="J21" s="15" t="n"/>
      <c r="K21" s="16" t="n"/>
      <c r="L21" s="16" t="n"/>
      <c r="M21" s="15" t="n"/>
      <c r="N21" s="15" t="n"/>
      <c r="P21" s="15" t="n"/>
      <c r="Q21" s="15" t="n"/>
      <c r="R21" s="15" t="n"/>
      <c r="S21" s="15" t="n"/>
      <c r="T21" s="15" t="n"/>
      <c r="U21" s="15" t="n"/>
      <c r="V21" s="17" t="n"/>
      <c r="W21" s="16" t="n"/>
      <c r="Z21" s="16" t="n"/>
      <c r="AD21" s="14" t="n"/>
      <c r="AE21" s="14" t="n"/>
      <c r="AL21" s="12" t="n"/>
      <c r="AO21" s="15" t="n"/>
      <c r="AP21" s="15" t="n"/>
      <c r="AQ21" s="13" t="n"/>
      <c r="AR21" s="17" t="n"/>
      <c r="AS21" s="14" t="n"/>
    </row>
    <row r="22">
      <c r="A22" s="12" t="n"/>
      <c r="B22" s="12" t="n"/>
      <c r="C22" s="12" t="n"/>
      <c r="G22" s="14" t="n"/>
      <c r="H22" s="14" t="n"/>
      <c r="I22" s="14" t="n"/>
      <c r="J22" s="15" t="n"/>
      <c r="K22" s="16" t="n"/>
      <c r="L22" s="16" t="n"/>
      <c r="M22" s="15" t="n"/>
      <c r="N22" s="15" t="n"/>
      <c r="P22" s="15" t="n"/>
      <c r="Q22" s="15" t="n"/>
      <c r="R22" s="15" t="n"/>
      <c r="S22" s="15" t="n"/>
      <c r="T22" s="15" t="n"/>
      <c r="U22" s="15" t="n"/>
      <c r="V22" s="17" t="n"/>
      <c r="W22" s="16" t="n"/>
      <c r="Z22" s="16" t="n"/>
      <c r="AD22" s="14" t="n"/>
      <c r="AE22" s="14" t="n"/>
      <c r="AL22" s="12" t="n"/>
      <c r="AO22" s="15" t="n"/>
      <c r="AP22" s="15" t="n"/>
      <c r="AQ22" s="13" t="n"/>
      <c r="AR22" s="17" t="n"/>
      <c r="AS22" s="14" t="n"/>
    </row>
    <row r="23">
      <c r="A23" s="12" t="n"/>
      <c r="B23" s="12" t="n"/>
      <c r="C23" s="12" t="n"/>
      <c r="G23" s="14" t="n"/>
      <c r="H23" s="14" t="n"/>
      <c r="I23" s="14" t="n"/>
      <c r="J23" s="15" t="n"/>
      <c r="K23" s="16" t="n"/>
      <c r="L23" s="16" t="n"/>
      <c r="M23" s="15" t="n"/>
      <c r="N23" s="15" t="n"/>
      <c r="P23" s="15" t="n"/>
      <c r="Q23" s="15" t="n"/>
      <c r="R23" s="15" t="n"/>
      <c r="S23" s="15" t="n"/>
      <c r="T23" s="15" t="n"/>
      <c r="U23" s="15" t="n"/>
      <c r="V23" s="17" t="n"/>
      <c r="W23" s="16" t="n"/>
      <c r="Z23" s="16" t="n"/>
      <c r="AD23" s="14" t="n"/>
      <c r="AE23" s="14" t="n"/>
      <c r="AL23" s="12" t="n"/>
      <c r="AO23" s="15" t="n"/>
      <c r="AP23" s="15" t="n"/>
      <c r="AQ23" s="13" t="n"/>
      <c r="AR23" s="17" t="n"/>
      <c r="AS23" s="14" t="n"/>
    </row>
    <row r="24">
      <c r="A24" s="12" t="n"/>
      <c r="B24" s="12" t="n"/>
      <c r="C24" s="12" t="n"/>
      <c r="G24" s="14" t="n"/>
      <c r="H24" s="14" t="n"/>
      <c r="I24" s="14" t="n"/>
      <c r="J24" s="15" t="n"/>
      <c r="K24" s="16" t="n"/>
      <c r="L24" s="16" t="n"/>
      <c r="M24" s="15" t="n"/>
      <c r="N24" s="15" t="n"/>
      <c r="P24" s="15" t="n"/>
      <c r="Q24" s="15" t="n"/>
      <c r="R24" s="15" t="n"/>
      <c r="S24" s="15" t="n"/>
      <c r="T24" s="15" t="n"/>
      <c r="U24" s="15" t="n"/>
      <c r="V24" s="17" t="n"/>
      <c r="W24" s="16" t="n"/>
      <c r="Z24" s="16" t="n"/>
      <c r="AD24" s="14" t="n"/>
      <c r="AE24" s="14" t="n"/>
      <c r="AL24" s="12" t="n"/>
      <c r="AO24" s="15" t="n"/>
      <c r="AP24" s="15" t="n"/>
      <c r="AQ24" s="13" t="n"/>
      <c r="AR24" s="17" t="n"/>
      <c r="AS24" s="14" t="n"/>
    </row>
    <row r="25">
      <c r="A25" s="12" t="n"/>
      <c r="B25" s="12" t="n"/>
      <c r="C25" s="12" t="n"/>
      <c r="G25" s="14" t="n"/>
      <c r="H25" s="14" t="n"/>
      <c r="I25" s="14" t="n"/>
      <c r="J25" s="15" t="n"/>
      <c r="K25" s="16" t="n"/>
      <c r="L25" s="16" t="n"/>
      <c r="M25" s="15" t="n"/>
      <c r="N25" s="15" t="n"/>
      <c r="P25" s="15" t="n"/>
      <c r="Q25" s="15" t="n"/>
      <c r="R25" s="15" t="n"/>
      <c r="S25" s="15" t="n"/>
      <c r="T25" s="15" t="n"/>
      <c r="U25" s="15" t="n"/>
      <c r="V25" s="17" t="n"/>
      <c r="W25" s="16" t="n"/>
      <c r="Z25" s="16" t="n"/>
      <c r="AD25" s="14" t="n"/>
      <c r="AE25" s="14" t="n"/>
      <c r="AL25" s="12" t="n"/>
      <c r="AO25" s="15" t="n"/>
      <c r="AP25" s="15" t="n"/>
      <c r="AQ25" s="13" t="n"/>
      <c r="AR25" s="17" t="n"/>
      <c r="AS25" s="14" t="n"/>
    </row>
    <row r="26">
      <c r="A26" s="12" t="n"/>
      <c r="B26" s="12" t="n"/>
      <c r="C26" s="12" t="n"/>
      <c r="G26" s="14" t="n"/>
      <c r="H26" s="14" t="n"/>
      <c r="I26" s="14" t="n"/>
      <c r="J26" s="15" t="n"/>
      <c r="K26" s="16" t="n"/>
      <c r="L26" s="16" t="n"/>
      <c r="M26" s="15" t="n"/>
      <c r="N26" s="15" t="n"/>
      <c r="P26" s="15" t="n"/>
      <c r="Q26" s="15" t="n"/>
      <c r="R26" s="15" t="n"/>
      <c r="S26" s="15" t="n"/>
      <c r="T26" s="15" t="n"/>
      <c r="U26" s="15" t="n"/>
      <c r="V26" s="17" t="n"/>
      <c r="W26" s="16" t="n"/>
      <c r="Z26" s="16" t="n"/>
      <c r="AD26" s="14" t="n"/>
      <c r="AE26" s="14" t="n"/>
      <c r="AL26" s="12" t="n"/>
      <c r="AO26" s="15" t="n"/>
      <c r="AP26" s="15" t="n"/>
      <c r="AQ26" s="13" t="n"/>
      <c r="AR26" s="17" t="n"/>
      <c r="AS26" s="14" t="n"/>
    </row>
    <row r="27">
      <c r="A27" s="12" t="n"/>
      <c r="B27" s="12" t="n"/>
      <c r="C27" s="12" t="n"/>
      <c r="G27" s="14" t="n"/>
      <c r="H27" s="14" t="n"/>
      <c r="I27" s="14" t="n"/>
      <c r="J27" s="15" t="n"/>
      <c r="K27" s="16" t="n"/>
      <c r="L27" s="16" t="n"/>
      <c r="M27" s="15" t="n"/>
      <c r="N27" s="15" t="n"/>
      <c r="P27" s="15" t="n"/>
      <c r="Q27" s="15" t="n"/>
      <c r="R27" s="15" t="n"/>
      <c r="S27" s="15" t="n"/>
      <c r="T27" s="15" t="n"/>
      <c r="U27" s="15" t="n"/>
      <c r="V27" s="17" t="n"/>
      <c r="W27" s="16" t="n"/>
      <c r="Z27" s="16" t="n"/>
      <c r="AD27" s="14" t="n"/>
      <c r="AE27" s="14" t="n"/>
      <c r="AL27" s="12" t="n"/>
      <c r="AO27" s="15" t="n"/>
      <c r="AP27" s="15" t="n"/>
      <c r="AQ27" s="13" t="n"/>
      <c r="AR27" s="17" t="n"/>
      <c r="AS27" s="14" t="n"/>
    </row>
    <row r="28">
      <c r="A28" s="12" t="n"/>
      <c r="B28" s="12" t="n"/>
      <c r="C28" s="12" t="n"/>
      <c r="G28" s="14" t="n"/>
      <c r="H28" s="14" t="n"/>
      <c r="I28" s="14" t="n"/>
      <c r="J28" s="15" t="n"/>
      <c r="K28" s="16" t="n"/>
      <c r="L28" s="16" t="n"/>
      <c r="M28" s="15" t="n"/>
      <c r="N28" s="15" t="n"/>
      <c r="P28" s="15" t="n"/>
      <c r="Q28" s="15" t="n"/>
      <c r="R28" s="15" t="n"/>
      <c r="S28" s="15" t="n"/>
      <c r="T28" s="15" t="n"/>
      <c r="U28" s="15" t="n"/>
      <c r="V28" s="17" t="n"/>
      <c r="W28" s="16" t="n"/>
      <c r="Z28" s="16" t="n"/>
      <c r="AD28" s="14" t="n"/>
      <c r="AE28" s="14" t="n"/>
      <c r="AL28" s="12" t="n"/>
      <c r="AO28" s="15" t="n"/>
      <c r="AP28" s="15" t="n"/>
      <c r="AQ28" s="13" t="n"/>
      <c r="AR28" s="17" t="n"/>
      <c r="AS28" s="14" t="n"/>
    </row>
    <row r="29">
      <c r="A29" s="12" t="n"/>
      <c r="B29" s="12" t="n"/>
      <c r="C29" s="12" t="n"/>
      <c r="G29" s="14" t="n"/>
      <c r="H29" s="14" t="n"/>
      <c r="I29" s="14" t="n"/>
      <c r="J29" s="15" t="n"/>
      <c r="K29" s="16" t="n"/>
      <c r="L29" s="16" t="n"/>
      <c r="M29" s="15" t="n"/>
      <c r="N29" s="15" t="n"/>
      <c r="P29" s="15" t="n"/>
      <c r="Q29" s="15" t="n"/>
      <c r="R29" s="15" t="n"/>
      <c r="S29" s="15" t="n"/>
      <c r="T29" s="15" t="n"/>
      <c r="U29" s="15" t="n"/>
      <c r="V29" s="17" t="n"/>
      <c r="W29" s="16" t="n"/>
      <c r="Z29" s="16" t="n"/>
      <c r="AD29" s="14" t="n"/>
      <c r="AE29" s="14" t="n"/>
      <c r="AL29" s="12" t="n"/>
      <c r="AO29" s="15" t="n"/>
      <c r="AP29" s="15" t="n"/>
      <c r="AQ29" s="13" t="n"/>
      <c r="AR29" s="17" t="n"/>
      <c r="AS29" s="14" t="n"/>
    </row>
    <row r="30">
      <c r="A30" s="12" t="n"/>
      <c r="B30" s="12" t="n"/>
      <c r="C30" s="12" t="n"/>
      <c r="G30" s="14" t="n"/>
      <c r="H30" s="14" t="n"/>
      <c r="I30" s="14" t="n"/>
      <c r="J30" s="15" t="n"/>
      <c r="K30" s="16" t="n"/>
      <c r="L30" s="16" t="n"/>
      <c r="M30" s="15" t="n"/>
      <c r="N30" s="15" t="n"/>
      <c r="P30" s="15" t="n"/>
      <c r="Q30" s="15" t="n"/>
      <c r="R30" s="15" t="n"/>
      <c r="S30" s="15" t="n"/>
      <c r="T30" s="15" t="n"/>
      <c r="U30" s="15" t="n"/>
      <c r="V30" s="17" t="n"/>
      <c r="W30" s="16" t="n"/>
      <c r="Z30" s="16" t="n"/>
      <c r="AD30" s="14" t="n"/>
      <c r="AE30" s="14" t="n"/>
      <c r="AL30" s="12" t="n"/>
      <c r="AO30" s="15" t="n"/>
      <c r="AP30" s="15" t="n"/>
      <c r="AQ30" s="13" t="n"/>
      <c r="AR30" s="17" t="n"/>
      <c r="AS30" s="14" t="n"/>
    </row>
    <row r="31">
      <c r="A31" s="12" t="n"/>
      <c r="B31" s="12" t="n"/>
      <c r="C31" s="12" t="n"/>
      <c r="G31" s="14" t="n"/>
      <c r="H31" s="14" t="n"/>
      <c r="I31" s="14" t="n"/>
      <c r="J31" s="15" t="n"/>
      <c r="K31" s="16" t="n"/>
      <c r="L31" s="16" t="n"/>
      <c r="M31" s="15" t="n"/>
      <c r="N31" s="15" t="n"/>
      <c r="P31" s="15" t="n"/>
      <c r="Q31" s="15" t="n"/>
      <c r="R31" s="15" t="n"/>
      <c r="S31" s="15" t="n"/>
      <c r="T31" s="15" t="n"/>
      <c r="U31" s="15" t="n"/>
      <c r="V31" s="17" t="n"/>
      <c r="W31" s="16" t="n"/>
      <c r="Z31" s="16" t="n"/>
      <c r="AD31" s="14" t="n"/>
      <c r="AE31" s="14" t="n"/>
      <c r="AL31" s="12" t="n"/>
      <c r="AO31" s="15" t="n"/>
      <c r="AP31" s="15" t="n"/>
      <c r="AQ31" s="13" t="n"/>
      <c r="AR31" s="17" t="n"/>
      <c r="AS31" s="14" t="n"/>
    </row>
    <row r="32">
      <c r="A32" s="12" t="n"/>
      <c r="B32" s="12" t="n"/>
      <c r="C32" s="12" t="n"/>
      <c r="G32" s="14" t="n"/>
      <c r="H32" s="14" t="n"/>
      <c r="I32" s="14" t="n"/>
      <c r="J32" s="15" t="n"/>
      <c r="K32" s="16" t="n"/>
      <c r="L32" s="16" t="n"/>
      <c r="M32" s="15" t="n"/>
      <c r="N32" s="15" t="n"/>
      <c r="P32" s="15" t="n"/>
      <c r="Q32" s="15" t="n"/>
      <c r="R32" s="15" t="n"/>
      <c r="S32" s="15" t="n"/>
      <c r="T32" s="15" t="n"/>
      <c r="U32" s="15" t="n"/>
      <c r="V32" s="17" t="n"/>
      <c r="W32" s="16" t="n"/>
      <c r="Z32" s="16" t="n"/>
      <c r="AD32" s="14" t="n"/>
      <c r="AE32" s="14" t="n"/>
      <c r="AL32" s="12" t="n"/>
      <c r="AO32" s="15" t="n"/>
      <c r="AP32" s="15" t="n"/>
      <c r="AQ32" s="13" t="n"/>
      <c r="AR32" s="17" t="n"/>
      <c r="AS32" s="14" t="n"/>
    </row>
    <row r="33">
      <c r="A33" s="12" t="n"/>
      <c r="B33" s="12" t="n"/>
      <c r="C33" s="12" t="n"/>
      <c r="G33" s="14" t="n"/>
      <c r="H33" s="14" t="n"/>
      <c r="I33" s="14" t="n"/>
      <c r="J33" s="15" t="n"/>
      <c r="K33" s="16" t="n"/>
      <c r="L33" s="16" t="n"/>
      <c r="M33" s="15" t="n"/>
      <c r="N33" s="15" t="n"/>
      <c r="P33" s="15" t="n"/>
      <c r="Q33" s="15" t="n"/>
      <c r="R33" s="15" t="n"/>
      <c r="S33" s="15" t="n"/>
      <c r="T33" s="15" t="n"/>
      <c r="U33" s="15" t="n"/>
      <c r="V33" s="17" t="n"/>
      <c r="W33" s="16" t="n"/>
      <c r="Z33" s="16" t="n"/>
      <c r="AD33" s="14" t="n"/>
      <c r="AE33" s="14" t="n"/>
      <c r="AL33" s="12" t="n"/>
      <c r="AO33" s="15" t="n"/>
      <c r="AP33" s="15" t="n"/>
      <c r="AQ33" s="13" t="n"/>
      <c r="AR33" s="17" t="n"/>
      <c r="AS33" s="14" t="n"/>
    </row>
    <row r="34">
      <c r="A34" s="12" t="n"/>
      <c r="B34" s="12" t="n"/>
      <c r="C34" s="12" t="n"/>
      <c r="G34" s="14" t="n"/>
      <c r="H34" s="14" t="n"/>
      <c r="I34" s="14" t="n"/>
      <c r="J34" s="15" t="n"/>
      <c r="K34" s="16" t="n"/>
      <c r="L34" s="16" t="n"/>
      <c r="M34" s="15" t="n"/>
      <c r="N34" s="15" t="n"/>
      <c r="P34" s="15" t="n"/>
      <c r="Q34" s="15" t="n"/>
      <c r="R34" s="15" t="n"/>
      <c r="S34" s="15" t="n"/>
      <c r="T34" s="15" t="n"/>
      <c r="U34" s="15" t="n"/>
      <c r="V34" s="17" t="n"/>
      <c r="W34" s="16" t="n"/>
      <c r="Z34" s="16" t="n"/>
      <c r="AD34" s="14" t="n"/>
      <c r="AE34" s="14" t="n"/>
      <c r="AL34" s="12" t="n"/>
      <c r="AO34" s="15" t="n"/>
      <c r="AP34" s="15" t="n"/>
      <c r="AQ34" s="13" t="n"/>
      <c r="AR34" s="17" t="n"/>
      <c r="AS34" s="14" t="n"/>
    </row>
    <row r="35">
      <c r="A35" s="12" t="n"/>
      <c r="B35" s="12" t="n"/>
      <c r="C35" s="12" t="n"/>
      <c r="G35" s="14" t="n"/>
      <c r="H35" s="14" t="n"/>
      <c r="I35" s="14" t="n"/>
      <c r="J35" s="15" t="n"/>
      <c r="K35" s="16" t="n"/>
      <c r="L35" s="16" t="n"/>
      <c r="M35" s="15" t="n"/>
      <c r="N35" s="15" t="n"/>
      <c r="P35" s="15" t="n"/>
      <c r="Q35" s="15" t="n"/>
      <c r="R35" s="15" t="n"/>
      <c r="S35" s="15" t="n"/>
      <c r="T35" s="15" t="n"/>
      <c r="U35" s="15" t="n"/>
      <c r="V35" s="17" t="n"/>
      <c r="W35" s="16" t="n"/>
      <c r="Z35" s="16" t="n"/>
      <c r="AD35" s="14" t="n"/>
      <c r="AE35" s="14" t="n"/>
      <c r="AL35" s="12" t="n"/>
      <c r="AO35" s="15" t="n"/>
      <c r="AP35" s="15" t="n"/>
      <c r="AQ35" s="13" t="n"/>
      <c r="AR35" s="17" t="n"/>
      <c r="AS35" s="14" t="n"/>
    </row>
    <row r="36">
      <c r="A36" s="12" t="n"/>
      <c r="B36" s="12" t="n"/>
      <c r="C36" s="12" t="n"/>
      <c r="G36" s="14" t="n"/>
      <c r="H36" s="14" t="n"/>
      <c r="I36" s="14" t="n"/>
      <c r="J36" s="15" t="n"/>
      <c r="K36" s="16" t="n"/>
      <c r="L36" s="16" t="n"/>
      <c r="M36" s="15" t="n"/>
      <c r="N36" s="15" t="n"/>
      <c r="P36" s="15" t="n"/>
      <c r="Q36" s="15" t="n"/>
      <c r="R36" s="15" t="n"/>
      <c r="S36" s="15" t="n"/>
      <c r="T36" s="15" t="n"/>
      <c r="U36" s="15" t="n"/>
      <c r="V36" s="17" t="n"/>
      <c r="W36" s="16" t="n"/>
      <c r="Z36" s="16" t="n"/>
      <c r="AD36" s="14" t="n"/>
      <c r="AE36" s="14" t="n"/>
      <c r="AL36" s="12" t="n"/>
      <c r="AO36" s="15" t="n"/>
      <c r="AP36" s="15" t="n"/>
      <c r="AQ36" s="13" t="n"/>
      <c r="AR36" s="17" t="n"/>
      <c r="AS36" s="14" t="n"/>
    </row>
    <row r="37">
      <c r="A37" s="12" t="n"/>
      <c r="B37" s="12" t="n"/>
      <c r="C37" s="12" t="n"/>
      <c r="G37" s="14" t="n"/>
      <c r="H37" s="14" t="n"/>
      <c r="I37" s="14" t="n"/>
      <c r="J37" s="15" t="n"/>
      <c r="K37" s="16" t="n"/>
      <c r="L37" s="16" t="n"/>
      <c r="M37" s="15" t="n"/>
      <c r="N37" s="15" t="n"/>
      <c r="P37" s="15" t="n"/>
      <c r="Q37" s="15" t="n"/>
      <c r="R37" s="15" t="n"/>
      <c r="S37" s="15" t="n"/>
      <c r="T37" s="15" t="n"/>
      <c r="U37" s="15" t="n"/>
      <c r="V37" s="17" t="n"/>
      <c r="W37" s="16" t="n"/>
      <c r="Z37" s="16" t="n"/>
      <c r="AD37" s="14" t="n"/>
      <c r="AE37" s="14" t="n"/>
      <c r="AL37" s="12" t="n"/>
      <c r="AO37" s="15" t="n"/>
      <c r="AP37" s="15" t="n"/>
      <c r="AQ37" s="13" t="n"/>
      <c r="AR37" s="17" t="n"/>
      <c r="AS37" s="14" t="n"/>
    </row>
    <row r="38">
      <c r="A38" s="12" t="n"/>
      <c r="B38" s="12" t="n"/>
      <c r="C38" s="12" t="n"/>
      <c r="G38" s="14" t="n"/>
      <c r="H38" s="14" t="n"/>
      <c r="I38" s="14" t="n"/>
      <c r="J38" s="15" t="n"/>
      <c r="K38" s="16" t="n"/>
      <c r="L38" s="16" t="n"/>
      <c r="M38" s="15" t="n"/>
      <c r="N38" s="15" t="n"/>
      <c r="P38" s="15" t="n"/>
      <c r="Q38" s="15" t="n"/>
      <c r="R38" s="15" t="n"/>
      <c r="S38" s="15" t="n"/>
      <c r="T38" s="15" t="n"/>
      <c r="U38" s="15" t="n"/>
      <c r="V38" s="17" t="n"/>
      <c r="W38" s="16" t="n"/>
      <c r="Z38" s="16" t="n"/>
      <c r="AD38" s="14" t="n"/>
      <c r="AE38" s="14" t="n"/>
      <c r="AL38" s="12" t="n"/>
      <c r="AO38" s="15" t="n"/>
      <c r="AP38" s="15" t="n"/>
      <c r="AQ38" s="13" t="n"/>
      <c r="AR38" s="17" t="n"/>
      <c r="AS38" s="14" t="n"/>
    </row>
    <row r="39">
      <c r="A39" s="12" t="n"/>
      <c r="B39" s="12" t="n"/>
      <c r="C39" s="12" t="n"/>
      <c r="G39" s="14" t="n"/>
      <c r="H39" s="14" t="n"/>
      <c r="I39" s="14" t="n"/>
      <c r="J39" s="15" t="n"/>
      <c r="K39" s="16" t="n"/>
      <c r="L39" s="16" t="n"/>
      <c r="M39" s="15" t="n"/>
      <c r="N39" s="15" t="n"/>
      <c r="P39" s="15" t="n"/>
      <c r="Q39" s="15" t="n"/>
      <c r="R39" s="15" t="n"/>
      <c r="S39" s="15" t="n"/>
      <c r="T39" s="15" t="n"/>
      <c r="U39" s="15" t="n"/>
      <c r="V39" s="17" t="n"/>
      <c r="W39" s="16" t="n"/>
      <c r="Z39" s="16" t="n"/>
      <c r="AD39" s="14" t="n"/>
      <c r="AE39" s="14" t="n"/>
      <c r="AL39" s="12" t="n"/>
      <c r="AO39" s="15" t="n"/>
      <c r="AP39" s="15" t="n"/>
      <c r="AQ39" s="13" t="n"/>
      <c r="AR39" s="17" t="n"/>
      <c r="AS39" s="14" t="n"/>
    </row>
    <row r="40">
      <c r="A40" s="12" t="n"/>
      <c r="B40" s="12" t="n"/>
      <c r="C40" s="12" t="n"/>
      <c r="G40" s="14" t="n"/>
      <c r="H40" s="14" t="n"/>
      <c r="I40" s="14" t="n"/>
      <c r="J40" s="15" t="n"/>
      <c r="K40" s="16" t="n"/>
      <c r="L40" s="16" t="n"/>
      <c r="M40" s="15" t="n"/>
      <c r="N40" s="15" t="n"/>
      <c r="P40" s="15" t="n"/>
      <c r="Q40" s="15" t="n"/>
      <c r="R40" s="15" t="n"/>
      <c r="S40" s="15" t="n"/>
      <c r="T40" s="15" t="n"/>
      <c r="U40" s="15" t="n"/>
      <c r="V40" s="17" t="n"/>
      <c r="W40" s="16" t="n"/>
      <c r="Z40" s="16" t="n"/>
      <c r="AD40" s="14" t="n"/>
      <c r="AE40" s="14" t="n"/>
      <c r="AL40" s="12" t="n"/>
      <c r="AO40" s="15" t="n"/>
      <c r="AP40" s="15" t="n"/>
      <c r="AQ40" s="13" t="n"/>
      <c r="AR40" s="17" t="n"/>
      <c r="AS40" s="14" t="n"/>
    </row>
    <row r="41">
      <c r="A41" s="12" t="n"/>
      <c r="B41" s="12" t="n"/>
      <c r="C41" s="12" t="n"/>
      <c r="G41" s="14" t="n"/>
      <c r="H41" s="14" t="n"/>
      <c r="I41" s="14" t="n"/>
      <c r="J41" s="15" t="n"/>
      <c r="K41" s="16" t="n"/>
      <c r="L41" s="16" t="n"/>
      <c r="M41" s="15" t="n"/>
      <c r="N41" s="15" t="n"/>
      <c r="P41" s="15" t="n"/>
      <c r="Q41" s="15" t="n"/>
      <c r="R41" s="15" t="n"/>
      <c r="S41" s="15" t="n"/>
      <c r="T41" s="15" t="n"/>
      <c r="U41" s="15" t="n"/>
      <c r="V41" s="17" t="n"/>
      <c r="W41" s="16" t="n"/>
      <c r="Z41" s="16" t="n"/>
      <c r="AD41" s="14" t="n"/>
      <c r="AE41" s="14" t="n"/>
      <c r="AL41" s="12" t="n"/>
      <c r="AO41" s="15" t="n"/>
      <c r="AP41" s="15" t="n"/>
      <c r="AQ41" s="13" t="n"/>
      <c r="AR41" s="17" t="n"/>
      <c r="AS41" s="14" t="n"/>
    </row>
    <row r="42">
      <c r="A42" s="12" t="n"/>
      <c r="B42" s="12" t="n"/>
      <c r="C42" s="12" t="n"/>
      <c r="G42" s="14" t="n"/>
      <c r="H42" s="14" t="n"/>
      <c r="I42" s="14" t="n"/>
      <c r="J42" s="15" t="n"/>
      <c r="K42" s="16" t="n"/>
      <c r="L42" s="16" t="n"/>
      <c r="M42" s="15" t="n"/>
      <c r="N42" s="15" t="n"/>
      <c r="P42" s="15" t="n"/>
      <c r="Q42" s="15" t="n"/>
      <c r="R42" s="15" t="n"/>
      <c r="S42" s="15" t="n"/>
      <c r="T42" s="15" t="n"/>
      <c r="U42" s="15" t="n"/>
      <c r="V42" s="17" t="n"/>
      <c r="W42" s="16" t="n"/>
      <c r="Z42" s="16" t="n"/>
      <c r="AD42" s="14" t="n"/>
      <c r="AE42" s="14" t="n"/>
      <c r="AL42" s="12" t="n"/>
      <c r="AO42" s="15" t="n"/>
      <c r="AP42" s="15" t="n"/>
      <c r="AQ42" s="13" t="n"/>
      <c r="AR42" s="17" t="n"/>
      <c r="AS42" s="14" t="n"/>
    </row>
    <row r="43">
      <c r="A43" s="12" t="n"/>
      <c r="B43" s="12" t="n"/>
      <c r="C43" s="12" t="n"/>
      <c r="G43" s="14" t="n"/>
      <c r="H43" s="14" t="n"/>
      <c r="I43" s="14" t="n"/>
      <c r="J43" s="15" t="n"/>
      <c r="K43" s="16" t="n"/>
      <c r="L43" s="16" t="n"/>
      <c r="M43" s="15" t="n"/>
      <c r="N43" s="15" t="n"/>
      <c r="P43" s="15" t="n"/>
      <c r="Q43" s="15" t="n"/>
      <c r="R43" s="15" t="n"/>
      <c r="S43" s="15" t="n"/>
      <c r="T43" s="15" t="n"/>
      <c r="U43" s="15" t="n"/>
      <c r="V43" s="17" t="n"/>
      <c r="W43" s="16" t="n"/>
      <c r="Z43" s="16" t="n"/>
      <c r="AD43" s="14" t="n"/>
      <c r="AE43" s="14" t="n"/>
      <c r="AL43" s="12" t="n"/>
      <c r="AO43" s="15" t="n"/>
      <c r="AP43" s="15" t="n"/>
      <c r="AQ43" s="13" t="n"/>
      <c r="AR43" s="17" t="n"/>
      <c r="AS43" s="14" t="n"/>
    </row>
    <row r="44">
      <c r="A44" s="12" t="n"/>
      <c r="B44" s="12" t="n"/>
      <c r="C44" s="12" t="n"/>
      <c r="G44" s="14" t="n"/>
      <c r="H44" s="14" t="n"/>
      <c r="I44" s="14" t="n"/>
      <c r="J44" s="15" t="n"/>
      <c r="K44" s="16" t="n"/>
      <c r="L44" s="16" t="n"/>
      <c r="M44" s="15" t="n"/>
      <c r="N44" s="15" t="n"/>
      <c r="P44" s="15" t="n"/>
      <c r="Q44" s="15" t="n"/>
      <c r="R44" s="15" t="n"/>
      <c r="S44" s="15" t="n"/>
      <c r="T44" s="15" t="n"/>
      <c r="U44" s="15" t="n"/>
      <c r="V44" s="17" t="n"/>
      <c r="W44" s="16" t="n"/>
      <c r="Z44" s="16" t="n"/>
      <c r="AD44" s="14" t="n"/>
      <c r="AE44" s="14" t="n"/>
      <c r="AL44" s="12" t="n"/>
      <c r="AO44" s="15" t="n"/>
      <c r="AP44" s="15" t="n"/>
      <c r="AQ44" s="13" t="n"/>
      <c r="AR44" s="17" t="n"/>
      <c r="AS44" s="14" t="n"/>
    </row>
    <row r="45">
      <c r="A45" s="12" t="n"/>
      <c r="B45" s="12" t="n"/>
      <c r="C45" s="12" t="n"/>
      <c r="G45" s="14" t="n"/>
      <c r="H45" s="14" t="n"/>
      <c r="I45" s="14" t="n"/>
      <c r="J45" s="15" t="n"/>
      <c r="K45" s="16" t="n"/>
      <c r="L45" s="16" t="n"/>
      <c r="M45" s="15" t="n"/>
      <c r="N45" s="15" t="n"/>
      <c r="P45" s="15" t="n"/>
      <c r="Q45" s="15" t="n"/>
      <c r="R45" s="15" t="n"/>
      <c r="S45" s="15" t="n"/>
      <c r="T45" s="15" t="n"/>
      <c r="U45" s="15" t="n"/>
      <c r="V45" s="17" t="n"/>
      <c r="W45" s="16" t="n"/>
      <c r="Z45" s="16" t="n"/>
      <c r="AD45" s="14" t="n"/>
      <c r="AE45" s="14" t="n"/>
      <c r="AL45" s="12" t="n"/>
      <c r="AO45" s="15" t="n"/>
      <c r="AP45" s="15" t="n"/>
      <c r="AQ45" s="13" t="n"/>
      <c r="AR45" s="17" t="n"/>
      <c r="AS45" s="14" t="n"/>
    </row>
    <row r="46">
      <c r="A46" s="12" t="n"/>
      <c r="B46" s="12" t="n"/>
      <c r="C46" s="12" t="n"/>
      <c r="G46" s="14" t="n"/>
      <c r="H46" s="14" t="n"/>
      <c r="I46" s="14" t="n"/>
      <c r="J46" s="15" t="n"/>
      <c r="K46" s="16" t="n"/>
      <c r="L46" s="16" t="n"/>
      <c r="M46" s="15" t="n"/>
      <c r="N46" s="15" t="n"/>
      <c r="P46" s="15" t="n"/>
      <c r="Q46" s="15" t="n"/>
      <c r="R46" s="15" t="n"/>
      <c r="S46" s="15" t="n"/>
      <c r="T46" s="15" t="n"/>
      <c r="U46" s="15" t="n"/>
      <c r="V46" s="17" t="n"/>
      <c r="W46" s="16" t="n"/>
      <c r="Z46" s="16" t="n"/>
      <c r="AD46" s="14" t="n"/>
      <c r="AE46" s="14" t="n"/>
      <c r="AL46" s="12" t="n"/>
      <c r="AO46" s="15" t="n"/>
      <c r="AP46" s="15" t="n"/>
      <c r="AQ46" s="13" t="n"/>
      <c r="AR46" s="17" t="n"/>
      <c r="AS46" s="14" t="n"/>
    </row>
    <row r="47">
      <c r="A47" s="12" t="n"/>
      <c r="B47" s="12" t="n"/>
      <c r="C47" s="12" t="n"/>
      <c r="G47" s="14" t="n"/>
      <c r="H47" s="14" t="n"/>
      <c r="I47" s="14" t="n"/>
      <c r="J47" s="15" t="n"/>
      <c r="K47" s="16" t="n"/>
      <c r="L47" s="16" t="n"/>
      <c r="M47" s="15" t="n"/>
      <c r="N47" s="15" t="n"/>
      <c r="P47" s="15" t="n"/>
      <c r="Q47" s="15" t="n"/>
      <c r="R47" s="15" t="n"/>
      <c r="S47" s="15" t="n"/>
      <c r="T47" s="15" t="n"/>
      <c r="U47" s="15" t="n"/>
      <c r="V47" s="17" t="n"/>
      <c r="W47" s="16" t="n"/>
      <c r="Z47" s="16" t="n"/>
      <c r="AD47" s="14" t="n"/>
      <c r="AE47" s="14" t="n"/>
      <c r="AL47" s="12" t="n"/>
      <c r="AO47" s="15" t="n"/>
      <c r="AP47" s="15" t="n"/>
      <c r="AQ47" s="13" t="n"/>
      <c r="AR47" s="17" t="n"/>
      <c r="AS47" s="14" t="n"/>
    </row>
    <row r="48">
      <c r="A48" s="12" t="n"/>
      <c r="B48" s="12" t="n"/>
      <c r="C48" s="12" t="n"/>
      <c r="G48" s="14" t="n"/>
      <c r="H48" s="14" t="n"/>
      <c r="I48" s="14" t="n"/>
      <c r="J48" s="15" t="n"/>
      <c r="K48" s="16" t="n"/>
      <c r="L48" s="16" t="n"/>
      <c r="M48" s="15" t="n"/>
      <c r="N48" s="15" t="n"/>
      <c r="P48" s="15" t="n"/>
      <c r="Q48" s="15" t="n"/>
      <c r="R48" s="15" t="n"/>
      <c r="S48" s="15" t="n"/>
      <c r="T48" s="15" t="n"/>
      <c r="U48" s="15" t="n"/>
      <c r="V48" s="17" t="n"/>
      <c r="W48" s="16" t="n"/>
      <c r="Z48" s="16" t="n"/>
      <c r="AD48" s="14" t="n"/>
      <c r="AE48" s="14" t="n"/>
      <c r="AL48" s="12" t="n"/>
      <c r="AO48" s="15" t="n"/>
      <c r="AP48" s="15" t="n"/>
      <c r="AQ48" s="13" t="n"/>
      <c r="AR48" s="17" t="n"/>
      <c r="AS48" s="14" t="n"/>
    </row>
    <row r="49">
      <c r="A49" s="12" t="n"/>
      <c r="B49" s="12" t="n"/>
      <c r="C49" s="12" t="n"/>
      <c r="G49" s="14" t="n"/>
      <c r="H49" s="14" t="n"/>
      <c r="I49" s="14" t="n"/>
      <c r="J49" s="15" t="n"/>
      <c r="K49" s="16" t="n"/>
      <c r="L49" s="16" t="n"/>
      <c r="M49" s="15" t="n"/>
      <c r="N49" s="15" t="n"/>
      <c r="P49" s="15" t="n"/>
      <c r="Q49" s="15" t="n"/>
      <c r="R49" s="15" t="n"/>
      <c r="S49" s="15" t="n"/>
      <c r="T49" s="15" t="n"/>
      <c r="U49" s="15" t="n"/>
      <c r="V49" s="17" t="n"/>
      <c r="W49" s="16" t="n"/>
      <c r="Z49" s="16" t="n"/>
      <c r="AD49" s="14" t="n"/>
      <c r="AE49" s="14" t="n"/>
      <c r="AL49" s="12" t="n"/>
      <c r="AO49" s="15" t="n"/>
      <c r="AP49" s="15" t="n"/>
      <c r="AQ49" s="13" t="n"/>
      <c r="AR49" s="17" t="n"/>
      <c r="AS49" s="14" t="n"/>
    </row>
    <row r="50">
      <c r="A50" s="12" t="n"/>
      <c r="B50" s="12" t="n"/>
      <c r="C50" s="12" t="n"/>
      <c r="G50" s="14" t="n"/>
      <c r="H50" s="14" t="n"/>
      <c r="I50" s="14" t="n"/>
      <c r="J50" s="15" t="n"/>
      <c r="K50" s="16" t="n"/>
      <c r="L50" s="16" t="n"/>
      <c r="M50" s="15" t="n"/>
      <c r="N50" s="15" t="n"/>
      <c r="P50" s="15" t="n"/>
      <c r="Q50" s="15" t="n"/>
      <c r="R50" s="15" t="n"/>
      <c r="S50" s="15" t="n"/>
      <c r="T50" s="15" t="n"/>
      <c r="U50" s="15" t="n"/>
      <c r="V50" s="17" t="n"/>
      <c r="W50" s="16" t="n"/>
      <c r="Z50" s="16" t="n"/>
      <c r="AD50" s="14" t="n"/>
      <c r="AE50" s="14" t="n"/>
      <c r="AL50" s="12" t="n"/>
      <c r="AO50" s="15" t="n"/>
      <c r="AP50" s="15" t="n"/>
      <c r="AQ50" s="13" t="n"/>
      <c r="AR50" s="17" t="n"/>
      <c r="AS50" s="14" t="n"/>
    </row>
    <row r="51">
      <c r="A51" s="12" t="n"/>
      <c r="B51" s="12" t="n"/>
      <c r="C51" s="12" t="n"/>
      <c r="G51" s="14" t="n"/>
      <c r="H51" s="14" t="n"/>
      <c r="I51" s="14" t="n"/>
      <c r="J51" s="15" t="n"/>
      <c r="K51" s="16" t="n"/>
      <c r="L51" s="16" t="n"/>
      <c r="M51" s="15" t="n"/>
      <c r="N51" s="15" t="n"/>
      <c r="P51" s="15" t="n"/>
      <c r="Q51" s="15" t="n"/>
      <c r="R51" s="15" t="n"/>
      <c r="S51" s="15" t="n"/>
      <c r="T51" s="15" t="n"/>
      <c r="U51" s="15" t="n"/>
      <c r="V51" s="17" t="n"/>
      <c r="W51" s="16" t="n"/>
      <c r="Z51" s="16" t="n"/>
      <c r="AD51" s="14" t="n"/>
      <c r="AE51" s="14" t="n"/>
      <c r="AL51" s="12" t="n"/>
      <c r="AO51" s="15" t="n"/>
      <c r="AP51" s="15" t="n"/>
      <c r="AQ51" s="13" t="n"/>
      <c r="AR51" s="17" t="n"/>
      <c r="AS51" s="14" t="n"/>
    </row>
    <row r="52">
      <c r="A52" s="12" t="n"/>
      <c r="B52" s="12" t="n"/>
      <c r="C52" s="12" t="n"/>
      <c r="G52" s="14" t="n"/>
      <c r="H52" s="14" t="n"/>
      <c r="I52" s="14" t="n"/>
      <c r="J52" s="15" t="n"/>
      <c r="K52" s="16" t="n"/>
      <c r="L52" s="16" t="n"/>
      <c r="M52" s="15" t="n"/>
      <c r="N52" s="15" t="n"/>
      <c r="P52" s="15" t="n"/>
      <c r="Q52" s="15" t="n"/>
      <c r="R52" s="15" t="n"/>
      <c r="S52" s="15" t="n"/>
      <c r="T52" s="15" t="n"/>
      <c r="U52" s="15" t="n"/>
      <c r="V52" s="17" t="n"/>
      <c r="W52" s="16" t="n"/>
      <c r="Z52" s="16" t="n"/>
      <c r="AD52" s="14" t="n"/>
      <c r="AE52" s="14" t="n"/>
      <c r="AL52" s="12" t="n"/>
      <c r="AO52" s="15" t="n"/>
      <c r="AP52" s="15" t="n"/>
      <c r="AQ52" s="13" t="n"/>
      <c r="AR52" s="17" t="n"/>
      <c r="AS52" s="14" t="n"/>
    </row>
    <row r="53">
      <c r="A53" s="12" t="n"/>
      <c r="B53" s="12" t="n"/>
      <c r="C53" s="12" t="n"/>
      <c r="G53" s="14" t="n"/>
      <c r="H53" s="14" t="n"/>
      <c r="I53" s="14" t="n"/>
      <c r="J53" s="15" t="n"/>
      <c r="K53" s="16" t="n"/>
      <c r="L53" s="16" t="n"/>
      <c r="M53" s="15" t="n"/>
      <c r="N53" s="15" t="n"/>
      <c r="P53" s="15" t="n"/>
      <c r="Q53" s="15" t="n"/>
      <c r="R53" s="15" t="n"/>
      <c r="S53" s="15" t="n"/>
      <c r="T53" s="15" t="n"/>
      <c r="U53" s="15" t="n"/>
      <c r="V53" s="17" t="n"/>
      <c r="W53" s="16" t="n"/>
      <c r="Z53" s="16" t="n"/>
      <c r="AD53" s="14" t="n"/>
      <c r="AE53" s="14" t="n"/>
      <c r="AL53" s="12" t="n"/>
      <c r="AO53" s="15" t="n"/>
      <c r="AP53" s="15" t="n"/>
      <c r="AQ53" s="13" t="n"/>
      <c r="AR53" s="17" t="n"/>
      <c r="AS53" s="14" t="n"/>
    </row>
    <row r="54">
      <c r="A54" s="12" t="n"/>
      <c r="B54" s="12" t="n"/>
      <c r="C54" s="12" t="n"/>
      <c r="G54" s="14" t="n"/>
      <c r="H54" s="14" t="n"/>
      <c r="I54" s="14" t="n"/>
      <c r="J54" s="15" t="n"/>
      <c r="K54" s="16" t="n"/>
      <c r="L54" s="16" t="n"/>
      <c r="M54" s="15" t="n"/>
      <c r="N54" s="15" t="n"/>
      <c r="P54" s="15" t="n"/>
      <c r="Q54" s="15" t="n"/>
      <c r="R54" s="15" t="n"/>
      <c r="S54" s="15" t="n"/>
      <c r="T54" s="15" t="n"/>
      <c r="U54" s="15" t="n"/>
      <c r="V54" s="17" t="n"/>
      <c r="W54" s="16" t="n"/>
      <c r="Z54" s="16" t="n"/>
      <c r="AD54" s="14" t="n"/>
      <c r="AE54" s="14" t="n"/>
      <c r="AL54" s="12" t="n"/>
      <c r="AO54" s="15" t="n"/>
      <c r="AP54" s="15" t="n"/>
      <c r="AQ54" s="13" t="n"/>
      <c r="AR54" s="17" t="n"/>
      <c r="AS54" s="14" t="n"/>
    </row>
    <row r="55">
      <c r="A55" s="12" t="n"/>
      <c r="B55" s="12" t="n"/>
      <c r="C55" s="12" t="n"/>
      <c r="G55" s="14" t="n"/>
      <c r="H55" s="14" t="n"/>
      <c r="I55" s="14" t="n"/>
      <c r="J55" s="15" t="n"/>
      <c r="K55" s="16" t="n"/>
      <c r="L55" s="16" t="n"/>
      <c r="M55" s="15" t="n"/>
      <c r="N55" s="15" t="n"/>
      <c r="P55" s="15" t="n"/>
      <c r="Q55" s="15" t="n"/>
      <c r="R55" s="15" t="n"/>
      <c r="S55" s="15" t="n"/>
      <c r="T55" s="15" t="n"/>
      <c r="U55" s="15" t="n"/>
      <c r="V55" s="17" t="n"/>
      <c r="W55" s="16" t="n"/>
      <c r="Z55" s="16" t="n"/>
      <c r="AD55" s="14" t="n"/>
      <c r="AE55" s="14" t="n"/>
      <c r="AL55" s="12" t="n"/>
      <c r="AO55" s="15" t="n"/>
      <c r="AP55" s="15" t="n"/>
      <c r="AQ55" s="13" t="n"/>
      <c r="AR55" s="17" t="n"/>
      <c r="AS55" s="14" t="n"/>
    </row>
    <row r="56">
      <c r="A56" s="12" t="n"/>
      <c r="B56" s="12" t="n"/>
      <c r="C56" s="12" t="n"/>
      <c r="G56" s="14" t="n"/>
      <c r="H56" s="14" t="n"/>
      <c r="I56" s="14" t="n"/>
      <c r="J56" s="15" t="n"/>
      <c r="K56" s="16" t="n"/>
      <c r="L56" s="16" t="n"/>
      <c r="M56" s="15" t="n"/>
      <c r="N56" s="15" t="n"/>
      <c r="P56" s="15" t="n"/>
      <c r="Q56" s="15" t="n"/>
      <c r="R56" s="15" t="n"/>
      <c r="S56" s="15" t="n"/>
      <c r="T56" s="15" t="n"/>
      <c r="U56" s="15" t="n"/>
      <c r="V56" s="17" t="n"/>
      <c r="W56" s="16" t="n"/>
      <c r="Z56" s="16" t="n"/>
      <c r="AD56" s="14" t="n"/>
      <c r="AE56" s="14" t="n"/>
      <c r="AL56" s="12" t="n"/>
      <c r="AO56" s="15" t="n"/>
      <c r="AP56" s="15" t="n"/>
      <c r="AQ56" s="13" t="n"/>
      <c r="AR56" s="17" t="n"/>
      <c r="AS56" s="14" t="n"/>
    </row>
    <row r="57">
      <c r="A57" s="12" t="n"/>
      <c r="B57" s="12" t="n"/>
      <c r="C57" s="12" t="n"/>
      <c r="G57" s="14" t="n"/>
      <c r="H57" s="14" t="n"/>
      <c r="I57" s="14" t="n"/>
      <c r="J57" s="15" t="n"/>
      <c r="K57" s="16" t="n"/>
      <c r="L57" s="16" t="n"/>
      <c r="M57" s="15" t="n"/>
      <c r="N57" s="15" t="n"/>
      <c r="P57" s="15" t="n"/>
      <c r="Q57" s="15" t="n"/>
      <c r="R57" s="15" t="n"/>
      <c r="S57" s="15" t="n"/>
      <c r="T57" s="15" t="n"/>
      <c r="U57" s="15" t="n"/>
      <c r="V57" s="17" t="n"/>
      <c r="W57" s="16" t="n"/>
      <c r="Z57" s="16" t="n"/>
      <c r="AD57" s="14" t="n"/>
      <c r="AE57" s="14" t="n"/>
      <c r="AL57" s="12" t="n"/>
      <c r="AO57" s="15" t="n"/>
      <c r="AP57" s="15" t="n"/>
      <c r="AQ57" s="13" t="n"/>
      <c r="AR57" s="17" t="n"/>
      <c r="AS57" s="14" t="n"/>
    </row>
    <row r="58">
      <c r="A58" s="12" t="n"/>
      <c r="B58" s="12" t="n"/>
      <c r="C58" s="12" t="n"/>
      <c r="G58" s="14" t="n"/>
      <c r="H58" s="14" t="n"/>
      <c r="I58" s="14" t="n"/>
      <c r="J58" s="15" t="n"/>
      <c r="K58" s="16" t="n"/>
      <c r="L58" s="16" t="n"/>
      <c r="M58" s="15" t="n"/>
      <c r="N58" s="15" t="n"/>
      <c r="P58" s="15" t="n"/>
      <c r="Q58" s="15" t="n"/>
      <c r="R58" s="15" t="n"/>
      <c r="S58" s="15" t="n"/>
      <c r="T58" s="15" t="n"/>
      <c r="U58" s="15" t="n"/>
      <c r="V58" s="17" t="n"/>
      <c r="W58" s="16" t="n"/>
      <c r="Z58" s="16" t="n"/>
      <c r="AD58" s="14" t="n"/>
      <c r="AE58" s="14" t="n"/>
      <c r="AL58" s="12" t="n"/>
      <c r="AO58" s="15" t="n"/>
      <c r="AP58" s="15" t="n"/>
      <c r="AQ58" s="13" t="n"/>
      <c r="AR58" s="17" t="n"/>
      <c r="AS58" s="14" t="n"/>
    </row>
    <row r="59">
      <c r="A59" s="12" t="n"/>
      <c r="B59" s="12" t="n"/>
      <c r="C59" s="12" t="n"/>
      <c r="G59" s="14" t="n"/>
      <c r="H59" s="14" t="n"/>
      <c r="I59" s="14" t="n"/>
      <c r="J59" s="15" t="n"/>
      <c r="K59" s="16" t="n"/>
      <c r="L59" s="16" t="n"/>
      <c r="M59" s="15" t="n"/>
      <c r="N59" s="15" t="n"/>
      <c r="P59" s="15" t="n"/>
      <c r="Q59" s="15" t="n"/>
      <c r="R59" s="15" t="n"/>
      <c r="S59" s="15" t="n"/>
      <c r="T59" s="15" t="n"/>
      <c r="U59" s="15" t="n"/>
      <c r="V59" s="17" t="n"/>
      <c r="W59" s="16" t="n"/>
      <c r="Z59" s="16" t="n"/>
      <c r="AD59" s="14" t="n"/>
      <c r="AE59" s="14" t="n"/>
      <c r="AL59" s="12" t="n"/>
      <c r="AO59" s="15" t="n"/>
      <c r="AP59" s="15" t="n"/>
      <c r="AQ59" s="13" t="n"/>
      <c r="AR59" s="17" t="n"/>
      <c r="AS59" s="14" t="n"/>
    </row>
    <row r="60">
      <c r="A60" s="12" t="n"/>
      <c r="B60" s="12" t="n"/>
      <c r="C60" s="12" t="n"/>
      <c r="G60" s="14" t="n"/>
      <c r="H60" s="14" t="n"/>
      <c r="I60" s="14" t="n"/>
      <c r="J60" s="15" t="n"/>
      <c r="K60" s="16" t="n"/>
      <c r="L60" s="16" t="n"/>
      <c r="M60" s="15" t="n"/>
      <c r="N60" s="15" t="n"/>
      <c r="P60" s="15" t="n"/>
      <c r="Q60" s="15" t="n"/>
      <c r="R60" s="15" t="n"/>
      <c r="S60" s="15" t="n"/>
      <c r="T60" s="15" t="n"/>
      <c r="U60" s="15" t="n"/>
      <c r="V60" s="17" t="n"/>
      <c r="W60" s="16" t="n"/>
      <c r="Z60" s="16" t="n"/>
      <c r="AD60" s="14" t="n"/>
      <c r="AE60" s="14" t="n"/>
      <c r="AL60" s="12" t="n"/>
      <c r="AO60" s="15" t="n"/>
      <c r="AP60" s="15" t="n"/>
      <c r="AQ60" s="13" t="n"/>
      <c r="AR60" s="17" t="n"/>
      <c r="AS60" s="14" t="n"/>
    </row>
    <row r="61">
      <c r="A61" s="12" t="n"/>
      <c r="B61" s="12" t="n"/>
      <c r="C61" s="12" t="n"/>
      <c r="G61" s="14" t="n"/>
      <c r="H61" s="14" t="n"/>
      <c r="I61" s="14" t="n"/>
      <c r="J61" s="15" t="n"/>
      <c r="K61" s="16" t="n"/>
      <c r="L61" s="16" t="n"/>
      <c r="M61" s="15" t="n"/>
      <c r="N61" s="15" t="n"/>
      <c r="P61" s="15" t="n"/>
      <c r="Q61" s="15" t="n"/>
      <c r="R61" s="15" t="n"/>
      <c r="S61" s="15" t="n"/>
      <c r="T61" s="15" t="n"/>
      <c r="U61" s="15" t="n"/>
      <c r="V61" s="17" t="n"/>
      <c r="W61" s="16" t="n"/>
      <c r="Z61" s="16" t="n"/>
      <c r="AD61" s="14" t="n"/>
      <c r="AE61" s="14" t="n"/>
      <c r="AL61" s="12" t="n"/>
      <c r="AO61" s="15" t="n"/>
      <c r="AP61" s="15" t="n"/>
      <c r="AQ61" s="13" t="n"/>
      <c r="AR61" s="17" t="n"/>
      <c r="AS61" s="14" t="n"/>
    </row>
    <row r="62">
      <c r="A62" s="12" t="n"/>
      <c r="B62" s="12" t="n"/>
      <c r="C62" s="12" t="n"/>
      <c r="G62" s="14" t="n"/>
      <c r="H62" s="14" t="n"/>
      <c r="I62" s="14" t="n"/>
      <c r="J62" s="15" t="n"/>
      <c r="K62" s="16" t="n"/>
      <c r="L62" s="16" t="n"/>
      <c r="M62" s="15" t="n"/>
      <c r="N62" s="15" t="n"/>
      <c r="P62" s="15" t="n"/>
      <c r="Q62" s="15" t="n"/>
      <c r="R62" s="15" t="n"/>
      <c r="S62" s="15" t="n"/>
      <c r="T62" s="15" t="n"/>
      <c r="U62" s="15" t="n"/>
      <c r="V62" s="17" t="n"/>
      <c r="W62" s="16" t="n"/>
      <c r="Z62" s="16" t="n"/>
      <c r="AD62" s="14" t="n"/>
      <c r="AE62" s="14" t="n"/>
      <c r="AL62" s="12" t="n"/>
      <c r="AO62" s="15" t="n"/>
      <c r="AP62" s="15" t="n"/>
      <c r="AQ62" s="13" t="n"/>
      <c r="AR62" s="17" t="n"/>
      <c r="AS62" s="14" t="n"/>
    </row>
    <row r="63">
      <c r="A63" s="12" t="n"/>
      <c r="B63" s="12" t="n"/>
      <c r="C63" s="12" t="n"/>
      <c r="G63" s="14" t="n"/>
      <c r="H63" s="14" t="n"/>
      <c r="I63" s="14" t="n"/>
      <c r="J63" s="15" t="n"/>
      <c r="K63" s="16" t="n"/>
      <c r="L63" s="16" t="n"/>
      <c r="M63" s="15" t="n"/>
      <c r="N63" s="15" t="n"/>
      <c r="P63" s="15" t="n"/>
      <c r="Q63" s="15" t="n"/>
      <c r="R63" s="15" t="n"/>
      <c r="S63" s="15" t="n"/>
      <c r="T63" s="15" t="n"/>
      <c r="U63" s="15" t="n"/>
      <c r="V63" s="17" t="n"/>
      <c r="W63" s="16" t="n"/>
      <c r="Z63" s="16" t="n"/>
      <c r="AD63" s="14" t="n"/>
      <c r="AE63" s="14" t="n"/>
      <c r="AL63" s="12" t="n"/>
      <c r="AO63" s="15" t="n"/>
      <c r="AP63" s="15" t="n"/>
      <c r="AQ63" s="13" t="n"/>
      <c r="AR63" s="17" t="n"/>
      <c r="AS63" s="14" t="n"/>
    </row>
    <row r="64">
      <c r="A64" s="12" t="n"/>
      <c r="B64" s="12" t="n"/>
      <c r="C64" s="12" t="n"/>
      <c r="G64" s="14" t="n"/>
      <c r="H64" s="14" t="n"/>
      <c r="I64" s="14" t="n"/>
      <c r="J64" s="15" t="n"/>
      <c r="K64" s="16" t="n"/>
      <c r="L64" s="16" t="n"/>
      <c r="M64" s="15" t="n"/>
      <c r="N64" s="15" t="n"/>
      <c r="P64" s="15" t="n"/>
      <c r="Q64" s="15" t="n"/>
      <c r="R64" s="15" t="n"/>
      <c r="S64" s="15" t="n"/>
      <c r="T64" s="15" t="n"/>
      <c r="U64" s="15" t="n"/>
      <c r="V64" s="17" t="n"/>
      <c r="W64" s="16" t="n"/>
      <c r="Z64" s="16" t="n"/>
      <c r="AD64" s="14" t="n"/>
      <c r="AE64" s="14" t="n"/>
      <c r="AL64" s="12" t="n"/>
      <c r="AO64" s="15" t="n"/>
      <c r="AP64" s="15" t="n"/>
      <c r="AQ64" s="13" t="n"/>
      <c r="AR64" s="17" t="n"/>
      <c r="AS64" s="14" t="n"/>
    </row>
    <row r="65">
      <c r="A65" s="12" t="n"/>
      <c r="B65" s="12" t="n"/>
      <c r="C65" s="12" t="n"/>
      <c r="G65" s="14" t="n"/>
      <c r="H65" s="14" t="n"/>
      <c r="I65" s="14" t="n"/>
      <c r="J65" s="15" t="n"/>
      <c r="K65" s="16" t="n"/>
      <c r="L65" s="16" t="n"/>
      <c r="M65" s="15" t="n"/>
      <c r="N65" s="15" t="n"/>
      <c r="P65" s="15" t="n"/>
      <c r="Q65" s="15" t="n"/>
      <c r="R65" s="15" t="n"/>
      <c r="S65" s="15" t="n"/>
      <c r="T65" s="15" t="n"/>
      <c r="U65" s="15" t="n"/>
      <c r="V65" s="17" t="n"/>
      <c r="W65" s="16" t="n"/>
      <c r="Z65" s="16" t="n"/>
      <c r="AD65" s="14" t="n"/>
      <c r="AE65" s="14" t="n"/>
      <c r="AL65" s="12" t="n"/>
      <c r="AO65" s="15" t="n"/>
      <c r="AP65" s="15" t="n"/>
      <c r="AQ65" s="13" t="n"/>
      <c r="AR65" s="17" t="n"/>
      <c r="AS65" s="14" t="n"/>
    </row>
    <row r="66">
      <c r="A66" s="12" t="n"/>
      <c r="B66" s="12" t="n"/>
      <c r="C66" s="12" t="n"/>
      <c r="G66" s="14" t="n"/>
      <c r="H66" s="14" t="n"/>
      <c r="I66" s="14" t="n"/>
      <c r="J66" s="15" t="n"/>
      <c r="K66" s="16" t="n"/>
      <c r="L66" s="16" t="n"/>
      <c r="M66" s="15" t="n"/>
      <c r="N66" s="15" t="n"/>
      <c r="P66" s="15" t="n"/>
      <c r="Q66" s="15" t="n"/>
      <c r="R66" s="15" t="n"/>
      <c r="S66" s="15" t="n"/>
      <c r="T66" s="15" t="n"/>
      <c r="U66" s="15" t="n"/>
      <c r="V66" s="17" t="n"/>
      <c r="W66" s="16" t="n"/>
      <c r="Z66" s="16" t="n"/>
      <c r="AD66" s="14" t="n"/>
      <c r="AE66" s="14" t="n"/>
      <c r="AL66" s="12" t="n"/>
      <c r="AO66" s="15" t="n"/>
      <c r="AP66" s="15" t="n"/>
      <c r="AQ66" s="13" t="n"/>
      <c r="AR66" s="17" t="n"/>
      <c r="AS66" s="14" t="n"/>
    </row>
    <row r="67">
      <c r="A67" s="12" t="n"/>
      <c r="B67" s="12" t="n"/>
      <c r="C67" s="12" t="n"/>
      <c r="G67" s="14" t="n"/>
      <c r="H67" s="14" t="n"/>
      <c r="I67" s="14" t="n"/>
      <c r="J67" s="15" t="n"/>
      <c r="K67" s="16" t="n"/>
      <c r="L67" s="16" t="n"/>
      <c r="M67" s="15" t="n"/>
      <c r="N67" s="15" t="n"/>
      <c r="P67" s="15" t="n"/>
      <c r="Q67" s="15" t="n"/>
      <c r="R67" s="15" t="n"/>
      <c r="S67" s="15" t="n"/>
      <c r="T67" s="15" t="n"/>
      <c r="U67" s="15" t="n"/>
      <c r="V67" s="17" t="n"/>
      <c r="W67" s="16" t="n"/>
      <c r="Z67" s="16" t="n"/>
      <c r="AD67" s="14" t="n"/>
      <c r="AE67" s="14" t="n"/>
      <c r="AL67" s="12" t="n"/>
      <c r="AO67" s="15" t="n"/>
      <c r="AP67" s="15" t="n"/>
      <c r="AQ67" s="13" t="n"/>
      <c r="AR67" s="17" t="n"/>
      <c r="AS67" s="14" t="n"/>
    </row>
    <row r="68">
      <c r="A68" s="12" t="n"/>
      <c r="B68" s="12" t="n"/>
      <c r="C68" s="12" t="n"/>
      <c r="G68" s="14" t="n"/>
      <c r="H68" s="14" t="n"/>
      <c r="I68" s="14" t="n"/>
      <c r="J68" s="15" t="n"/>
      <c r="K68" s="16" t="n"/>
      <c r="L68" s="16" t="n"/>
      <c r="M68" s="15" t="n"/>
      <c r="N68" s="15" t="n"/>
      <c r="P68" s="15" t="n"/>
      <c r="Q68" s="15" t="n"/>
      <c r="R68" s="15" t="n"/>
      <c r="S68" s="15" t="n"/>
      <c r="T68" s="15" t="n"/>
      <c r="U68" s="15" t="n"/>
      <c r="V68" s="17" t="n"/>
      <c r="W68" s="16" t="n"/>
      <c r="Z68" s="16" t="n"/>
      <c r="AD68" s="14" t="n"/>
      <c r="AE68" s="14" t="n"/>
      <c r="AL68" s="12" t="n"/>
      <c r="AO68" s="15" t="n"/>
      <c r="AP68" s="15" t="n"/>
      <c r="AQ68" s="13" t="n"/>
      <c r="AR68" s="17" t="n"/>
      <c r="AS68" s="14" t="n"/>
    </row>
    <row r="69">
      <c r="A69" s="12" t="n"/>
      <c r="B69" s="12" t="n"/>
      <c r="C69" s="12" t="n"/>
      <c r="G69" s="14" t="n"/>
      <c r="H69" s="14" t="n"/>
      <c r="I69" s="14" t="n"/>
      <c r="J69" s="15" t="n"/>
      <c r="K69" s="16" t="n"/>
      <c r="L69" s="16" t="n"/>
      <c r="M69" s="15" t="n"/>
      <c r="N69" s="15" t="n"/>
      <c r="P69" s="15" t="n"/>
      <c r="Q69" s="15" t="n"/>
      <c r="R69" s="15" t="n"/>
      <c r="S69" s="15" t="n"/>
      <c r="T69" s="15" t="n"/>
      <c r="U69" s="15" t="n"/>
      <c r="V69" s="17" t="n"/>
      <c r="W69" s="16" t="n"/>
      <c r="Z69" s="16" t="n"/>
      <c r="AD69" s="14" t="n"/>
      <c r="AE69" s="14" t="n"/>
      <c r="AL69" s="12" t="n"/>
      <c r="AO69" s="15" t="n"/>
      <c r="AP69" s="15" t="n"/>
      <c r="AQ69" s="13" t="n"/>
      <c r="AR69" s="17" t="n"/>
      <c r="AS69" s="14" t="n"/>
    </row>
    <row r="70">
      <c r="A70" s="12" t="n"/>
      <c r="B70" s="12" t="n"/>
      <c r="C70" s="12" t="n"/>
      <c r="G70" s="14" t="n"/>
      <c r="H70" s="14" t="n"/>
      <c r="I70" s="14" t="n"/>
      <c r="J70" s="15" t="n"/>
      <c r="K70" s="16" t="n"/>
      <c r="L70" s="16" t="n"/>
      <c r="M70" s="15" t="n"/>
      <c r="N70" s="15" t="n"/>
      <c r="P70" s="15" t="n"/>
      <c r="Q70" s="15" t="n"/>
      <c r="R70" s="15" t="n"/>
      <c r="S70" s="15" t="n"/>
      <c r="T70" s="15" t="n"/>
      <c r="U70" s="15" t="n"/>
      <c r="V70" s="17" t="n"/>
      <c r="W70" s="16" t="n"/>
      <c r="Z70" s="16" t="n"/>
      <c r="AD70" s="14" t="n"/>
      <c r="AE70" s="14" t="n"/>
      <c r="AL70" s="12" t="n"/>
      <c r="AO70" s="15" t="n"/>
      <c r="AP70" s="15" t="n"/>
      <c r="AQ70" s="13" t="n"/>
      <c r="AR70" s="17" t="n"/>
      <c r="AS70" s="14" t="n"/>
    </row>
    <row r="71">
      <c r="A71" s="12" t="n"/>
      <c r="B71" s="12" t="n"/>
      <c r="C71" s="12" t="n"/>
      <c r="G71" s="14" t="n"/>
      <c r="H71" s="14" t="n"/>
      <c r="I71" s="14" t="n"/>
      <c r="J71" s="15" t="n"/>
      <c r="K71" s="16" t="n"/>
      <c r="L71" s="16" t="n"/>
      <c r="M71" s="15" t="n"/>
      <c r="N71" s="15" t="n"/>
      <c r="P71" s="15" t="n"/>
      <c r="Q71" s="15" t="n"/>
      <c r="R71" s="15" t="n"/>
      <c r="S71" s="15" t="n"/>
      <c r="T71" s="15" t="n"/>
      <c r="U71" s="15" t="n"/>
      <c r="V71" s="17" t="n"/>
      <c r="W71" s="16" t="n"/>
      <c r="Z71" s="16" t="n"/>
      <c r="AD71" s="14" t="n"/>
      <c r="AE71" s="14" t="n"/>
      <c r="AL71" s="12" t="n"/>
      <c r="AO71" s="15" t="n"/>
      <c r="AP71" s="15" t="n"/>
      <c r="AQ71" s="13" t="n"/>
      <c r="AR71" s="17" t="n"/>
      <c r="AS71" s="14" t="n"/>
    </row>
    <row r="72">
      <c r="A72" s="12" t="n"/>
      <c r="B72" s="12" t="n"/>
      <c r="C72" s="12" t="n"/>
      <c r="G72" s="14" t="n"/>
      <c r="H72" s="14" t="n"/>
      <c r="I72" s="14" t="n"/>
      <c r="J72" s="15" t="n"/>
      <c r="K72" s="16" t="n"/>
      <c r="L72" s="16" t="n"/>
      <c r="M72" s="15" t="n"/>
      <c r="N72" s="15" t="n"/>
      <c r="P72" s="15" t="n"/>
      <c r="Q72" s="15" t="n"/>
      <c r="R72" s="15" t="n"/>
      <c r="S72" s="15" t="n"/>
      <c r="T72" s="15" t="n"/>
      <c r="U72" s="15" t="n"/>
      <c r="V72" s="17" t="n"/>
      <c r="W72" s="16" t="n"/>
      <c r="Z72" s="16" t="n"/>
      <c r="AD72" s="14" t="n"/>
      <c r="AE72" s="14" t="n"/>
      <c r="AL72" s="12" t="n"/>
      <c r="AO72" s="15" t="n"/>
      <c r="AP72" s="15" t="n"/>
      <c r="AQ72" s="13" t="n"/>
      <c r="AR72" s="17" t="n"/>
      <c r="AS72" s="14" t="n"/>
    </row>
    <row r="73">
      <c r="A73" s="12" t="n"/>
      <c r="B73" s="12" t="n"/>
      <c r="C73" s="12" t="n"/>
      <c r="G73" s="14" t="n"/>
      <c r="H73" s="14" t="n"/>
      <c r="I73" s="14" t="n"/>
      <c r="J73" s="15" t="n"/>
      <c r="K73" s="16" t="n"/>
      <c r="L73" s="16" t="n"/>
      <c r="M73" s="15" t="n"/>
      <c r="N73" s="15" t="n"/>
      <c r="P73" s="15" t="n"/>
      <c r="Q73" s="15" t="n"/>
      <c r="R73" s="15" t="n"/>
      <c r="S73" s="15" t="n"/>
      <c r="T73" s="15" t="n"/>
      <c r="U73" s="15" t="n"/>
      <c r="V73" s="17" t="n"/>
      <c r="W73" s="16" t="n"/>
      <c r="Z73" s="16" t="n"/>
      <c r="AD73" s="14" t="n"/>
      <c r="AE73" s="14" t="n"/>
      <c r="AL73" s="12" t="n"/>
      <c r="AO73" s="15" t="n"/>
      <c r="AP73" s="15" t="n"/>
      <c r="AQ73" s="13" t="n"/>
      <c r="AR73" s="17" t="n"/>
      <c r="AS73" s="14" t="n"/>
    </row>
    <row r="74">
      <c r="A74" s="12" t="n"/>
      <c r="B74" s="12" t="n"/>
      <c r="C74" s="12" t="n"/>
      <c r="G74" s="14" t="n"/>
      <c r="H74" s="14" t="n"/>
      <c r="I74" s="14" t="n"/>
      <c r="J74" s="15" t="n"/>
      <c r="K74" s="16" t="n"/>
      <c r="L74" s="16" t="n"/>
      <c r="M74" s="15" t="n"/>
      <c r="N74" s="15" t="n"/>
      <c r="P74" s="15" t="n"/>
      <c r="Q74" s="15" t="n"/>
      <c r="R74" s="15" t="n"/>
      <c r="S74" s="15" t="n"/>
      <c r="T74" s="15" t="n"/>
      <c r="U74" s="15" t="n"/>
      <c r="V74" s="17" t="n"/>
      <c r="W74" s="16" t="n"/>
      <c r="Z74" s="16" t="n"/>
      <c r="AD74" s="14" t="n"/>
      <c r="AE74" s="14" t="n"/>
      <c r="AL74" s="12" t="n"/>
      <c r="AO74" s="15" t="n"/>
      <c r="AP74" s="15" t="n"/>
      <c r="AQ74" s="13" t="n"/>
      <c r="AR74" s="17" t="n"/>
      <c r="AS74" s="14" t="n"/>
    </row>
    <row r="75">
      <c r="A75" s="12" t="n"/>
      <c r="B75" s="12" t="n"/>
      <c r="C75" s="12" t="n"/>
      <c r="G75" s="14" t="n"/>
      <c r="H75" s="14" t="n"/>
      <c r="I75" s="14" t="n"/>
      <c r="J75" s="15" t="n"/>
      <c r="K75" s="16" t="n"/>
      <c r="L75" s="16" t="n"/>
      <c r="M75" s="15" t="n"/>
      <c r="N75" s="15" t="n"/>
      <c r="P75" s="15" t="n"/>
      <c r="Q75" s="15" t="n"/>
      <c r="R75" s="15" t="n"/>
      <c r="S75" s="15" t="n"/>
      <c r="T75" s="15" t="n"/>
      <c r="U75" s="15" t="n"/>
      <c r="V75" s="17" t="n"/>
      <c r="W75" s="16" t="n"/>
      <c r="Z75" s="16" t="n"/>
      <c r="AD75" s="14" t="n"/>
      <c r="AE75" s="14" t="n"/>
      <c r="AL75" s="12" t="n"/>
      <c r="AO75" s="15" t="n"/>
      <c r="AP75" s="15" t="n"/>
      <c r="AQ75" s="13" t="n"/>
      <c r="AR75" s="17" t="n"/>
      <c r="AS75" s="14" t="n"/>
    </row>
    <row r="76">
      <c r="A76" s="12" t="n"/>
      <c r="B76" s="12" t="n"/>
      <c r="C76" s="12" t="n"/>
      <c r="G76" s="14" t="n"/>
      <c r="H76" s="14" t="n"/>
      <c r="I76" s="14" t="n"/>
      <c r="J76" s="15" t="n"/>
      <c r="K76" s="16" t="n"/>
      <c r="L76" s="16" t="n"/>
      <c r="M76" s="15" t="n"/>
      <c r="N76" s="15" t="n"/>
      <c r="P76" s="15" t="n"/>
      <c r="Q76" s="15" t="n"/>
      <c r="R76" s="15" t="n"/>
      <c r="S76" s="15" t="n"/>
      <c r="T76" s="15" t="n"/>
      <c r="U76" s="15" t="n"/>
      <c r="V76" s="17" t="n"/>
      <c r="W76" s="16" t="n"/>
      <c r="Z76" s="16" t="n"/>
      <c r="AD76" s="14" t="n"/>
      <c r="AE76" s="14" t="n"/>
      <c r="AL76" s="12" t="n"/>
      <c r="AO76" s="15" t="n"/>
      <c r="AP76" s="15" t="n"/>
      <c r="AQ76" s="13" t="n"/>
      <c r="AR76" s="17" t="n"/>
      <c r="AS76" s="14" t="n"/>
    </row>
    <row r="77">
      <c r="A77" s="12" t="n"/>
      <c r="B77" s="12" t="n"/>
      <c r="C77" s="12" t="n"/>
      <c r="G77" s="14" t="n"/>
      <c r="H77" s="14" t="n"/>
      <c r="I77" s="14" t="n"/>
      <c r="J77" s="15" t="n"/>
      <c r="K77" s="16" t="n"/>
      <c r="L77" s="16" t="n"/>
      <c r="M77" s="15" t="n"/>
      <c r="N77" s="15" t="n"/>
      <c r="P77" s="15" t="n"/>
      <c r="Q77" s="15" t="n"/>
      <c r="R77" s="15" t="n"/>
      <c r="S77" s="15" t="n"/>
      <c r="T77" s="15" t="n"/>
      <c r="U77" s="15" t="n"/>
      <c r="V77" s="17" t="n"/>
      <c r="W77" s="16" t="n"/>
      <c r="Z77" s="16" t="n"/>
      <c r="AD77" s="14" t="n"/>
      <c r="AE77" s="14" t="n"/>
      <c r="AL77" s="12" t="n"/>
      <c r="AO77" s="15" t="n"/>
      <c r="AP77" s="15" t="n"/>
      <c r="AQ77" s="13" t="n"/>
      <c r="AR77" s="17" t="n"/>
      <c r="AS77" s="14" t="n"/>
    </row>
    <row r="78">
      <c r="A78" s="12" t="n"/>
      <c r="B78" s="12" t="n"/>
      <c r="C78" s="12" t="n"/>
      <c r="G78" s="14" t="n"/>
      <c r="H78" s="14" t="n"/>
      <c r="I78" s="14" t="n"/>
      <c r="J78" s="15" t="n"/>
      <c r="K78" s="16" t="n"/>
      <c r="L78" s="16" t="n"/>
      <c r="M78" s="15" t="n"/>
      <c r="N78" s="15" t="n"/>
      <c r="P78" s="15" t="n"/>
      <c r="Q78" s="15" t="n"/>
      <c r="R78" s="15" t="n"/>
      <c r="S78" s="15" t="n"/>
      <c r="T78" s="15" t="n"/>
      <c r="U78" s="15" t="n"/>
      <c r="V78" s="17" t="n"/>
      <c r="W78" s="16" t="n"/>
      <c r="Z78" s="16" t="n"/>
      <c r="AD78" s="14" t="n"/>
      <c r="AE78" s="14" t="n"/>
      <c r="AL78" s="12" t="n"/>
      <c r="AO78" s="15" t="n"/>
      <c r="AP78" s="15" t="n"/>
      <c r="AQ78" s="13" t="n"/>
      <c r="AR78" s="17" t="n"/>
      <c r="AS78" s="14" t="n"/>
    </row>
    <row r="79">
      <c r="A79" s="12" t="n"/>
      <c r="B79" s="12" t="n"/>
      <c r="C79" s="12" t="n"/>
      <c r="G79" s="14" t="n"/>
      <c r="H79" s="14" t="n"/>
      <c r="I79" s="14" t="n"/>
      <c r="J79" s="15" t="n"/>
      <c r="K79" s="16" t="n"/>
      <c r="L79" s="16" t="n"/>
      <c r="M79" s="15" t="n"/>
      <c r="N79" s="15" t="n"/>
      <c r="P79" s="15" t="n"/>
      <c r="Q79" s="15" t="n"/>
      <c r="R79" s="15" t="n"/>
      <c r="S79" s="15" t="n"/>
      <c r="T79" s="15" t="n"/>
      <c r="U79" s="15" t="n"/>
      <c r="V79" s="17" t="n"/>
      <c r="W79" s="16" t="n"/>
      <c r="Z79" s="16" t="n"/>
      <c r="AD79" s="14" t="n"/>
      <c r="AE79" s="14" t="n"/>
      <c r="AL79" s="12" t="n"/>
      <c r="AO79" s="15" t="n"/>
      <c r="AP79" s="15" t="n"/>
      <c r="AQ79" s="13" t="n"/>
      <c r="AR79" s="17" t="n"/>
      <c r="AS79" s="14" t="n"/>
    </row>
    <row r="80">
      <c r="A80" s="12" t="n"/>
      <c r="B80" s="12" t="n"/>
      <c r="C80" s="12" t="n"/>
      <c r="G80" s="14" t="n"/>
      <c r="H80" s="14" t="n"/>
      <c r="I80" s="14" t="n"/>
      <c r="J80" s="15" t="n"/>
      <c r="K80" s="16" t="n"/>
      <c r="L80" s="16" t="n"/>
      <c r="M80" s="15" t="n"/>
      <c r="N80" s="15" t="n"/>
      <c r="P80" s="15" t="n"/>
      <c r="Q80" s="15" t="n"/>
      <c r="R80" s="15" t="n"/>
      <c r="S80" s="15" t="n"/>
      <c r="T80" s="15" t="n"/>
      <c r="U80" s="15" t="n"/>
      <c r="V80" s="17" t="n"/>
      <c r="W80" s="16" t="n"/>
      <c r="Z80" s="16" t="n"/>
      <c r="AD80" s="14" t="n"/>
      <c r="AE80" s="14" t="n"/>
      <c r="AL80" s="12" t="n"/>
      <c r="AO80" s="15" t="n"/>
      <c r="AP80" s="15" t="n"/>
      <c r="AQ80" s="13" t="n"/>
      <c r="AR80" s="17" t="n"/>
      <c r="AS80" s="14" t="n"/>
    </row>
    <row r="81">
      <c r="A81" s="12" t="n"/>
      <c r="B81" s="12" t="n"/>
      <c r="C81" s="12" t="n"/>
      <c r="G81" s="14" t="n"/>
      <c r="H81" s="14" t="n"/>
      <c r="I81" s="14" t="n"/>
      <c r="J81" s="15" t="n"/>
      <c r="K81" s="16" t="n"/>
      <c r="L81" s="16" t="n"/>
      <c r="M81" s="15" t="n"/>
      <c r="N81" s="15" t="n"/>
      <c r="P81" s="15" t="n"/>
      <c r="Q81" s="15" t="n"/>
      <c r="R81" s="15" t="n"/>
      <c r="S81" s="15" t="n"/>
      <c r="T81" s="15" t="n"/>
      <c r="U81" s="15" t="n"/>
      <c r="V81" s="17" t="n"/>
      <c r="W81" s="16" t="n"/>
      <c r="Z81" s="16" t="n"/>
      <c r="AD81" s="14" t="n"/>
      <c r="AE81" s="14" t="n"/>
      <c r="AL81" s="12" t="n"/>
      <c r="AO81" s="15" t="n"/>
      <c r="AP81" s="15" t="n"/>
      <c r="AQ81" s="13" t="n"/>
      <c r="AR81" s="17" t="n"/>
      <c r="AS81" s="14" t="n"/>
    </row>
    <row r="82">
      <c r="A82" s="12" t="n"/>
      <c r="B82" s="12" t="n"/>
      <c r="C82" s="12" t="n"/>
      <c r="G82" s="14" t="n"/>
      <c r="H82" s="14" t="n"/>
      <c r="I82" s="14" t="n"/>
      <c r="J82" s="15" t="n"/>
      <c r="K82" s="16" t="n"/>
      <c r="L82" s="16" t="n"/>
      <c r="M82" s="15" t="n"/>
      <c r="N82" s="15" t="n"/>
      <c r="P82" s="15" t="n"/>
      <c r="Q82" s="15" t="n"/>
      <c r="R82" s="15" t="n"/>
      <c r="S82" s="15" t="n"/>
      <c r="T82" s="15" t="n"/>
      <c r="U82" s="15" t="n"/>
      <c r="V82" s="17" t="n"/>
      <c r="W82" s="16" t="n"/>
      <c r="Z82" s="16" t="n"/>
      <c r="AD82" s="14" t="n"/>
      <c r="AE82" s="14" t="n"/>
      <c r="AL82" s="12" t="n"/>
      <c r="AO82" s="15" t="n"/>
      <c r="AP82" s="15" t="n"/>
      <c r="AQ82" s="13" t="n"/>
      <c r="AR82" s="17" t="n"/>
      <c r="AS82" s="14" t="n"/>
    </row>
    <row r="83">
      <c r="A83" s="12" t="n"/>
      <c r="B83" s="12" t="n"/>
      <c r="C83" s="12" t="n"/>
      <c r="G83" s="14" t="n"/>
      <c r="H83" s="14" t="n"/>
      <c r="I83" s="14" t="n"/>
      <c r="J83" s="15" t="n"/>
      <c r="K83" s="16" t="n"/>
      <c r="L83" s="16" t="n"/>
      <c r="M83" s="15" t="n"/>
      <c r="N83" s="15" t="n"/>
      <c r="P83" s="15" t="n"/>
      <c r="Q83" s="15" t="n"/>
      <c r="R83" s="15" t="n"/>
      <c r="S83" s="15" t="n"/>
      <c r="T83" s="15" t="n"/>
      <c r="U83" s="15" t="n"/>
      <c r="V83" s="17" t="n"/>
      <c r="W83" s="16" t="n"/>
      <c r="Z83" s="16" t="n"/>
      <c r="AD83" s="14" t="n"/>
      <c r="AE83" s="14" t="n"/>
      <c r="AL83" s="12" t="n"/>
      <c r="AO83" s="15" t="n"/>
      <c r="AP83" s="15" t="n"/>
      <c r="AQ83" s="13" t="n"/>
      <c r="AR83" s="17" t="n"/>
      <c r="AS83" s="14" t="n"/>
    </row>
    <row r="84">
      <c r="A84" s="12" t="n"/>
      <c r="B84" s="12" t="n"/>
      <c r="C84" s="12" t="n"/>
      <c r="G84" s="14" t="n"/>
      <c r="H84" s="14" t="n"/>
      <c r="I84" s="14" t="n"/>
      <c r="J84" s="15" t="n"/>
      <c r="K84" s="16" t="n"/>
      <c r="L84" s="16" t="n"/>
      <c r="M84" s="15" t="n"/>
      <c r="N84" s="15" t="n"/>
      <c r="P84" s="15" t="n"/>
      <c r="Q84" s="15" t="n"/>
      <c r="R84" s="15" t="n"/>
      <c r="S84" s="15" t="n"/>
      <c r="T84" s="15" t="n"/>
      <c r="U84" s="15" t="n"/>
      <c r="V84" s="17" t="n"/>
      <c r="W84" s="16" t="n"/>
      <c r="Z84" s="16" t="n"/>
      <c r="AD84" s="14" t="n"/>
      <c r="AE84" s="14" t="n"/>
      <c r="AL84" s="12" t="n"/>
      <c r="AO84" s="15" t="n"/>
      <c r="AP84" s="15" t="n"/>
      <c r="AQ84" s="13" t="n"/>
      <c r="AR84" s="17" t="n"/>
      <c r="AS84" s="14" t="n"/>
    </row>
    <row r="85">
      <c r="A85" s="12" t="n"/>
      <c r="B85" s="12" t="n"/>
      <c r="C85" s="12" t="n"/>
      <c r="G85" s="14" t="n"/>
      <c r="H85" s="14" t="n"/>
      <c r="I85" s="14" t="n"/>
      <c r="J85" s="15" t="n"/>
      <c r="K85" s="16" t="n"/>
      <c r="L85" s="16" t="n"/>
      <c r="M85" s="15" t="n"/>
      <c r="N85" s="15" t="n"/>
      <c r="P85" s="15" t="n"/>
      <c r="Q85" s="15" t="n"/>
      <c r="R85" s="15" t="n"/>
      <c r="S85" s="15" t="n"/>
      <c r="T85" s="15" t="n"/>
      <c r="U85" s="15" t="n"/>
      <c r="V85" s="17" t="n"/>
      <c r="W85" s="16" t="n"/>
      <c r="Z85" s="16" t="n"/>
      <c r="AD85" s="14" t="n"/>
      <c r="AE85" s="14" t="n"/>
      <c r="AL85" s="12" t="n"/>
      <c r="AO85" s="15" t="n"/>
      <c r="AP85" s="15" t="n"/>
      <c r="AQ85" s="13" t="n"/>
      <c r="AR85" s="17" t="n"/>
      <c r="AS85" s="14" t="n"/>
    </row>
    <row r="86">
      <c r="A86" s="12" t="n"/>
      <c r="B86" s="12" t="n"/>
      <c r="C86" s="12" t="n"/>
      <c r="G86" s="14" t="n"/>
      <c r="H86" s="14" t="n"/>
      <c r="I86" s="14" t="n"/>
      <c r="J86" s="15" t="n"/>
      <c r="K86" s="16" t="n"/>
      <c r="L86" s="16" t="n"/>
      <c r="M86" s="15" t="n"/>
      <c r="N86" s="15" t="n"/>
      <c r="P86" s="15" t="n"/>
      <c r="Q86" s="15" t="n"/>
      <c r="R86" s="15" t="n"/>
      <c r="S86" s="15" t="n"/>
      <c r="T86" s="15" t="n"/>
      <c r="U86" s="15" t="n"/>
      <c r="V86" s="17" t="n"/>
      <c r="W86" s="16" t="n"/>
      <c r="Z86" s="16" t="n"/>
      <c r="AD86" s="14" t="n"/>
      <c r="AE86" s="14" t="n"/>
      <c r="AL86" s="12" t="n"/>
      <c r="AO86" s="15" t="n"/>
      <c r="AP86" s="15" t="n"/>
      <c r="AQ86" s="13" t="n"/>
      <c r="AR86" s="17" t="n"/>
      <c r="AS86" s="14" t="n"/>
    </row>
    <row r="87">
      <c r="A87" s="12" t="n"/>
      <c r="B87" s="12" t="n"/>
      <c r="C87" s="12" t="n"/>
      <c r="G87" s="14" t="n"/>
      <c r="H87" s="14" t="n"/>
      <c r="I87" s="14" t="n"/>
      <c r="J87" s="15" t="n"/>
      <c r="K87" s="16" t="n"/>
      <c r="L87" s="16" t="n"/>
      <c r="M87" s="15" t="n"/>
      <c r="N87" s="15" t="n"/>
      <c r="P87" s="15" t="n"/>
      <c r="Q87" s="15" t="n"/>
      <c r="R87" s="15" t="n"/>
      <c r="S87" s="15" t="n"/>
      <c r="T87" s="15" t="n"/>
      <c r="U87" s="15" t="n"/>
      <c r="V87" s="17" t="n"/>
      <c r="W87" s="16" t="n"/>
      <c r="Z87" s="16" t="n"/>
      <c r="AD87" s="14" t="n"/>
      <c r="AE87" s="14" t="n"/>
      <c r="AL87" s="12" t="n"/>
      <c r="AO87" s="15" t="n"/>
      <c r="AP87" s="15" t="n"/>
      <c r="AQ87" s="13" t="n"/>
      <c r="AR87" s="17" t="n"/>
      <c r="AS87" s="14" t="n"/>
    </row>
    <row r="88">
      <c r="A88" s="12" t="n"/>
      <c r="B88" s="12" t="n"/>
      <c r="C88" s="12" t="n"/>
      <c r="G88" s="14" t="n"/>
      <c r="H88" s="14" t="n"/>
      <c r="I88" s="14" t="n"/>
      <c r="J88" s="15" t="n"/>
      <c r="K88" s="16" t="n"/>
      <c r="L88" s="16" t="n"/>
      <c r="M88" s="15" t="n"/>
      <c r="N88" s="15" t="n"/>
      <c r="P88" s="15" t="n"/>
      <c r="Q88" s="15" t="n"/>
      <c r="R88" s="15" t="n"/>
      <c r="S88" s="15" t="n"/>
      <c r="T88" s="15" t="n"/>
      <c r="U88" s="15" t="n"/>
      <c r="V88" s="17" t="n"/>
      <c r="W88" s="16" t="n"/>
      <c r="Z88" s="16" t="n"/>
      <c r="AD88" s="14" t="n"/>
      <c r="AE88" s="14" t="n"/>
      <c r="AL88" s="12" t="n"/>
      <c r="AO88" s="15" t="n"/>
      <c r="AP88" s="15" t="n"/>
      <c r="AQ88" s="13" t="n"/>
      <c r="AR88" s="17" t="n"/>
      <c r="AS88" s="14" t="n"/>
    </row>
    <row r="89">
      <c r="A89" s="12" t="n"/>
      <c r="B89" s="12" t="n"/>
      <c r="C89" s="12" t="n"/>
      <c r="G89" s="14" t="n"/>
      <c r="H89" s="14" t="n"/>
      <c r="I89" s="14" t="n"/>
      <c r="J89" s="15" t="n"/>
      <c r="K89" s="16" t="n"/>
      <c r="L89" s="16" t="n"/>
      <c r="M89" s="15" t="n"/>
      <c r="N89" s="15" t="n"/>
      <c r="P89" s="15" t="n"/>
      <c r="Q89" s="15" t="n"/>
      <c r="R89" s="15" t="n"/>
      <c r="S89" s="15" t="n"/>
      <c r="T89" s="15" t="n"/>
      <c r="U89" s="15" t="n"/>
      <c r="V89" s="17" t="n"/>
      <c r="W89" s="16" t="n"/>
      <c r="Z89" s="16" t="n"/>
      <c r="AD89" s="14" t="n"/>
      <c r="AE89" s="14" t="n"/>
      <c r="AL89" s="12" t="n"/>
      <c r="AO89" s="15" t="n"/>
      <c r="AP89" s="15" t="n"/>
      <c r="AQ89" s="13" t="n"/>
      <c r="AR89" s="17" t="n"/>
      <c r="AS89" s="14" t="n"/>
    </row>
    <row r="90">
      <c r="A90" s="12" t="n"/>
      <c r="B90" s="12" t="n"/>
      <c r="C90" s="12" t="n"/>
      <c r="G90" s="14" t="n"/>
      <c r="H90" s="14" t="n"/>
      <c r="I90" s="14" t="n"/>
      <c r="J90" s="15" t="n"/>
      <c r="K90" s="16" t="n"/>
      <c r="L90" s="16" t="n"/>
      <c r="M90" s="15" t="n"/>
      <c r="N90" s="15" t="n"/>
      <c r="P90" s="15" t="n"/>
      <c r="Q90" s="15" t="n"/>
      <c r="R90" s="15" t="n"/>
      <c r="S90" s="15" t="n"/>
      <c r="T90" s="15" t="n"/>
      <c r="U90" s="15" t="n"/>
      <c r="V90" s="17" t="n"/>
      <c r="W90" s="16" t="n"/>
      <c r="Z90" s="16" t="n"/>
      <c r="AD90" s="14" t="n"/>
      <c r="AE90" s="14" t="n"/>
      <c r="AL90" s="12" t="n"/>
      <c r="AO90" s="15" t="n"/>
      <c r="AP90" s="15" t="n"/>
      <c r="AQ90" s="13" t="n"/>
      <c r="AR90" s="17" t="n"/>
      <c r="AS90" s="14" t="n"/>
    </row>
    <row r="91">
      <c r="A91" s="12" t="n"/>
      <c r="B91" s="12" t="n"/>
      <c r="C91" s="12" t="n"/>
      <c r="G91" s="14" t="n"/>
      <c r="H91" s="14" t="n"/>
      <c r="I91" s="14" t="n"/>
      <c r="J91" s="15" t="n"/>
      <c r="K91" s="16" t="n"/>
      <c r="L91" s="16" t="n"/>
      <c r="M91" s="15" t="n"/>
      <c r="N91" s="15" t="n"/>
      <c r="P91" s="15" t="n"/>
      <c r="Q91" s="15" t="n"/>
      <c r="R91" s="15" t="n"/>
      <c r="S91" s="15" t="n"/>
      <c r="T91" s="15" t="n"/>
      <c r="U91" s="15" t="n"/>
      <c r="V91" s="17" t="n"/>
      <c r="W91" s="16" t="n"/>
      <c r="Z91" s="16" t="n"/>
      <c r="AD91" s="14" t="n"/>
      <c r="AE91" s="14" t="n"/>
      <c r="AL91" s="12" t="n"/>
      <c r="AO91" s="15" t="n"/>
      <c r="AP91" s="15" t="n"/>
      <c r="AQ91" s="13" t="n"/>
      <c r="AR91" s="17" t="n"/>
      <c r="AS91" s="14" t="n"/>
    </row>
    <row r="92">
      <c r="A92" s="12" t="n"/>
      <c r="B92" s="12" t="n"/>
      <c r="C92" s="12" t="n"/>
      <c r="G92" s="14" t="n"/>
      <c r="H92" s="14" t="n"/>
      <c r="I92" s="14" t="n"/>
      <c r="J92" s="15" t="n"/>
      <c r="K92" s="16" t="n"/>
      <c r="L92" s="16" t="n"/>
      <c r="M92" s="15" t="n"/>
      <c r="N92" s="15" t="n"/>
      <c r="P92" s="15" t="n"/>
      <c r="Q92" s="15" t="n"/>
      <c r="R92" s="15" t="n"/>
      <c r="S92" s="15" t="n"/>
      <c r="T92" s="15" t="n"/>
      <c r="U92" s="15" t="n"/>
      <c r="V92" s="17" t="n"/>
      <c r="W92" s="16" t="n"/>
      <c r="Z92" s="16" t="n"/>
      <c r="AD92" s="14" t="n"/>
      <c r="AE92" s="14" t="n"/>
      <c r="AL92" s="12" t="n"/>
      <c r="AO92" s="15" t="n"/>
      <c r="AP92" s="15" t="n"/>
      <c r="AQ92" s="13" t="n"/>
      <c r="AR92" s="17" t="n"/>
      <c r="AS92" s="14" t="n"/>
    </row>
    <row r="93">
      <c r="A93" s="12" t="n"/>
      <c r="B93" s="12" t="n"/>
      <c r="C93" s="12" t="n"/>
      <c r="G93" s="14" t="n"/>
      <c r="H93" s="14" t="n"/>
      <c r="I93" s="14" t="n"/>
      <c r="J93" s="15" t="n"/>
      <c r="K93" s="16" t="n"/>
      <c r="L93" s="16" t="n"/>
      <c r="M93" s="15" t="n"/>
      <c r="N93" s="15" t="n"/>
      <c r="P93" s="15" t="n"/>
      <c r="Q93" s="15" t="n"/>
      <c r="R93" s="15" t="n"/>
      <c r="S93" s="15" t="n"/>
      <c r="T93" s="15" t="n"/>
      <c r="U93" s="15" t="n"/>
      <c r="V93" s="17" t="n"/>
      <c r="W93" s="16" t="n"/>
      <c r="Z93" s="16" t="n"/>
      <c r="AD93" s="14" t="n"/>
      <c r="AE93" s="14" t="n"/>
      <c r="AL93" s="12" t="n"/>
      <c r="AO93" s="15" t="n"/>
      <c r="AP93" s="15" t="n"/>
      <c r="AQ93" s="13" t="n"/>
      <c r="AR93" s="17" t="n"/>
      <c r="AS93" s="14" t="n"/>
    </row>
    <row r="94">
      <c r="A94" s="12" t="n"/>
      <c r="B94" s="12" t="n"/>
      <c r="C94" s="12" t="n"/>
      <c r="G94" s="14" t="n"/>
      <c r="H94" s="14" t="n"/>
      <c r="I94" s="14" t="n"/>
      <c r="J94" s="15" t="n"/>
      <c r="K94" s="16" t="n"/>
      <c r="L94" s="16" t="n"/>
      <c r="M94" s="15" t="n"/>
      <c r="N94" s="15" t="n"/>
      <c r="P94" s="15" t="n"/>
      <c r="Q94" s="15" t="n"/>
      <c r="R94" s="15" t="n"/>
      <c r="S94" s="15" t="n"/>
      <c r="T94" s="15" t="n"/>
      <c r="U94" s="15" t="n"/>
      <c r="V94" s="17" t="n"/>
      <c r="W94" s="16" t="n"/>
      <c r="Z94" s="16" t="n"/>
      <c r="AD94" s="14" t="n"/>
      <c r="AE94" s="14" t="n"/>
      <c r="AL94" s="12" t="n"/>
      <c r="AO94" s="15" t="n"/>
      <c r="AP94" s="15" t="n"/>
      <c r="AQ94" s="13" t="n"/>
      <c r="AR94" s="17" t="n"/>
      <c r="AS94" s="14" t="n"/>
    </row>
    <row r="95">
      <c r="A95" s="12" t="n"/>
      <c r="B95" s="12" t="n"/>
      <c r="C95" s="12" t="n"/>
      <c r="G95" s="14" t="n"/>
      <c r="H95" s="14" t="n"/>
      <c r="I95" s="14" t="n"/>
      <c r="J95" s="15" t="n"/>
      <c r="K95" s="16" t="n"/>
      <c r="L95" s="16" t="n"/>
      <c r="M95" s="15" t="n"/>
      <c r="N95" s="15" t="n"/>
      <c r="P95" s="15" t="n"/>
      <c r="Q95" s="15" t="n"/>
      <c r="R95" s="15" t="n"/>
      <c r="S95" s="15" t="n"/>
      <c r="T95" s="15" t="n"/>
      <c r="U95" s="15" t="n"/>
      <c r="V95" s="17" t="n"/>
      <c r="W95" s="16" t="n"/>
      <c r="Z95" s="16" t="n"/>
      <c r="AD95" s="14" t="n"/>
      <c r="AE95" s="14" t="n"/>
      <c r="AL95" s="12" t="n"/>
      <c r="AO95" s="15" t="n"/>
      <c r="AP95" s="15" t="n"/>
      <c r="AQ95" s="13" t="n"/>
      <c r="AR95" s="17" t="n"/>
      <c r="AS95" s="14" t="n"/>
    </row>
    <row r="96">
      <c r="A96" s="12" t="n"/>
      <c r="B96" s="12" t="n"/>
      <c r="C96" s="12" t="n"/>
      <c r="G96" s="14" t="n"/>
      <c r="H96" s="14" t="n"/>
      <c r="I96" s="14" t="n"/>
      <c r="J96" s="15" t="n"/>
      <c r="K96" s="16" t="n"/>
      <c r="L96" s="16" t="n"/>
      <c r="M96" s="15" t="n"/>
      <c r="N96" s="15" t="n"/>
      <c r="P96" s="15" t="n"/>
      <c r="Q96" s="15" t="n"/>
      <c r="R96" s="15" t="n"/>
      <c r="S96" s="15" t="n"/>
      <c r="T96" s="15" t="n"/>
      <c r="U96" s="15" t="n"/>
      <c r="V96" s="17" t="n"/>
      <c r="W96" s="16" t="n"/>
      <c r="Z96" s="16" t="n"/>
      <c r="AD96" s="14" t="n"/>
      <c r="AE96" s="14" t="n"/>
      <c r="AL96" s="12" t="n"/>
      <c r="AO96" s="15" t="n"/>
      <c r="AP96" s="15" t="n"/>
      <c r="AQ96" s="13" t="n"/>
      <c r="AR96" s="17" t="n"/>
      <c r="AS96" s="14" t="n"/>
    </row>
    <row r="97">
      <c r="A97" s="12" t="n"/>
      <c r="B97" s="12" t="n"/>
      <c r="C97" s="12" t="n"/>
      <c r="G97" s="14" t="n"/>
      <c r="H97" s="14" t="n"/>
      <c r="I97" s="14" t="n"/>
      <c r="J97" s="15" t="n"/>
      <c r="K97" s="16" t="n"/>
      <c r="L97" s="16" t="n"/>
      <c r="M97" s="15" t="n"/>
      <c r="N97" s="15" t="n"/>
      <c r="P97" s="15" t="n"/>
      <c r="Q97" s="15" t="n"/>
      <c r="R97" s="15" t="n"/>
      <c r="S97" s="15" t="n"/>
      <c r="T97" s="15" t="n"/>
      <c r="U97" s="15" t="n"/>
      <c r="V97" s="17" t="n"/>
      <c r="W97" s="16" t="n"/>
      <c r="Z97" s="16" t="n"/>
      <c r="AD97" s="14" t="n"/>
      <c r="AE97" s="14" t="n"/>
      <c r="AL97" s="12" t="n"/>
      <c r="AO97" s="15" t="n"/>
      <c r="AP97" s="15" t="n"/>
      <c r="AQ97" s="13" t="n"/>
      <c r="AR97" s="17" t="n"/>
      <c r="AS97" s="14" t="n"/>
    </row>
    <row r="98">
      <c r="A98" s="12" t="n"/>
      <c r="B98" s="12" t="n"/>
      <c r="C98" s="12" t="n"/>
      <c r="G98" s="14" t="n"/>
      <c r="H98" s="14" t="n"/>
      <c r="I98" s="14" t="n"/>
      <c r="J98" s="15" t="n"/>
      <c r="K98" s="16" t="n"/>
      <c r="L98" s="16" t="n"/>
      <c r="M98" s="15" t="n"/>
      <c r="N98" s="15" t="n"/>
      <c r="P98" s="15" t="n"/>
      <c r="Q98" s="15" t="n"/>
      <c r="R98" s="15" t="n"/>
      <c r="S98" s="15" t="n"/>
      <c r="T98" s="15" t="n"/>
      <c r="U98" s="15" t="n"/>
      <c r="V98" s="17" t="n"/>
      <c r="W98" s="16" t="n"/>
      <c r="Z98" s="16" t="n"/>
      <c r="AD98" s="14" t="n"/>
      <c r="AE98" s="14" t="n"/>
      <c r="AL98" s="12" t="n"/>
      <c r="AO98" s="15" t="n"/>
      <c r="AP98" s="15" t="n"/>
      <c r="AQ98" s="13" t="n"/>
      <c r="AR98" s="17" t="n"/>
      <c r="AS98" s="14" t="n"/>
    </row>
    <row r="99">
      <c r="A99" s="12" t="n"/>
      <c r="B99" s="12" t="n"/>
      <c r="C99" s="12" t="n"/>
      <c r="G99" s="14" t="n"/>
      <c r="H99" s="14" t="n"/>
      <c r="I99" s="14" t="n"/>
      <c r="J99" s="15" t="n"/>
      <c r="K99" s="16" t="n"/>
      <c r="L99" s="16" t="n"/>
      <c r="M99" s="15" t="n"/>
      <c r="N99" s="15" t="n"/>
      <c r="P99" s="15" t="n"/>
      <c r="Q99" s="15" t="n"/>
      <c r="R99" s="15" t="n"/>
      <c r="S99" s="15" t="n"/>
      <c r="T99" s="15" t="n"/>
      <c r="U99" s="15" t="n"/>
      <c r="V99" s="17" t="n"/>
      <c r="W99" s="16" t="n"/>
      <c r="Z99" s="16" t="n"/>
      <c r="AD99" s="14" t="n"/>
      <c r="AE99" s="14" t="n"/>
      <c r="AL99" s="12" t="n"/>
      <c r="AO99" s="15" t="n"/>
      <c r="AP99" s="15" t="n"/>
      <c r="AQ99" s="13" t="n"/>
      <c r="AR99" s="17" t="n"/>
      <c r="AS99" s="14" t="n"/>
    </row>
    <row r="100">
      <c r="A100" s="12" t="n"/>
      <c r="B100" s="12" t="n"/>
      <c r="C100" s="12" t="n"/>
      <c r="G100" s="14" t="n"/>
      <c r="H100" s="14" t="n"/>
      <c r="I100" s="14" t="n"/>
      <c r="J100" s="15" t="n"/>
      <c r="K100" s="16" t="n"/>
      <c r="L100" s="16" t="n"/>
      <c r="M100" s="15" t="n"/>
      <c r="N100" s="15" t="n"/>
      <c r="P100" s="15" t="n"/>
      <c r="Q100" s="15" t="n"/>
      <c r="R100" s="15" t="n"/>
      <c r="S100" s="15" t="n"/>
      <c r="T100" s="15" t="n"/>
      <c r="U100" s="15" t="n"/>
      <c r="V100" s="17" t="n"/>
      <c r="W100" s="16" t="n"/>
      <c r="Z100" s="16" t="n"/>
      <c r="AD100" s="14" t="n"/>
      <c r="AE100" s="14" t="n"/>
      <c r="AL100" s="12" t="n"/>
      <c r="AO100" s="15" t="n"/>
      <c r="AP100" s="15" t="n"/>
      <c r="AQ100" s="13" t="n"/>
      <c r="AR100" s="17" t="n"/>
      <c r="AS100" s="14" t="n"/>
    </row>
    <row r="101">
      <c r="A101" s="12" t="n"/>
      <c r="B101" s="12" t="n"/>
      <c r="C101" s="12" t="n"/>
      <c r="G101" s="14" t="n"/>
      <c r="H101" s="14" t="n"/>
      <c r="I101" s="14" t="n"/>
      <c r="J101" s="15" t="n"/>
      <c r="K101" s="16" t="n"/>
      <c r="L101" s="16" t="n"/>
      <c r="M101" s="15" t="n"/>
      <c r="N101" s="15" t="n"/>
      <c r="P101" s="15" t="n"/>
      <c r="Q101" s="15" t="n"/>
      <c r="R101" s="15" t="n"/>
      <c r="S101" s="15" t="n"/>
      <c r="T101" s="15" t="n"/>
      <c r="U101" s="15" t="n"/>
      <c r="V101" s="17" t="n"/>
      <c r="W101" s="16" t="n"/>
      <c r="Z101" s="16" t="n"/>
      <c r="AD101" s="14" t="n"/>
      <c r="AE101" s="14" t="n"/>
      <c r="AL101" s="12" t="n"/>
      <c r="AO101" s="15" t="n"/>
      <c r="AP101" s="15" t="n"/>
      <c r="AQ101" s="13" t="n"/>
      <c r="AR101" s="17" t="n"/>
      <c r="AS101" s="14" t="n"/>
    </row>
    <row r="102">
      <c r="A102" s="12" t="n"/>
      <c r="B102" s="12" t="n"/>
      <c r="C102" s="12" t="n"/>
      <c r="G102" s="14" t="n"/>
      <c r="H102" s="14" t="n"/>
      <c r="I102" s="14" t="n"/>
      <c r="J102" s="15" t="n"/>
      <c r="K102" s="16" t="n"/>
      <c r="L102" s="16" t="n"/>
      <c r="M102" s="15" t="n"/>
      <c r="N102" s="15" t="n"/>
      <c r="P102" s="15" t="n"/>
      <c r="Q102" s="15" t="n"/>
      <c r="R102" s="15" t="n"/>
      <c r="S102" s="15" t="n"/>
      <c r="T102" s="15" t="n"/>
      <c r="U102" s="15" t="n"/>
      <c r="V102" s="17" t="n"/>
      <c r="W102" s="16" t="n"/>
      <c r="Z102" s="16" t="n"/>
      <c r="AD102" s="14" t="n"/>
      <c r="AE102" s="14" t="n"/>
      <c r="AL102" s="12" t="n"/>
      <c r="AO102" s="15" t="n"/>
      <c r="AP102" s="15" t="n"/>
      <c r="AQ102" s="13" t="n"/>
      <c r="AR102" s="17" t="n"/>
      <c r="AS102" s="14" t="n"/>
    </row>
    <row r="103">
      <c r="A103" s="12" t="n"/>
      <c r="B103" s="12" t="n"/>
      <c r="C103" s="12" t="n"/>
      <c r="G103" s="14" t="n"/>
      <c r="H103" s="14" t="n"/>
      <c r="I103" s="14" t="n"/>
      <c r="J103" s="15" t="n"/>
      <c r="K103" s="16" t="n"/>
      <c r="L103" s="16" t="n"/>
      <c r="M103" s="15" t="n"/>
      <c r="N103" s="15" t="n"/>
      <c r="P103" s="15" t="n"/>
      <c r="Q103" s="15" t="n"/>
      <c r="R103" s="15" t="n"/>
      <c r="S103" s="15" t="n"/>
      <c r="T103" s="15" t="n"/>
      <c r="U103" s="15" t="n"/>
      <c r="V103" s="17" t="n"/>
      <c r="W103" s="16" t="n"/>
      <c r="Z103" s="16" t="n"/>
      <c r="AD103" s="14" t="n"/>
      <c r="AE103" s="14" t="n"/>
      <c r="AL103" s="12" t="n"/>
      <c r="AO103" s="15" t="n"/>
      <c r="AP103" s="15" t="n"/>
      <c r="AQ103" s="13" t="n"/>
      <c r="AR103" s="17" t="n"/>
      <c r="AS103" s="14" t="n"/>
    </row>
    <row r="104">
      <c r="A104" s="12" t="n"/>
      <c r="B104" s="12" t="n"/>
      <c r="C104" s="12" t="n"/>
      <c r="G104" s="14" t="n"/>
      <c r="H104" s="14" t="n"/>
      <c r="I104" s="14" t="n"/>
      <c r="J104" s="15" t="n"/>
      <c r="K104" s="16" t="n"/>
      <c r="L104" s="16" t="n"/>
      <c r="M104" s="15" t="n"/>
      <c r="N104" s="15" t="n"/>
      <c r="P104" s="15" t="n"/>
      <c r="Q104" s="15" t="n"/>
      <c r="R104" s="15" t="n"/>
      <c r="S104" s="15" t="n"/>
      <c r="T104" s="15" t="n"/>
      <c r="U104" s="15" t="n"/>
      <c r="V104" s="17" t="n"/>
      <c r="W104" s="16" t="n"/>
      <c r="Z104" s="16" t="n"/>
      <c r="AD104" s="14" t="n"/>
      <c r="AE104" s="14" t="n"/>
      <c r="AL104" s="12" t="n"/>
      <c r="AO104" s="15" t="n"/>
      <c r="AP104" s="15" t="n"/>
      <c r="AQ104" s="13" t="n"/>
      <c r="AR104" s="17" t="n"/>
      <c r="AS104" s="14" t="n"/>
    </row>
    <row r="105">
      <c r="A105" s="12" t="n"/>
      <c r="B105" s="12" t="n"/>
      <c r="C105" s="12" t="n"/>
      <c r="G105" s="14" t="n"/>
      <c r="H105" s="14" t="n"/>
      <c r="I105" s="14" t="n"/>
      <c r="J105" s="15" t="n"/>
      <c r="K105" s="16" t="n"/>
      <c r="L105" s="16" t="n"/>
      <c r="M105" s="15" t="n"/>
      <c r="N105" s="15" t="n"/>
      <c r="P105" s="15" t="n"/>
      <c r="Q105" s="15" t="n"/>
      <c r="R105" s="15" t="n"/>
      <c r="S105" s="15" t="n"/>
      <c r="T105" s="15" t="n"/>
      <c r="U105" s="15" t="n"/>
      <c r="V105" s="17" t="n"/>
      <c r="W105" s="16" t="n"/>
      <c r="Z105" s="16" t="n"/>
      <c r="AD105" s="14" t="n"/>
      <c r="AE105" s="14" t="n"/>
      <c r="AL105" s="12" t="n"/>
      <c r="AO105" s="15" t="n"/>
      <c r="AP105" s="15" t="n"/>
      <c r="AQ105" s="13" t="n"/>
      <c r="AR105" s="17" t="n"/>
      <c r="AS105" s="14" t="n"/>
    </row>
    <row r="106">
      <c r="A106" s="12" t="n"/>
      <c r="B106" s="12" t="n"/>
      <c r="C106" s="12" t="n"/>
      <c r="G106" s="14" t="n"/>
      <c r="H106" s="14" t="n"/>
      <c r="I106" s="14" t="n"/>
      <c r="J106" s="15" t="n"/>
      <c r="K106" s="16" t="n"/>
      <c r="L106" s="16" t="n"/>
      <c r="M106" s="15" t="n"/>
      <c r="N106" s="15" t="n"/>
      <c r="P106" s="15" t="n"/>
      <c r="Q106" s="15" t="n"/>
      <c r="R106" s="15" t="n"/>
      <c r="S106" s="15" t="n"/>
      <c r="T106" s="15" t="n"/>
      <c r="U106" s="15" t="n"/>
      <c r="V106" s="17" t="n"/>
      <c r="W106" s="16" t="n"/>
      <c r="Z106" s="16" t="n"/>
      <c r="AD106" s="14" t="n"/>
      <c r="AE106" s="14" t="n"/>
      <c r="AL106" s="12" t="n"/>
      <c r="AO106" s="15" t="n"/>
      <c r="AP106" s="15" t="n"/>
      <c r="AQ106" s="13" t="n"/>
      <c r="AR106" s="17" t="n"/>
      <c r="AS106" s="14" t="n"/>
    </row>
    <row r="107">
      <c r="A107" s="12" t="n"/>
      <c r="B107" s="12" t="n"/>
      <c r="C107" s="12" t="n"/>
      <c r="G107" s="14" t="n"/>
      <c r="H107" s="14" t="n"/>
      <c r="I107" s="14" t="n"/>
      <c r="J107" s="15" t="n"/>
      <c r="K107" s="16" t="n"/>
      <c r="L107" s="16" t="n"/>
      <c r="M107" s="15" t="n"/>
      <c r="N107" s="15" t="n"/>
      <c r="P107" s="15" t="n"/>
      <c r="Q107" s="15" t="n"/>
      <c r="R107" s="15" t="n"/>
      <c r="S107" s="15" t="n"/>
      <c r="T107" s="15" t="n"/>
      <c r="U107" s="15" t="n"/>
      <c r="V107" s="17" t="n"/>
      <c r="W107" s="16" t="n"/>
      <c r="Z107" s="16" t="n"/>
      <c r="AD107" s="14" t="n"/>
      <c r="AE107" s="14" t="n"/>
      <c r="AL107" s="12" t="n"/>
      <c r="AO107" s="15" t="n"/>
      <c r="AP107" s="15" t="n"/>
      <c r="AQ107" s="13" t="n"/>
      <c r="AR107" s="17" t="n"/>
      <c r="AS107" s="14" t="n"/>
    </row>
    <row r="108">
      <c r="A108" s="12" t="n"/>
      <c r="B108" s="12" t="n"/>
      <c r="C108" s="12" t="n"/>
      <c r="G108" s="14" t="n"/>
      <c r="H108" s="14" t="n"/>
      <c r="I108" s="14" t="n"/>
      <c r="J108" s="15" t="n"/>
      <c r="K108" s="16" t="n"/>
      <c r="L108" s="16" t="n"/>
      <c r="M108" s="15" t="n"/>
      <c r="N108" s="15" t="n"/>
      <c r="P108" s="15" t="n"/>
      <c r="Q108" s="15" t="n"/>
      <c r="R108" s="15" t="n"/>
      <c r="S108" s="15" t="n"/>
      <c r="T108" s="15" t="n"/>
      <c r="U108" s="15" t="n"/>
      <c r="V108" s="17" t="n"/>
      <c r="W108" s="16" t="n"/>
      <c r="Z108" s="16" t="n"/>
      <c r="AD108" s="14" t="n"/>
      <c r="AE108" s="14" t="n"/>
      <c r="AL108" s="12" t="n"/>
      <c r="AO108" s="15" t="n"/>
      <c r="AP108" s="15" t="n"/>
      <c r="AQ108" s="13" t="n"/>
      <c r="AR108" s="17" t="n"/>
      <c r="AS108" s="14" t="n"/>
    </row>
    <row r="109">
      <c r="A109" s="12" t="n"/>
      <c r="B109" s="12" t="n"/>
      <c r="C109" s="12" t="n"/>
      <c r="G109" s="14" t="n"/>
      <c r="H109" s="14" t="n"/>
      <c r="I109" s="14" t="n"/>
      <c r="J109" s="15" t="n"/>
      <c r="K109" s="16" t="n"/>
      <c r="L109" s="16" t="n"/>
      <c r="M109" s="15" t="n"/>
      <c r="N109" s="15" t="n"/>
      <c r="P109" s="15" t="n"/>
      <c r="Q109" s="15" t="n"/>
      <c r="R109" s="15" t="n"/>
      <c r="S109" s="15" t="n"/>
      <c r="T109" s="15" t="n"/>
      <c r="U109" s="15" t="n"/>
      <c r="V109" s="17" t="n"/>
      <c r="W109" s="16" t="n"/>
      <c r="Z109" s="16" t="n"/>
      <c r="AD109" s="14" t="n"/>
      <c r="AE109" s="14" t="n"/>
      <c r="AL109" s="12" t="n"/>
      <c r="AO109" s="15" t="n"/>
      <c r="AP109" s="15" t="n"/>
      <c r="AQ109" s="13" t="n"/>
      <c r="AR109" s="17" t="n"/>
      <c r="AS109" s="14" t="n"/>
    </row>
    <row r="110">
      <c r="A110" s="12" t="n"/>
      <c r="B110" s="12" t="n"/>
      <c r="C110" s="12" t="n"/>
      <c r="G110" s="14" t="n"/>
      <c r="H110" s="14" t="n"/>
      <c r="I110" s="14" t="n"/>
      <c r="J110" s="15" t="n"/>
      <c r="K110" s="16" t="n"/>
      <c r="L110" s="16" t="n"/>
      <c r="M110" s="15" t="n"/>
      <c r="N110" s="15" t="n"/>
      <c r="P110" s="15" t="n"/>
      <c r="Q110" s="15" t="n"/>
      <c r="R110" s="15" t="n"/>
      <c r="S110" s="15" t="n"/>
      <c r="T110" s="15" t="n"/>
      <c r="U110" s="15" t="n"/>
      <c r="V110" s="17" t="n"/>
      <c r="W110" s="16" t="n"/>
      <c r="Z110" s="16" t="n"/>
      <c r="AD110" s="14" t="n"/>
      <c r="AE110" s="14" t="n"/>
      <c r="AL110" s="12" t="n"/>
      <c r="AO110" s="15" t="n"/>
      <c r="AP110" s="15" t="n"/>
      <c r="AQ110" s="13" t="n"/>
      <c r="AR110" s="17" t="n"/>
      <c r="AS110" s="14" t="n"/>
    </row>
    <row r="111">
      <c r="A111" s="12" t="n"/>
      <c r="B111" s="12" t="n"/>
      <c r="C111" s="12" t="n"/>
      <c r="G111" s="14" t="n"/>
      <c r="H111" s="14" t="n"/>
      <c r="I111" s="14" t="n"/>
      <c r="J111" s="15" t="n"/>
      <c r="K111" s="16" t="n"/>
      <c r="L111" s="16" t="n"/>
      <c r="M111" s="15" t="n"/>
      <c r="N111" s="15" t="n"/>
      <c r="P111" s="15" t="n"/>
      <c r="Q111" s="15" t="n"/>
      <c r="R111" s="15" t="n"/>
      <c r="S111" s="15" t="n"/>
      <c r="T111" s="15" t="n"/>
      <c r="U111" s="15" t="n"/>
      <c r="V111" s="17" t="n"/>
      <c r="W111" s="16" t="n"/>
      <c r="Z111" s="16" t="n"/>
      <c r="AD111" s="14" t="n"/>
      <c r="AE111" s="14" t="n"/>
      <c r="AL111" s="12" t="n"/>
      <c r="AO111" s="15" t="n"/>
      <c r="AP111" s="15" t="n"/>
      <c r="AQ111" s="13" t="n"/>
      <c r="AR111" s="17" t="n"/>
      <c r="AS111" s="14" t="n"/>
    </row>
    <row r="112">
      <c r="A112" s="12" t="n"/>
      <c r="B112" s="12" t="n"/>
      <c r="C112" s="12" t="n"/>
      <c r="G112" s="14" t="n"/>
      <c r="H112" s="14" t="n"/>
      <c r="I112" s="14" t="n"/>
      <c r="J112" s="15" t="n"/>
      <c r="K112" s="16" t="n"/>
      <c r="L112" s="16" t="n"/>
      <c r="M112" s="15" t="n"/>
      <c r="N112" s="15" t="n"/>
      <c r="P112" s="15" t="n"/>
      <c r="Q112" s="15" t="n"/>
      <c r="R112" s="15" t="n"/>
      <c r="S112" s="15" t="n"/>
      <c r="T112" s="15" t="n"/>
      <c r="U112" s="15" t="n"/>
      <c r="V112" s="17" t="n"/>
      <c r="W112" s="16" t="n"/>
      <c r="Z112" s="16" t="n"/>
      <c r="AD112" s="14" t="n"/>
      <c r="AE112" s="14" t="n"/>
      <c r="AL112" s="12" t="n"/>
      <c r="AO112" s="15" t="n"/>
      <c r="AP112" s="15" t="n"/>
      <c r="AQ112" s="13" t="n"/>
      <c r="AR112" s="17" t="n"/>
      <c r="AS112" s="14" t="n"/>
    </row>
    <row r="113">
      <c r="A113" s="12" t="n"/>
      <c r="B113" s="12" t="n"/>
      <c r="C113" s="12" t="n"/>
      <c r="G113" s="14" t="n"/>
      <c r="H113" s="14" t="n"/>
      <c r="I113" s="14" t="n"/>
      <c r="J113" s="15" t="n"/>
      <c r="K113" s="16" t="n"/>
      <c r="L113" s="16" t="n"/>
      <c r="M113" s="15" t="n"/>
      <c r="N113" s="15" t="n"/>
      <c r="P113" s="15" t="n"/>
      <c r="Q113" s="15" t="n"/>
      <c r="R113" s="15" t="n"/>
      <c r="S113" s="15" t="n"/>
      <c r="T113" s="15" t="n"/>
      <c r="U113" s="15" t="n"/>
      <c r="V113" s="17" t="n"/>
      <c r="W113" s="16" t="n"/>
      <c r="Z113" s="16" t="n"/>
      <c r="AD113" s="14" t="n"/>
      <c r="AE113" s="14" t="n"/>
      <c r="AL113" s="12" t="n"/>
      <c r="AO113" s="15" t="n"/>
      <c r="AP113" s="15" t="n"/>
      <c r="AQ113" s="13" t="n"/>
      <c r="AR113" s="17" t="n"/>
      <c r="AS113" s="14" t="n"/>
    </row>
    <row r="114">
      <c r="A114" s="12" t="n"/>
      <c r="B114" s="12" t="n"/>
      <c r="C114" s="12" t="n"/>
      <c r="G114" s="14" t="n"/>
      <c r="H114" s="14" t="n"/>
      <c r="I114" s="14" t="n"/>
      <c r="J114" s="15" t="n"/>
      <c r="K114" s="16" t="n"/>
      <c r="L114" s="16" t="n"/>
      <c r="M114" s="15" t="n"/>
      <c r="N114" s="15" t="n"/>
      <c r="P114" s="15" t="n"/>
      <c r="Q114" s="15" t="n"/>
      <c r="R114" s="15" t="n"/>
      <c r="S114" s="15" t="n"/>
      <c r="T114" s="15" t="n"/>
      <c r="U114" s="15" t="n"/>
      <c r="V114" s="17" t="n"/>
      <c r="W114" s="16" t="n"/>
      <c r="Z114" s="16" t="n"/>
      <c r="AD114" s="14" t="n"/>
      <c r="AE114" s="14" t="n"/>
      <c r="AL114" s="12" t="n"/>
      <c r="AO114" s="15" t="n"/>
      <c r="AP114" s="15" t="n"/>
      <c r="AQ114" s="13" t="n"/>
      <c r="AR114" s="17" t="n"/>
      <c r="AS114" s="14" t="n"/>
    </row>
    <row r="115">
      <c r="A115" s="12" t="n"/>
      <c r="B115" s="12" t="n"/>
      <c r="C115" s="12" t="n"/>
      <c r="G115" s="14" t="n"/>
      <c r="H115" s="14" t="n"/>
      <c r="I115" s="14" t="n"/>
      <c r="J115" s="15" t="n"/>
      <c r="K115" s="16" t="n"/>
      <c r="L115" s="16" t="n"/>
      <c r="M115" s="15" t="n"/>
      <c r="N115" s="15" t="n"/>
      <c r="P115" s="15" t="n"/>
      <c r="Q115" s="15" t="n"/>
      <c r="R115" s="15" t="n"/>
      <c r="S115" s="15" t="n"/>
      <c r="T115" s="15" t="n"/>
      <c r="U115" s="15" t="n"/>
      <c r="V115" s="17" t="n"/>
      <c r="W115" s="16" t="n"/>
      <c r="Z115" s="16" t="n"/>
      <c r="AD115" s="14" t="n"/>
      <c r="AE115" s="14" t="n"/>
      <c r="AL115" s="12" t="n"/>
      <c r="AO115" s="15" t="n"/>
      <c r="AP115" s="15" t="n"/>
      <c r="AQ115" s="13" t="n"/>
      <c r="AR115" s="17" t="n"/>
      <c r="AS115" s="14" t="n"/>
    </row>
    <row r="116">
      <c r="A116" s="12" t="n"/>
      <c r="B116" s="12" t="n"/>
      <c r="C116" s="12" t="n"/>
      <c r="G116" s="14" t="n"/>
      <c r="H116" s="14" t="n"/>
      <c r="I116" s="14" t="n"/>
      <c r="J116" s="15" t="n"/>
      <c r="K116" s="16" t="n"/>
      <c r="L116" s="16" t="n"/>
      <c r="M116" s="15" t="n"/>
      <c r="N116" s="15" t="n"/>
      <c r="P116" s="15" t="n"/>
      <c r="Q116" s="15" t="n"/>
      <c r="R116" s="15" t="n"/>
      <c r="S116" s="15" t="n"/>
      <c r="T116" s="15" t="n"/>
      <c r="U116" s="15" t="n"/>
      <c r="V116" s="17" t="n"/>
      <c r="W116" s="16" t="n"/>
      <c r="Z116" s="16" t="n"/>
      <c r="AD116" s="14" t="n"/>
      <c r="AE116" s="14" t="n"/>
      <c r="AL116" s="12" t="n"/>
      <c r="AO116" s="15" t="n"/>
      <c r="AP116" s="15" t="n"/>
      <c r="AQ116" s="13" t="n"/>
      <c r="AR116" s="17" t="n"/>
      <c r="AS116" s="14" t="n"/>
    </row>
    <row r="117">
      <c r="A117" s="12" t="n"/>
      <c r="B117" s="12" t="n"/>
      <c r="C117" s="12" t="n"/>
      <c r="G117" s="14" t="n"/>
      <c r="H117" s="14" t="n"/>
      <c r="I117" s="14" t="n"/>
      <c r="J117" s="15" t="n"/>
      <c r="K117" s="16" t="n"/>
      <c r="L117" s="16" t="n"/>
      <c r="M117" s="15" t="n"/>
      <c r="N117" s="15" t="n"/>
      <c r="P117" s="15" t="n"/>
      <c r="Q117" s="15" t="n"/>
      <c r="R117" s="15" t="n"/>
      <c r="S117" s="15" t="n"/>
      <c r="T117" s="15" t="n"/>
      <c r="U117" s="15" t="n"/>
      <c r="V117" s="17" t="n"/>
      <c r="W117" s="16" t="n"/>
      <c r="Z117" s="16" t="n"/>
      <c r="AD117" s="14" t="n"/>
      <c r="AE117" s="14" t="n"/>
      <c r="AL117" s="12" t="n"/>
      <c r="AO117" s="15" t="n"/>
      <c r="AP117" s="15" t="n"/>
      <c r="AQ117" s="13" t="n"/>
      <c r="AR117" s="17" t="n"/>
      <c r="AS117" s="14" t="n"/>
    </row>
    <row r="118">
      <c r="A118" s="12" t="n"/>
      <c r="B118" s="12" t="n"/>
      <c r="C118" s="12" t="n"/>
      <c r="G118" s="14" t="n"/>
      <c r="H118" s="14" t="n"/>
      <c r="I118" s="14" t="n"/>
      <c r="J118" s="15" t="n"/>
      <c r="K118" s="16" t="n"/>
      <c r="L118" s="16" t="n"/>
      <c r="M118" s="15" t="n"/>
      <c r="N118" s="15" t="n"/>
      <c r="P118" s="15" t="n"/>
      <c r="Q118" s="15" t="n"/>
      <c r="R118" s="15" t="n"/>
      <c r="S118" s="15" t="n"/>
      <c r="T118" s="15" t="n"/>
      <c r="U118" s="15" t="n"/>
      <c r="V118" s="17" t="n"/>
      <c r="W118" s="16" t="n"/>
      <c r="Z118" s="16" t="n"/>
      <c r="AD118" s="14" t="n"/>
      <c r="AE118" s="14" t="n"/>
      <c r="AL118" s="12" t="n"/>
      <c r="AO118" s="15" t="n"/>
      <c r="AP118" s="15" t="n"/>
      <c r="AQ118" s="13" t="n"/>
      <c r="AR118" s="17" t="n"/>
      <c r="AS118" s="14" t="n"/>
    </row>
    <row r="119">
      <c r="A119" s="12" t="n"/>
      <c r="B119" s="12" t="n"/>
      <c r="C119" s="12" t="n"/>
      <c r="G119" s="14" t="n"/>
      <c r="H119" s="14" t="n"/>
      <c r="I119" s="14" t="n"/>
      <c r="J119" s="15" t="n"/>
      <c r="K119" s="16" t="n"/>
      <c r="L119" s="16" t="n"/>
      <c r="M119" s="15" t="n"/>
      <c r="N119" s="15" t="n"/>
      <c r="P119" s="15" t="n"/>
      <c r="Q119" s="15" t="n"/>
      <c r="R119" s="15" t="n"/>
      <c r="S119" s="15" t="n"/>
      <c r="T119" s="15" t="n"/>
      <c r="U119" s="15" t="n"/>
      <c r="V119" s="17" t="n"/>
      <c r="W119" s="16" t="n"/>
      <c r="Z119" s="16" t="n"/>
      <c r="AD119" s="14" t="n"/>
      <c r="AE119" s="14" t="n"/>
      <c r="AL119" s="12" t="n"/>
      <c r="AO119" s="15" t="n"/>
      <c r="AP119" s="15" t="n"/>
      <c r="AQ119" s="13" t="n"/>
      <c r="AR119" s="17" t="n"/>
      <c r="AS119" s="14" t="n"/>
    </row>
    <row r="120">
      <c r="A120" s="12" t="n"/>
      <c r="B120" s="12" t="n"/>
      <c r="C120" s="12" t="n"/>
      <c r="G120" s="14" t="n"/>
      <c r="H120" s="14" t="n"/>
      <c r="I120" s="14" t="n"/>
      <c r="J120" s="15" t="n"/>
      <c r="K120" s="16" t="n"/>
      <c r="L120" s="16" t="n"/>
      <c r="M120" s="15" t="n"/>
      <c r="N120" s="15" t="n"/>
      <c r="P120" s="15" t="n"/>
      <c r="Q120" s="15" t="n"/>
      <c r="R120" s="15" t="n"/>
      <c r="S120" s="15" t="n"/>
      <c r="T120" s="15" t="n"/>
      <c r="U120" s="15" t="n"/>
      <c r="V120" s="17" t="n"/>
      <c r="W120" s="16" t="n"/>
      <c r="Z120" s="16" t="n"/>
      <c r="AD120" s="14" t="n"/>
      <c r="AE120" s="14" t="n"/>
      <c r="AL120" s="12" t="n"/>
      <c r="AO120" s="15" t="n"/>
      <c r="AP120" s="15" t="n"/>
      <c r="AQ120" s="13" t="n"/>
      <c r="AR120" s="17" t="n"/>
      <c r="AS120" s="14" t="n"/>
    </row>
    <row r="121">
      <c r="A121" s="12" t="n"/>
      <c r="B121" s="12" t="n"/>
      <c r="C121" s="12" t="n"/>
      <c r="G121" s="14" t="n"/>
      <c r="H121" s="14" t="n"/>
      <c r="I121" s="14" t="n"/>
      <c r="J121" s="15" t="n"/>
      <c r="K121" s="16" t="n"/>
      <c r="L121" s="16" t="n"/>
      <c r="M121" s="15" t="n"/>
      <c r="N121" s="15" t="n"/>
      <c r="P121" s="15" t="n"/>
      <c r="Q121" s="15" t="n"/>
      <c r="R121" s="15" t="n"/>
      <c r="S121" s="15" t="n"/>
      <c r="T121" s="15" t="n"/>
      <c r="U121" s="15" t="n"/>
      <c r="V121" s="17" t="n"/>
      <c r="W121" s="16" t="n"/>
      <c r="Z121" s="16" t="n"/>
      <c r="AD121" s="14" t="n"/>
      <c r="AE121" s="14" t="n"/>
      <c r="AL121" s="12" t="n"/>
      <c r="AO121" s="15" t="n"/>
      <c r="AP121" s="15" t="n"/>
      <c r="AQ121" s="13" t="n"/>
      <c r="AR121" s="17" t="n"/>
      <c r="AS121" s="14" t="n"/>
    </row>
    <row r="122">
      <c r="A122" s="12" t="n"/>
      <c r="B122" s="12" t="n"/>
      <c r="C122" s="12" t="n"/>
      <c r="G122" s="14" t="n"/>
      <c r="H122" s="14" t="n"/>
      <c r="I122" s="14" t="n"/>
      <c r="J122" s="15" t="n"/>
      <c r="K122" s="16" t="n"/>
      <c r="L122" s="16" t="n"/>
      <c r="M122" s="15" t="n"/>
      <c r="N122" s="15" t="n"/>
      <c r="P122" s="15" t="n"/>
      <c r="Q122" s="15" t="n"/>
      <c r="R122" s="15" t="n"/>
      <c r="S122" s="15" t="n"/>
      <c r="T122" s="15" t="n"/>
      <c r="U122" s="15" t="n"/>
      <c r="V122" s="17" t="n"/>
      <c r="W122" s="16" t="n"/>
      <c r="Z122" s="16" t="n"/>
      <c r="AD122" s="14" t="n"/>
      <c r="AE122" s="14" t="n"/>
      <c r="AL122" s="12" t="n"/>
      <c r="AO122" s="15" t="n"/>
      <c r="AP122" s="15" t="n"/>
      <c r="AQ122" s="13" t="n"/>
      <c r="AR122" s="17" t="n"/>
      <c r="AS122" s="14" t="n"/>
    </row>
    <row r="123">
      <c r="A123" s="12" t="n"/>
      <c r="B123" s="12" t="n"/>
      <c r="C123" s="12" t="n"/>
      <c r="G123" s="14" t="n"/>
      <c r="H123" s="14" t="n"/>
      <c r="I123" s="14" t="n"/>
      <c r="J123" s="15" t="n"/>
      <c r="K123" s="16" t="n"/>
      <c r="L123" s="16" t="n"/>
      <c r="M123" s="15" t="n"/>
      <c r="N123" s="15" t="n"/>
      <c r="P123" s="15" t="n"/>
      <c r="Q123" s="15" t="n"/>
      <c r="R123" s="15" t="n"/>
      <c r="S123" s="15" t="n"/>
      <c r="T123" s="15" t="n"/>
      <c r="U123" s="15" t="n"/>
      <c r="V123" s="17" t="n"/>
      <c r="W123" s="16" t="n"/>
      <c r="Z123" s="16" t="n"/>
      <c r="AD123" s="14" t="n"/>
      <c r="AE123" s="14" t="n"/>
      <c r="AL123" s="12" t="n"/>
      <c r="AO123" s="15" t="n"/>
      <c r="AP123" s="15" t="n"/>
      <c r="AQ123" s="13" t="n"/>
      <c r="AR123" s="17" t="n"/>
      <c r="AS123" s="14" t="n"/>
    </row>
    <row r="124">
      <c r="A124" s="12" t="n"/>
      <c r="B124" s="12" t="n"/>
      <c r="C124" s="12" t="n"/>
      <c r="G124" s="14" t="n"/>
      <c r="H124" s="14" t="n"/>
      <c r="I124" s="14" t="n"/>
      <c r="J124" s="15" t="n"/>
      <c r="K124" s="16" t="n"/>
      <c r="L124" s="16" t="n"/>
      <c r="M124" s="15" t="n"/>
      <c r="N124" s="15" t="n"/>
      <c r="P124" s="15" t="n"/>
      <c r="Q124" s="15" t="n"/>
      <c r="R124" s="15" t="n"/>
      <c r="S124" s="15" t="n"/>
      <c r="T124" s="15" t="n"/>
      <c r="U124" s="15" t="n"/>
      <c r="V124" s="17" t="n"/>
      <c r="W124" s="16" t="n"/>
      <c r="Z124" s="16" t="n"/>
      <c r="AD124" s="14" t="n"/>
      <c r="AE124" s="14" t="n"/>
      <c r="AL124" s="12" t="n"/>
      <c r="AO124" s="15" t="n"/>
      <c r="AP124" s="15" t="n"/>
      <c r="AQ124" s="13" t="n"/>
      <c r="AR124" s="17" t="n"/>
      <c r="AS124" s="14" t="n"/>
    </row>
    <row r="125">
      <c r="A125" s="12" t="n"/>
      <c r="B125" s="12" t="n"/>
      <c r="C125" s="12" t="n"/>
      <c r="G125" s="14" t="n"/>
      <c r="H125" s="14" t="n"/>
      <c r="I125" s="14" t="n"/>
      <c r="J125" s="15" t="n"/>
      <c r="K125" s="16" t="n"/>
      <c r="L125" s="16" t="n"/>
      <c r="M125" s="15" t="n"/>
      <c r="N125" s="15" t="n"/>
      <c r="P125" s="15" t="n"/>
      <c r="Q125" s="15" t="n"/>
      <c r="R125" s="15" t="n"/>
      <c r="S125" s="15" t="n"/>
      <c r="T125" s="15" t="n"/>
      <c r="U125" s="15" t="n"/>
      <c r="V125" s="17" t="n"/>
      <c r="W125" s="16" t="n"/>
      <c r="Z125" s="16" t="n"/>
      <c r="AD125" s="14" t="n"/>
      <c r="AE125" s="14" t="n"/>
      <c r="AL125" s="12" t="n"/>
      <c r="AO125" s="15" t="n"/>
      <c r="AP125" s="15" t="n"/>
      <c r="AQ125" s="13" t="n"/>
      <c r="AR125" s="17" t="n"/>
      <c r="AS125" s="14" t="n"/>
    </row>
    <row r="126">
      <c r="A126" s="12" t="n"/>
      <c r="B126" s="12" t="n"/>
      <c r="C126" s="12" t="n"/>
      <c r="G126" s="14" t="n"/>
      <c r="H126" s="14" t="n"/>
      <c r="I126" s="14" t="n"/>
      <c r="J126" s="15" t="n"/>
      <c r="K126" s="16" t="n"/>
      <c r="L126" s="16" t="n"/>
      <c r="M126" s="15" t="n"/>
      <c r="N126" s="15" t="n"/>
      <c r="P126" s="15" t="n"/>
      <c r="Q126" s="15" t="n"/>
      <c r="R126" s="15" t="n"/>
      <c r="S126" s="15" t="n"/>
      <c r="T126" s="15" t="n"/>
      <c r="U126" s="15" t="n"/>
      <c r="V126" s="17" t="n"/>
      <c r="W126" s="16" t="n"/>
      <c r="Z126" s="16" t="n"/>
      <c r="AD126" s="14" t="n"/>
      <c r="AE126" s="14" t="n"/>
      <c r="AL126" s="12" t="n"/>
      <c r="AO126" s="15" t="n"/>
      <c r="AP126" s="15" t="n"/>
      <c r="AQ126" s="13" t="n"/>
      <c r="AR126" s="17" t="n"/>
      <c r="AS126" s="14" t="n"/>
    </row>
    <row r="127">
      <c r="A127" s="12" t="n"/>
      <c r="B127" s="12" t="n"/>
      <c r="C127" s="12" t="n"/>
      <c r="G127" s="14" t="n"/>
      <c r="H127" s="14" t="n"/>
      <c r="I127" s="14" t="n"/>
      <c r="J127" s="15" t="n"/>
      <c r="K127" s="16" t="n"/>
      <c r="L127" s="16" t="n"/>
      <c r="M127" s="15" t="n"/>
      <c r="N127" s="15" t="n"/>
      <c r="P127" s="15" t="n"/>
      <c r="Q127" s="15" t="n"/>
      <c r="R127" s="15" t="n"/>
      <c r="S127" s="15" t="n"/>
      <c r="T127" s="15" t="n"/>
      <c r="U127" s="15" t="n"/>
      <c r="V127" s="17" t="n"/>
      <c r="W127" s="16" t="n"/>
      <c r="Z127" s="16" t="n"/>
      <c r="AD127" s="14" t="n"/>
      <c r="AE127" s="14" t="n"/>
      <c r="AL127" s="12" t="n"/>
      <c r="AO127" s="15" t="n"/>
      <c r="AP127" s="15" t="n"/>
      <c r="AQ127" s="13" t="n"/>
      <c r="AR127" s="17" t="n"/>
      <c r="AS127" s="14" t="n"/>
    </row>
    <row r="128">
      <c r="A128" s="12" t="n"/>
      <c r="B128" s="12" t="n"/>
      <c r="C128" s="12" t="n"/>
      <c r="G128" s="14" t="n"/>
      <c r="H128" s="14" t="n"/>
      <c r="I128" s="14" t="n"/>
      <c r="J128" s="15" t="n"/>
      <c r="K128" s="16" t="n"/>
      <c r="L128" s="16" t="n"/>
      <c r="M128" s="15" t="n"/>
      <c r="N128" s="15" t="n"/>
      <c r="P128" s="15" t="n"/>
      <c r="Q128" s="15" t="n"/>
      <c r="R128" s="15" t="n"/>
      <c r="S128" s="15" t="n"/>
      <c r="T128" s="15" t="n"/>
      <c r="U128" s="15" t="n"/>
      <c r="V128" s="17" t="n"/>
      <c r="W128" s="16" t="n"/>
      <c r="Z128" s="16" t="n"/>
      <c r="AD128" s="14" t="n"/>
      <c r="AE128" s="14" t="n"/>
      <c r="AL128" s="12" t="n"/>
      <c r="AO128" s="15" t="n"/>
      <c r="AP128" s="15" t="n"/>
      <c r="AQ128" s="13" t="n"/>
      <c r="AR128" s="17" t="n"/>
      <c r="AS128" s="14" t="n"/>
    </row>
    <row r="129">
      <c r="A129" s="12" t="n"/>
      <c r="B129" s="12" t="n"/>
      <c r="C129" s="12" t="n"/>
      <c r="G129" s="14" t="n"/>
      <c r="H129" s="14" t="n"/>
      <c r="I129" s="14" t="n"/>
      <c r="J129" s="15" t="n"/>
      <c r="K129" s="16" t="n"/>
      <c r="L129" s="16" t="n"/>
      <c r="M129" s="15" t="n"/>
      <c r="N129" s="15" t="n"/>
      <c r="P129" s="15" t="n"/>
      <c r="Q129" s="15" t="n"/>
      <c r="R129" s="15" t="n"/>
      <c r="S129" s="15" t="n"/>
      <c r="T129" s="15" t="n"/>
      <c r="U129" s="15" t="n"/>
      <c r="V129" s="17" t="n"/>
      <c r="W129" s="16" t="n"/>
      <c r="Z129" s="16" t="n"/>
      <c r="AD129" s="14" t="n"/>
      <c r="AE129" s="14" t="n"/>
      <c r="AL129" s="12" t="n"/>
      <c r="AO129" s="15" t="n"/>
      <c r="AP129" s="15" t="n"/>
      <c r="AQ129" s="13" t="n"/>
      <c r="AR129" s="17" t="n"/>
      <c r="AS129" s="14" t="n"/>
    </row>
    <row r="130">
      <c r="A130" s="12" t="n"/>
      <c r="B130" s="12" t="n"/>
      <c r="C130" s="12" t="n"/>
      <c r="G130" s="14" t="n"/>
      <c r="H130" s="14" t="n"/>
      <c r="I130" s="14" t="n"/>
      <c r="J130" s="15" t="n"/>
      <c r="K130" s="16" t="n"/>
      <c r="L130" s="16" t="n"/>
      <c r="M130" s="15" t="n"/>
      <c r="N130" s="15" t="n"/>
      <c r="P130" s="15" t="n"/>
      <c r="Q130" s="15" t="n"/>
      <c r="R130" s="15" t="n"/>
      <c r="S130" s="15" t="n"/>
      <c r="T130" s="15" t="n"/>
      <c r="U130" s="15" t="n"/>
      <c r="V130" s="17" t="n"/>
      <c r="W130" s="16" t="n"/>
      <c r="Z130" s="16" t="n"/>
      <c r="AD130" s="14" t="n"/>
      <c r="AE130" s="14" t="n"/>
      <c r="AL130" s="12" t="n"/>
      <c r="AO130" s="15" t="n"/>
      <c r="AP130" s="15" t="n"/>
      <c r="AQ130" s="13" t="n"/>
      <c r="AR130" s="17" t="n"/>
      <c r="AS130" s="14" t="n"/>
    </row>
    <row r="131">
      <c r="A131" s="12" t="n"/>
      <c r="B131" s="12" t="n"/>
      <c r="C131" s="12" t="n"/>
      <c r="G131" s="14" t="n"/>
      <c r="H131" s="14" t="n"/>
      <c r="I131" s="14" t="n"/>
      <c r="J131" s="15" t="n"/>
      <c r="K131" s="16" t="n"/>
      <c r="L131" s="16" t="n"/>
      <c r="M131" s="15" t="n"/>
      <c r="N131" s="15" t="n"/>
      <c r="P131" s="15" t="n"/>
      <c r="Q131" s="15" t="n"/>
      <c r="R131" s="15" t="n"/>
      <c r="S131" s="15" t="n"/>
      <c r="T131" s="15" t="n"/>
      <c r="U131" s="15" t="n"/>
      <c r="V131" s="17" t="n"/>
      <c r="W131" s="16" t="n"/>
      <c r="Z131" s="16" t="n"/>
      <c r="AD131" s="14" t="n"/>
      <c r="AE131" s="14" t="n"/>
      <c r="AL131" s="12" t="n"/>
      <c r="AO131" s="15" t="n"/>
      <c r="AP131" s="15" t="n"/>
      <c r="AQ131" s="13" t="n"/>
      <c r="AR131" s="17" t="n"/>
      <c r="AS131" s="14" t="n"/>
    </row>
    <row r="132">
      <c r="A132" s="12" t="n"/>
      <c r="B132" s="12" t="n"/>
      <c r="C132" s="12" t="n"/>
      <c r="G132" s="14" t="n"/>
      <c r="H132" s="14" t="n"/>
      <c r="I132" s="14" t="n"/>
      <c r="J132" s="15" t="n"/>
      <c r="K132" s="16" t="n"/>
      <c r="L132" s="16" t="n"/>
      <c r="M132" s="15" t="n"/>
      <c r="N132" s="15" t="n"/>
      <c r="P132" s="15" t="n"/>
      <c r="Q132" s="15" t="n"/>
      <c r="R132" s="15" t="n"/>
      <c r="S132" s="15" t="n"/>
      <c r="T132" s="15" t="n"/>
      <c r="U132" s="15" t="n"/>
      <c r="V132" s="17" t="n"/>
      <c r="W132" s="16" t="n"/>
      <c r="Z132" s="16" t="n"/>
      <c r="AD132" s="14" t="n"/>
      <c r="AE132" s="14" t="n"/>
      <c r="AL132" s="12" t="n"/>
      <c r="AO132" s="15" t="n"/>
      <c r="AP132" s="15" t="n"/>
      <c r="AQ132" s="13" t="n"/>
      <c r="AR132" s="17" t="n"/>
      <c r="AS132" s="14" t="n"/>
    </row>
    <row r="133">
      <c r="A133" s="12" t="n"/>
      <c r="B133" s="12" t="n"/>
      <c r="C133" s="12" t="n"/>
      <c r="G133" s="14" t="n"/>
      <c r="H133" s="14" t="n"/>
      <c r="I133" s="14" t="n"/>
      <c r="J133" s="15" t="n"/>
      <c r="K133" s="16" t="n"/>
      <c r="L133" s="16" t="n"/>
      <c r="M133" s="15" t="n"/>
      <c r="N133" s="15" t="n"/>
      <c r="P133" s="15" t="n"/>
      <c r="Q133" s="15" t="n"/>
      <c r="R133" s="15" t="n"/>
      <c r="S133" s="15" t="n"/>
      <c r="T133" s="15" t="n"/>
      <c r="U133" s="15" t="n"/>
      <c r="V133" s="17" t="n"/>
      <c r="W133" s="16" t="n"/>
      <c r="Z133" s="16" t="n"/>
      <c r="AD133" s="14" t="n"/>
      <c r="AE133" s="14" t="n"/>
      <c r="AL133" s="12" t="n"/>
      <c r="AO133" s="15" t="n"/>
      <c r="AP133" s="15" t="n"/>
      <c r="AQ133" s="13" t="n"/>
      <c r="AR133" s="17" t="n"/>
      <c r="AS133" s="14" t="n"/>
    </row>
    <row r="134">
      <c r="A134" s="12" t="n"/>
      <c r="B134" s="12" t="n"/>
      <c r="C134" s="12" t="n"/>
      <c r="G134" s="14" t="n"/>
      <c r="H134" s="14" t="n"/>
      <c r="I134" s="14" t="n"/>
      <c r="J134" s="15" t="n"/>
      <c r="K134" s="16" t="n"/>
      <c r="L134" s="16" t="n"/>
      <c r="M134" s="15" t="n"/>
      <c r="N134" s="15" t="n"/>
      <c r="P134" s="15" t="n"/>
      <c r="Q134" s="15" t="n"/>
      <c r="R134" s="15" t="n"/>
      <c r="S134" s="15" t="n"/>
      <c r="T134" s="15" t="n"/>
      <c r="U134" s="15" t="n"/>
      <c r="V134" s="17" t="n"/>
      <c r="W134" s="16" t="n"/>
      <c r="Z134" s="16" t="n"/>
      <c r="AD134" s="14" t="n"/>
      <c r="AE134" s="14" t="n"/>
      <c r="AL134" s="12" t="n"/>
      <c r="AO134" s="15" t="n"/>
      <c r="AP134" s="15" t="n"/>
      <c r="AQ134" s="13" t="n"/>
      <c r="AR134" s="17" t="n"/>
      <c r="AS134" s="14" t="n"/>
    </row>
    <row r="135">
      <c r="A135" s="12" t="n"/>
      <c r="B135" s="12" t="n"/>
      <c r="C135" s="12" t="n"/>
      <c r="G135" s="14" t="n"/>
      <c r="H135" s="14" t="n"/>
      <c r="I135" s="14" t="n"/>
      <c r="J135" s="15" t="n"/>
      <c r="K135" s="16" t="n"/>
      <c r="L135" s="16" t="n"/>
      <c r="M135" s="15" t="n"/>
      <c r="N135" s="15" t="n"/>
      <c r="P135" s="15" t="n"/>
      <c r="Q135" s="15" t="n"/>
      <c r="R135" s="15" t="n"/>
      <c r="S135" s="15" t="n"/>
      <c r="T135" s="15" t="n"/>
      <c r="U135" s="15" t="n"/>
      <c r="V135" s="17" t="n"/>
      <c r="W135" s="16" t="n"/>
      <c r="Z135" s="16" t="n"/>
      <c r="AD135" s="14" t="n"/>
      <c r="AE135" s="14" t="n"/>
      <c r="AL135" s="12" t="n"/>
      <c r="AO135" s="15" t="n"/>
      <c r="AP135" s="15" t="n"/>
      <c r="AQ135" s="13" t="n"/>
      <c r="AR135" s="17" t="n"/>
      <c r="AS135" s="14" t="n"/>
    </row>
    <row r="136">
      <c r="A136" s="12" t="n"/>
      <c r="B136" s="12" t="n"/>
      <c r="C136" s="12" t="n"/>
      <c r="G136" s="14" t="n"/>
      <c r="H136" s="14" t="n"/>
      <c r="I136" s="14" t="n"/>
      <c r="J136" s="15" t="n"/>
      <c r="K136" s="16" t="n"/>
      <c r="L136" s="16" t="n"/>
      <c r="M136" s="15" t="n"/>
      <c r="N136" s="15" t="n"/>
      <c r="P136" s="15" t="n"/>
      <c r="Q136" s="15" t="n"/>
      <c r="R136" s="15" t="n"/>
      <c r="S136" s="15" t="n"/>
      <c r="T136" s="15" t="n"/>
      <c r="U136" s="15" t="n"/>
      <c r="V136" s="17" t="n"/>
      <c r="W136" s="16" t="n"/>
      <c r="Z136" s="16" t="n"/>
      <c r="AD136" s="14" t="n"/>
      <c r="AE136" s="14" t="n"/>
      <c r="AL136" s="12" t="n"/>
      <c r="AO136" s="15" t="n"/>
      <c r="AP136" s="15" t="n"/>
      <c r="AQ136" s="13" t="n"/>
      <c r="AR136" s="17" t="n"/>
      <c r="AS136" s="14" t="n"/>
    </row>
    <row r="137">
      <c r="A137" s="12" t="n"/>
      <c r="B137" s="12" t="n"/>
      <c r="C137" s="12" t="n"/>
      <c r="G137" s="14" t="n"/>
      <c r="H137" s="14" t="n"/>
      <c r="I137" s="14" t="n"/>
      <c r="J137" s="15" t="n"/>
      <c r="K137" s="16" t="n"/>
      <c r="L137" s="16" t="n"/>
      <c r="M137" s="15" t="n"/>
      <c r="N137" s="15" t="n"/>
      <c r="P137" s="15" t="n"/>
      <c r="Q137" s="15" t="n"/>
      <c r="R137" s="15" t="n"/>
      <c r="S137" s="15" t="n"/>
      <c r="T137" s="15" t="n"/>
      <c r="U137" s="15" t="n"/>
      <c r="V137" s="17" t="n"/>
      <c r="W137" s="16" t="n"/>
      <c r="Z137" s="16" t="n"/>
      <c r="AD137" s="14" t="n"/>
      <c r="AE137" s="14" t="n"/>
      <c r="AL137" s="12" t="n"/>
      <c r="AO137" s="15" t="n"/>
      <c r="AP137" s="15" t="n"/>
      <c r="AQ137" s="13" t="n"/>
      <c r="AR137" s="17" t="n"/>
      <c r="AS137" s="14" t="n"/>
    </row>
    <row r="138">
      <c r="A138" s="12" t="n"/>
      <c r="B138" s="12" t="n"/>
      <c r="C138" s="12" t="n"/>
      <c r="G138" s="14" t="n"/>
      <c r="H138" s="14" t="n"/>
      <c r="I138" s="14" t="n"/>
      <c r="J138" s="15" t="n"/>
      <c r="K138" s="16" t="n"/>
      <c r="L138" s="16" t="n"/>
      <c r="M138" s="15" t="n"/>
      <c r="N138" s="15" t="n"/>
      <c r="P138" s="15" t="n"/>
      <c r="Q138" s="15" t="n"/>
      <c r="R138" s="15" t="n"/>
      <c r="S138" s="15" t="n"/>
      <c r="T138" s="15" t="n"/>
      <c r="U138" s="15" t="n"/>
      <c r="V138" s="17" t="n"/>
      <c r="W138" s="16" t="n"/>
      <c r="Z138" s="16" t="n"/>
      <c r="AD138" s="14" t="n"/>
      <c r="AE138" s="14" t="n"/>
      <c r="AL138" s="12" t="n"/>
      <c r="AO138" s="15" t="n"/>
      <c r="AP138" s="15" t="n"/>
      <c r="AQ138" s="13" t="n"/>
      <c r="AR138" s="17" t="n"/>
      <c r="AS138" s="14" t="n"/>
    </row>
    <row r="139">
      <c r="A139" s="12" t="n"/>
      <c r="B139" s="12" t="n"/>
      <c r="C139" s="12" t="n"/>
      <c r="G139" s="14" t="n"/>
      <c r="H139" s="14" t="n"/>
      <c r="I139" s="14" t="n"/>
      <c r="J139" s="15" t="n"/>
      <c r="K139" s="16" t="n"/>
      <c r="L139" s="16" t="n"/>
      <c r="M139" s="15" t="n"/>
      <c r="N139" s="15" t="n"/>
      <c r="P139" s="15" t="n"/>
      <c r="Q139" s="15" t="n"/>
      <c r="R139" s="15" t="n"/>
      <c r="S139" s="15" t="n"/>
      <c r="T139" s="15" t="n"/>
      <c r="U139" s="15" t="n"/>
      <c r="V139" s="17" t="n"/>
      <c r="W139" s="16" t="n"/>
      <c r="Z139" s="16" t="n"/>
      <c r="AD139" s="14" t="n"/>
      <c r="AE139" s="14" t="n"/>
      <c r="AL139" s="12" t="n"/>
      <c r="AO139" s="15" t="n"/>
      <c r="AP139" s="15" t="n"/>
      <c r="AQ139" s="13" t="n"/>
      <c r="AR139" s="17" t="n"/>
      <c r="AS139" s="14" t="n"/>
    </row>
    <row r="140">
      <c r="A140" s="12" t="n"/>
      <c r="B140" s="12" t="n"/>
      <c r="C140" s="12" t="n"/>
      <c r="G140" s="14" t="n"/>
      <c r="H140" s="14" t="n"/>
      <c r="I140" s="14" t="n"/>
      <c r="J140" s="15" t="n"/>
      <c r="K140" s="16" t="n"/>
      <c r="L140" s="16" t="n"/>
      <c r="M140" s="15" t="n"/>
      <c r="N140" s="15" t="n"/>
      <c r="P140" s="15" t="n"/>
      <c r="Q140" s="15" t="n"/>
      <c r="R140" s="15" t="n"/>
      <c r="S140" s="15" t="n"/>
      <c r="T140" s="15" t="n"/>
      <c r="U140" s="15" t="n"/>
      <c r="V140" s="17" t="n"/>
      <c r="W140" s="16" t="n"/>
      <c r="Z140" s="16" t="n"/>
      <c r="AD140" s="14" t="n"/>
      <c r="AE140" s="14" t="n"/>
      <c r="AL140" s="12" t="n"/>
      <c r="AO140" s="15" t="n"/>
      <c r="AP140" s="15" t="n"/>
      <c r="AQ140" s="13" t="n"/>
      <c r="AR140" s="17" t="n"/>
      <c r="AS140" s="14" t="n"/>
    </row>
    <row r="141">
      <c r="A141" s="12" t="n"/>
      <c r="B141" s="12" t="n"/>
      <c r="C141" s="12" t="n"/>
      <c r="G141" s="14" t="n"/>
      <c r="H141" s="14" t="n"/>
      <c r="I141" s="14" t="n"/>
      <c r="J141" s="15" t="n"/>
      <c r="K141" s="16" t="n"/>
      <c r="L141" s="16" t="n"/>
      <c r="M141" s="15" t="n"/>
      <c r="N141" s="15" t="n"/>
      <c r="P141" s="15" t="n"/>
      <c r="Q141" s="15" t="n"/>
      <c r="R141" s="15" t="n"/>
      <c r="S141" s="15" t="n"/>
      <c r="T141" s="15" t="n"/>
      <c r="U141" s="15" t="n"/>
      <c r="V141" s="17" t="n"/>
      <c r="W141" s="16" t="n"/>
      <c r="Z141" s="16" t="n"/>
      <c r="AD141" s="14" t="n"/>
      <c r="AE141" s="14" t="n"/>
      <c r="AL141" s="12" t="n"/>
      <c r="AO141" s="15" t="n"/>
      <c r="AP141" s="15" t="n"/>
      <c r="AQ141" s="13" t="n"/>
      <c r="AR141" s="17" t="n"/>
      <c r="AS141" s="14" t="n"/>
    </row>
    <row r="142">
      <c r="A142" s="12" t="n"/>
      <c r="B142" s="12" t="n"/>
      <c r="C142" s="12" t="n"/>
      <c r="G142" s="14" t="n"/>
      <c r="H142" s="14" t="n"/>
      <c r="I142" s="14" t="n"/>
      <c r="J142" s="15" t="n"/>
      <c r="K142" s="16" t="n"/>
      <c r="L142" s="16" t="n"/>
      <c r="M142" s="15" t="n"/>
      <c r="N142" s="15" t="n"/>
      <c r="P142" s="15" t="n"/>
      <c r="Q142" s="15" t="n"/>
      <c r="R142" s="15" t="n"/>
      <c r="S142" s="15" t="n"/>
      <c r="T142" s="15" t="n"/>
      <c r="U142" s="15" t="n"/>
      <c r="V142" s="17" t="n"/>
      <c r="W142" s="16" t="n"/>
      <c r="Z142" s="16" t="n"/>
      <c r="AD142" s="14" t="n"/>
      <c r="AE142" s="14" t="n"/>
      <c r="AL142" s="12" t="n"/>
      <c r="AO142" s="15" t="n"/>
      <c r="AP142" s="15" t="n"/>
      <c r="AQ142" s="13" t="n"/>
      <c r="AR142" s="17" t="n"/>
      <c r="AS142" s="14" t="n"/>
    </row>
    <row r="143">
      <c r="A143" s="12" t="n"/>
      <c r="B143" s="12" t="n"/>
      <c r="C143" s="12" t="n"/>
      <c r="G143" s="14" t="n"/>
      <c r="H143" s="14" t="n"/>
      <c r="I143" s="14" t="n"/>
      <c r="J143" s="15" t="n"/>
      <c r="K143" s="16" t="n"/>
      <c r="L143" s="16" t="n"/>
      <c r="M143" s="15" t="n"/>
      <c r="N143" s="15" t="n"/>
      <c r="P143" s="15" t="n"/>
      <c r="Q143" s="15" t="n"/>
      <c r="R143" s="15" t="n"/>
      <c r="S143" s="15" t="n"/>
      <c r="T143" s="15" t="n"/>
      <c r="U143" s="15" t="n"/>
      <c r="V143" s="17" t="n"/>
      <c r="W143" s="16" t="n"/>
      <c r="Z143" s="16" t="n"/>
      <c r="AD143" s="14" t="n"/>
      <c r="AE143" s="14" t="n"/>
      <c r="AL143" s="12" t="n"/>
      <c r="AO143" s="15" t="n"/>
      <c r="AP143" s="15" t="n"/>
      <c r="AQ143" s="13" t="n"/>
      <c r="AR143" s="17" t="n"/>
      <c r="AS143" s="14" t="n"/>
    </row>
    <row r="144">
      <c r="A144" s="12" t="n"/>
      <c r="B144" s="12" t="n"/>
      <c r="C144" s="12" t="n"/>
      <c r="G144" s="14" t="n"/>
      <c r="H144" s="14" t="n"/>
      <c r="I144" s="14" t="n"/>
      <c r="J144" s="15" t="n"/>
      <c r="K144" s="16" t="n"/>
      <c r="L144" s="16" t="n"/>
      <c r="M144" s="15" t="n"/>
      <c r="N144" s="15" t="n"/>
      <c r="P144" s="15" t="n"/>
      <c r="Q144" s="15" t="n"/>
      <c r="R144" s="15" t="n"/>
      <c r="S144" s="15" t="n"/>
      <c r="T144" s="15" t="n"/>
      <c r="U144" s="15" t="n"/>
      <c r="V144" s="17" t="n"/>
      <c r="W144" s="16" t="n"/>
      <c r="Z144" s="16" t="n"/>
      <c r="AD144" s="14" t="n"/>
      <c r="AE144" s="14" t="n"/>
      <c r="AL144" s="12" t="n"/>
      <c r="AO144" s="15" t="n"/>
      <c r="AP144" s="15" t="n"/>
      <c r="AQ144" s="13" t="n"/>
      <c r="AR144" s="17" t="n"/>
      <c r="AS144" s="14" t="n"/>
    </row>
    <row r="145">
      <c r="A145" s="12" t="n"/>
      <c r="B145" s="12" t="n"/>
      <c r="C145" s="12" t="n"/>
      <c r="G145" s="14" t="n"/>
      <c r="H145" s="14" t="n"/>
      <c r="I145" s="14" t="n"/>
      <c r="J145" s="15" t="n"/>
      <c r="K145" s="16" t="n"/>
      <c r="L145" s="16" t="n"/>
      <c r="M145" s="15" t="n"/>
      <c r="N145" s="15" t="n"/>
      <c r="P145" s="15" t="n"/>
      <c r="Q145" s="15" t="n"/>
      <c r="R145" s="15" t="n"/>
      <c r="S145" s="15" t="n"/>
      <c r="T145" s="15" t="n"/>
      <c r="U145" s="15" t="n"/>
      <c r="V145" s="17" t="n"/>
      <c r="W145" s="16" t="n"/>
      <c r="Z145" s="16" t="n"/>
      <c r="AD145" s="14" t="n"/>
      <c r="AE145" s="14" t="n"/>
      <c r="AL145" s="12" t="n"/>
      <c r="AO145" s="15" t="n"/>
      <c r="AP145" s="15" t="n"/>
      <c r="AQ145" s="13" t="n"/>
      <c r="AR145" s="17" t="n"/>
      <c r="AS145" s="14" t="n"/>
    </row>
    <row r="146">
      <c r="A146" s="12" t="n"/>
      <c r="B146" s="12" t="n"/>
      <c r="C146" s="12" t="n"/>
      <c r="G146" s="14" t="n"/>
      <c r="H146" s="14" t="n"/>
      <c r="I146" s="14" t="n"/>
      <c r="J146" s="15" t="n"/>
      <c r="K146" s="16" t="n"/>
      <c r="L146" s="16" t="n"/>
      <c r="M146" s="15" t="n"/>
      <c r="N146" s="15" t="n"/>
      <c r="P146" s="15" t="n"/>
      <c r="Q146" s="15" t="n"/>
      <c r="R146" s="15" t="n"/>
      <c r="S146" s="15" t="n"/>
      <c r="T146" s="15" t="n"/>
      <c r="U146" s="15" t="n"/>
      <c r="V146" s="17" t="n"/>
      <c r="W146" s="16" t="n"/>
      <c r="Z146" s="16" t="n"/>
      <c r="AD146" s="14" t="n"/>
      <c r="AE146" s="14" t="n"/>
      <c r="AL146" s="12" t="n"/>
      <c r="AO146" s="15" t="n"/>
      <c r="AP146" s="15" t="n"/>
      <c r="AQ146" s="13" t="n"/>
      <c r="AR146" s="17" t="n"/>
      <c r="AS146" s="14" t="n"/>
    </row>
    <row r="147">
      <c r="A147" s="12" t="n"/>
      <c r="B147" s="12" t="n"/>
      <c r="C147" s="12" t="n"/>
      <c r="G147" s="14" t="n"/>
      <c r="H147" s="14" t="n"/>
      <c r="I147" s="14" t="n"/>
      <c r="J147" s="15" t="n"/>
      <c r="K147" s="16" t="n"/>
      <c r="L147" s="16" t="n"/>
      <c r="M147" s="15" t="n"/>
      <c r="N147" s="15" t="n"/>
      <c r="P147" s="15" t="n"/>
      <c r="Q147" s="15" t="n"/>
      <c r="R147" s="15" t="n"/>
      <c r="S147" s="15" t="n"/>
      <c r="T147" s="15" t="n"/>
      <c r="U147" s="15" t="n"/>
      <c r="V147" s="17" t="n"/>
      <c r="W147" s="16" t="n"/>
      <c r="Z147" s="16" t="n"/>
      <c r="AD147" s="14" t="n"/>
      <c r="AE147" s="14" t="n"/>
      <c r="AL147" s="12" t="n"/>
      <c r="AO147" s="15" t="n"/>
      <c r="AP147" s="15" t="n"/>
      <c r="AQ147" s="13" t="n"/>
      <c r="AR147" s="17" t="n"/>
      <c r="AS147" s="14" t="n"/>
    </row>
    <row r="148">
      <c r="A148" s="12" t="n"/>
      <c r="B148" s="12" t="n"/>
      <c r="C148" s="12" t="n"/>
      <c r="G148" s="14" t="n"/>
      <c r="H148" s="14" t="n"/>
      <c r="I148" s="14" t="n"/>
      <c r="J148" s="15" t="n"/>
      <c r="K148" s="16" t="n"/>
      <c r="L148" s="16" t="n"/>
      <c r="M148" s="15" t="n"/>
      <c r="N148" s="15" t="n"/>
      <c r="P148" s="15" t="n"/>
      <c r="Q148" s="15" t="n"/>
      <c r="R148" s="15" t="n"/>
      <c r="S148" s="15" t="n"/>
      <c r="T148" s="15" t="n"/>
      <c r="U148" s="15" t="n"/>
      <c r="V148" s="17" t="n"/>
      <c r="W148" s="16" t="n"/>
      <c r="Z148" s="16" t="n"/>
      <c r="AD148" s="14" t="n"/>
      <c r="AE148" s="14" t="n"/>
      <c r="AL148" s="12" t="n"/>
      <c r="AO148" s="15" t="n"/>
      <c r="AP148" s="15" t="n"/>
      <c r="AQ148" s="13" t="n"/>
      <c r="AR148" s="17" t="n"/>
      <c r="AS148" s="14" t="n"/>
    </row>
    <row r="149">
      <c r="A149" s="12" t="n"/>
      <c r="B149" s="12" t="n"/>
      <c r="C149" s="12" t="n"/>
      <c r="G149" s="14" t="n"/>
      <c r="H149" s="14" t="n"/>
      <c r="I149" s="14" t="n"/>
      <c r="J149" s="15" t="n"/>
      <c r="K149" s="16" t="n"/>
      <c r="L149" s="16" t="n"/>
      <c r="M149" s="15" t="n"/>
      <c r="N149" s="15" t="n"/>
      <c r="P149" s="15" t="n"/>
      <c r="Q149" s="15" t="n"/>
      <c r="R149" s="15" t="n"/>
      <c r="S149" s="15" t="n"/>
      <c r="T149" s="15" t="n"/>
      <c r="U149" s="15" t="n"/>
      <c r="V149" s="17" t="n"/>
      <c r="W149" s="16" t="n"/>
      <c r="Z149" s="16" t="n"/>
      <c r="AD149" s="14" t="n"/>
      <c r="AE149" s="14" t="n"/>
      <c r="AL149" s="12" t="n"/>
      <c r="AO149" s="15" t="n"/>
      <c r="AP149" s="15" t="n"/>
      <c r="AQ149" s="13" t="n"/>
      <c r="AR149" s="17" t="n"/>
      <c r="AS149" s="14" t="n"/>
    </row>
    <row r="150">
      <c r="A150" s="12" t="n"/>
      <c r="B150" s="12" t="n"/>
      <c r="C150" s="12" t="n"/>
      <c r="G150" s="14" t="n"/>
      <c r="H150" s="14" t="n"/>
      <c r="I150" s="14" t="n"/>
      <c r="J150" s="15" t="n"/>
      <c r="K150" s="16" t="n"/>
      <c r="L150" s="16" t="n"/>
      <c r="M150" s="15" t="n"/>
      <c r="N150" s="15" t="n"/>
      <c r="P150" s="15" t="n"/>
      <c r="Q150" s="15" t="n"/>
      <c r="R150" s="15" t="n"/>
      <c r="S150" s="15" t="n"/>
      <c r="T150" s="15" t="n"/>
      <c r="U150" s="15" t="n"/>
      <c r="V150" s="17" t="n"/>
      <c r="W150" s="16" t="n"/>
      <c r="Z150" s="16" t="n"/>
      <c r="AD150" s="14" t="n"/>
      <c r="AE150" s="14" t="n"/>
      <c r="AL150" s="12" t="n"/>
      <c r="AO150" s="15" t="n"/>
      <c r="AP150" s="15" t="n"/>
      <c r="AQ150" s="13" t="n"/>
      <c r="AR150" s="17" t="n"/>
      <c r="AS150" s="14" t="n"/>
    </row>
    <row r="151">
      <c r="A151" s="12" t="n"/>
      <c r="B151" s="12" t="n"/>
      <c r="C151" s="12" t="n"/>
      <c r="G151" s="14" t="n"/>
      <c r="H151" s="14" t="n"/>
      <c r="I151" s="14" t="n"/>
      <c r="J151" s="15" t="n"/>
      <c r="K151" s="16" t="n"/>
      <c r="L151" s="16" t="n"/>
      <c r="M151" s="15" t="n"/>
      <c r="N151" s="15" t="n"/>
      <c r="P151" s="15" t="n"/>
      <c r="Q151" s="15" t="n"/>
      <c r="R151" s="15" t="n"/>
      <c r="S151" s="15" t="n"/>
      <c r="T151" s="15" t="n"/>
      <c r="U151" s="15" t="n"/>
      <c r="V151" s="17" t="n"/>
      <c r="W151" s="16" t="n"/>
      <c r="Z151" s="16" t="n"/>
      <c r="AD151" s="14" t="n"/>
      <c r="AE151" s="14" t="n"/>
      <c r="AL151" s="12" t="n"/>
      <c r="AO151" s="15" t="n"/>
      <c r="AP151" s="15" t="n"/>
      <c r="AQ151" s="13" t="n"/>
      <c r="AR151" s="17" t="n"/>
      <c r="AS151" s="14" t="n"/>
    </row>
    <row r="152">
      <c r="A152" s="12" t="n"/>
      <c r="B152" s="12" t="n"/>
      <c r="C152" s="12" t="n"/>
      <c r="G152" s="14" t="n"/>
      <c r="H152" s="14" t="n"/>
      <c r="I152" s="14" t="n"/>
      <c r="J152" s="15" t="n"/>
      <c r="K152" s="16" t="n"/>
      <c r="L152" s="16" t="n"/>
      <c r="M152" s="15" t="n"/>
      <c r="N152" s="15" t="n"/>
      <c r="P152" s="15" t="n"/>
      <c r="Q152" s="15" t="n"/>
      <c r="R152" s="15" t="n"/>
      <c r="S152" s="15" t="n"/>
      <c r="T152" s="15" t="n"/>
      <c r="U152" s="15" t="n"/>
      <c r="V152" s="17" t="n"/>
      <c r="W152" s="16" t="n"/>
      <c r="Z152" s="16" t="n"/>
      <c r="AD152" s="14" t="n"/>
      <c r="AE152" s="14" t="n"/>
      <c r="AL152" s="12" t="n"/>
      <c r="AO152" s="15" t="n"/>
      <c r="AP152" s="15" t="n"/>
      <c r="AQ152" s="13" t="n"/>
      <c r="AR152" s="17" t="n"/>
      <c r="AS152" s="14" t="n"/>
    </row>
    <row r="153">
      <c r="A153" s="12" t="n"/>
      <c r="B153" s="12" t="n"/>
      <c r="C153" s="12" t="n"/>
      <c r="G153" s="14" t="n"/>
      <c r="H153" s="14" t="n"/>
      <c r="I153" s="14" t="n"/>
      <c r="J153" s="15" t="n"/>
      <c r="K153" s="16" t="n"/>
      <c r="L153" s="16" t="n"/>
      <c r="M153" s="15" t="n"/>
      <c r="N153" s="15" t="n"/>
      <c r="P153" s="15" t="n"/>
      <c r="Q153" s="15" t="n"/>
      <c r="R153" s="15" t="n"/>
      <c r="S153" s="15" t="n"/>
      <c r="T153" s="15" t="n"/>
      <c r="U153" s="15" t="n"/>
      <c r="V153" s="17" t="n"/>
      <c r="W153" s="16" t="n"/>
      <c r="Z153" s="16" t="n"/>
      <c r="AD153" s="14" t="n"/>
      <c r="AE153" s="14" t="n"/>
      <c r="AL153" s="12" t="n"/>
      <c r="AO153" s="15" t="n"/>
      <c r="AP153" s="15" t="n"/>
      <c r="AQ153" s="13" t="n"/>
      <c r="AR153" s="17" t="n"/>
      <c r="AS153" s="14" t="n"/>
    </row>
    <row r="154">
      <c r="A154" s="12" t="n"/>
      <c r="B154" s="12" t="n"/>
      <c r="C154" s="12" t="n"/>
      <c r="G154" s="14" t="n"/>
      <c r="H154" s="14" t="n"/>
      <c r="I154" s="14" t="n"/>
      <c r="J154" s="15" t="n"/>
      <c r="K154" s="16" t="n"/>
      <c r="L154" s="16" t="n"/>
      <c r="M154" s="15" t="n"/>
      <c r="N154" s="15" t="n"/>
      <c r="P154" s="15" t="n"/>
      <c r="Q154" s="15" t="n"/>
      <c r="R154" s="15" t="n"/>
      <c r="S154" s="15" t="n"/>
      <c r="T154" s="15" t="n"/>
      <c r="U154" s="15" t="n"/>
      <c r="V154" s="17" t="n"/>
      <c r="W154" s="16" t="n"/>
      <c r="Z154" s="16" t="n"/>
      <c r="AD154" s="14" t="n"/>
      <c r="AE154" s="14" t="n"/>
      <c r="AL154" s="12" t="n"/>
      <c r="AO154" s="15" t="n"/>
      <c r="AP154" s="15" t="n"/>
      <c r="AQ154" s="13" t="n"/>
      <c r="AR154" s="17" t="n"/>
      <c r="AS154" s="14" t="n"/>
    </row>
    <row r="155">
      <c r="A155" s="12" t="n"/>
      <c r="B155" s="12" t="n"/>
      <c r="C155" s="12" t="n"/>
      <c r="G155" s="14" t="n"/>
      <c r="H155" s="14" t="n"/>
      <c r="I155" s="14" t="n"/>
      <c r="J155" s="15" t="n"/>
      <c r="K155" s="16" t="n"/>
      <c r="L155" s="16" t="n"/>
      <c r="M155" s="15" t="n"/>
      <c r="N155" s="15" t="n"/>
      <c r="P155" s="15" t="n"/>
      <c r="Q155" s="15" t="n"/>
      <c r="R155" s="15" t="n"/>
      <c r="S155" s="15" t="n"/>
      <c r="T155" s="15" t="n"/>
      <c r="U155" s="15" t="n"/>
      <c r="V155" s="17" t="n"/>
      <c r="W155" s="16" t="n"/>
      <c r="Z155" s="16" t="n"/>
      <c r="AD155" s="14" t="n"/>
      <c r="AE155" s="14" t="n"/>
      <c r="AL155" s="12" t="n"/>
      <c r="AO155" s="15" t="n"/>
      <c r="AP155" s="15" t="n"/>
      <c r="AQ155" s="13" t="n"/>
      <c r="AR155" s="17" t="n"/>
      <c r="AS155" s="14" t="n"/>
    </row>
    <row r="156">
      <c r="A156" s="12" t="n"/>
      <c r="B156" s="12" t="n"/>
      <c r="C156" s="12" t="n"/>
      <c r="G156" s="14" t="n"/>
      <c r="H156" s="14" t="n"/>
      <c r="I156" s="14" t="n"/>
      <c r="J156" s="15" t="n"/>
      <c r="K156" s="16" t="n"/>
      <c r="L156" s="16" t="n"/>
      <c r="M156" s="15" t="n"/>
      <c r="N156" s="15" t="n"/>
      <c r="P156" s="15" t="n"/>
      <c r="Q156" s="15" t="n"/>
      <c r="R156" s="15" t="n"/>
      <c r="S156" s="15" t="n"/>
      <c r="T156" s="15" t="n"/>
      <c r="U156" s="15" t="n"/>
      <c r="V156" s="17" t="n"/>
      <c r="W156" s="16" t="n"/>
      <c r="Z156" s="16" t="n"/>
      <c r="AD156" s="14" t="n"/>
      <c r="AE156" s="14" t="n"/>
      <c r="AL156" s="12" t="n"/>
      <c r="AO156" s="15" t="n"/>
      <c r="AP156" s="15" t="n"/>
      <c r="AQ156" s="13" t="n"/>
      <c r="AR156" s="17" t="n"/>
      <c r="AS156" s="14" t="n"/>
    </row>
    <row r="157">
      <c r="A157" s="12" t="n"/>
      <c r="B157" s="12" t="n"/>
      <c r="C157" s="12" t="n"/>
      <c r="G157" s="14" t="n"/>
      <c r="H157" s="14" t="n"/>
      <c r="I157" s="14" t="n"/>
      <c r="J157" s="15" t="n"/>
      <c r="K157" s="16" t="n"/>
      <c r="L157" s="16" t="n"/>
      <c r="M157" s="15" t="n"/>
      <c r="N157" s="15" t="n"/>
      <c r="P157" s="15" t="n"/>
      <c r="Q157" s="15" t="n"/>
      <c r="R157" s="15" t="n"/>
      <c r="S157" s="15" t="n"/>
      <c r="T157" s="15" t="n"/>
      <c r="U157" s="15" t="n"/>
      <c r="V157" s="17" t="n"/>
      <c r="W157" s="16" t="n"/>
      <c r="Z157" s="16" t="n"/>
      <c r="AD157" s="14" t="n"/>
      <c r="AE157" s="14" t="n"/>
      <c r="AL157" s="12" t="n"/>
      <c r="AO157" s="15" t="n"/>
      <c r="AP157" s="15" t="n"/>
      <c r="AQ157" s="13" t="n"/>
      <c r="AR157" s="17" t="n"/>
      <c r="AS157" s="14" t="n"/>
    </row>
    <row r="158">
      <c r="A158" s="12" t="n"/>
      <c r="B158" s="12" t="n"/>
      <c r="C158" s="12" t="n"/>
      <c r="G158" s="14" t="n"/>
      <c r="H158" s="14" t="n"/>
      <c r="I158" s="14" t="n"/>
      <c r="J158" s="15" t="n"/>
      <c r="K158" s="16" t="n"/>
      <c r="L158" s="16" t="n"/>
      <c r="M158" s="15" t="n"/>
      <c r="N158" s="15" t="n"/>
      <c r="P158" s="15" t="n"/>
      <c r="Q158" s="15" t="n"/>
      <c r="R158" s="15" t="n"/>
      <c r="S158" s="15" t="n"/>
      <c r="T158" s="15" t="n"/>
      <c r="U158" s="15" t="n"/>
      <c r="V158" s="17" t="n"/>
      <c r="W158" s="16" t="n"/>
      <c r="Z158" s="16" t="n"/>
      <c r="AD158" s="14" t="n"/>
      <c r="AE158" s="14" t="n"/>
      <c r="AL158" s="12" t="n"/>
      <c r="AO158" s="15" t="n"/>
      <c r="AP158" s="15" t="n"/>
      <c r="AQ158" s="13" t="n"/>
      <c r="AR158" s="17" t="n"/>
      <c r="AS158" s="14" t="n"/>
    </row>
    <row r="159">
      <c r="A159" s="12" t="n"/>
      <c r="B159" s="12" t="n"/>
      <c r="C159" s="12" t="n"/>
      <c r="G159" s="14" t="n"/>
      <c r="H159" s="14" t="n"/>
      <c r="I159" s="14" t="n"/>
      <c r="J159" s="15" t="n"/>
      <c r="K159" s="16" t="n"/>
      <c r="L159" s="16" t="n"/>
      <c r="M159" s="15" t="n"/>
      <c r="N159" s="15" t="n"/>
      <c r="P159" s="15" t="n"/>
      <c r="Q159" s="15" t="n"/>
      <c r="R159" s="15" t="n"/>
      <c r="S159" s="15" t="n"/>
      <c r="T159" s="15" t="n"/>
      <c r="U159" s="15" t="n"/>
      <c r="V159" s="17" t="n"/>
      <c r="W159" s="16" t="n"/>
      <c r="Z159" s="16" t="n"/>
      <c r="AD159" s="14" t="n"/>
      <c r="AE159" s="14" t="n"/>
      <c r="AL159" s="12" t="n"/>
      <c r="AO159" s="15" t="n"/>
      <c r="AP159" s="15" t="n"/>
      <c r="AQ159" s="13" t="n"/>
      <c r="AR159" s="17" t="n"/>
      <c r="AS159" s="14" t="n"/>
    </row>
    <row r="160">
      <c r="A160" s="12" t="n"/>
      <c r="B160" s="12" t="n"/>
      <c r="C160" s="12" t="n"/>
      <c r="G160" s="14" t="n"/>
      <c r="H160" s="14" t="n"/>
      <c r="I160" s="14" t="n"/>
      <c r="J160" s="15" t="n"/>
      <c r="K160" s="16" t="n"/>
      <c r="L160" s="16" t="n"/>
      <c r="M160" s="15" t="n"/>
      <c r="N160" s="15" t="n"/>
      <c r="P160" s="15" t="n"/>
      <c r="Q160" s="15" t="n"/>
      <c r="R160" s="15" t="n"/>
      <c r="S160" s="15" t="n"/>
      <c r="T160" s="15" t="n"/>
      <c r="U160" s="15" t="n"/>
      <c r="V160" s="17" t="n"/>
      <c r="W160" s="16" t="n"/>
      <c r="Z160" s="16" t="n"/>
      <c r="AD160" s="14" t="n"/>
      <c r="AE160" s="14" t="n"/>
      <c r="AL160" s="12" t="n"/>
      <c r="AO160" s="15" t="n"/>
      <c r="AP160" s="15" t="n"/>
      <c r="AQ160" s="13" t="n"/>
      <c r="AR160" s="17" t="n"/>
      <c r="AS160" s="14" t="n"/>
    </row>
    <row r="161">
      <c r="A161" s="12" t="n"/>
      <c r="B161" s="12" t="n"/>
      <c r="C161" s="12" t="n"/>
      <c r="G161" s="14" t="n"/>
      <c r="H161" s="14" t="n"/>
      <c r="I161" s="14" t="n"/>
      <c r="J161" s="15" t="n"/>
      <c r="K161" s="16" t="n"/>
      <c r="L161" s="16" t="n"/>
      <c r="M161" s="15" t="n"/>
      <c r="N161" s="15" t="n"/>
      <c r="P161" s="15" t="n"/>
      <c r="Q161" s="15" t="n"/>
      <c r="R161" s="15" t="n"/>
      <c r="S161" s="15" t="n"/>
      <c r="T161" s="15" t="n"/>
      <c r="U161" s="15" t="n"/>
      <c r="V161" s="17" t="n"/>
      <c r="W161" s="16" t="n"/>
      <c r="Z161" s="16" t="n"/>
      <c r="AD161" s="14" t="n"/>
      <c r="AE161" s="14" t="n"/>
      <c r="AL161" s="12" t="n"/>
      <c r="AO161" s="15" t="n"/>
      <c r="AP161" s="15" t="n"/>
      <c r="AQ161" s="13" t="n"/>
      <c r="AR161" s="17" t="n"/>
      <c r="AS161" s="14" t="n"/>
    </row>
    <row r="162">
      <c r="A162" s="12" t="n"/>
      <c r="B162" s="12" t="n"/>
      <c r="C162" s="12" t="n"/>
      <c r="G162" s="14" t="n"/>
      <c r="H162" s="14" t="n"/>
      <c r="I162" s="14" t="n"/>
      <c r="J162" s="15" t="n"/>
      <c r="K162" s="16" t="n"/>
      <c r="L162" s="16" t="n"/>
      <c r="M162" s="15" t="n"/>
      <c r="N162" s="15" t="n"/>
      <c r="P162" s="15" t="n"/>
      <c r="Q162" s="15" t="n"/>
      <c r="R162" s="15" t="n"/>
      <c r="S162" s="15" t="n"/>
      <c r="T162" s="15" t="n"/>
      <c r="U162" s="15" t="n"/>
      <c r="V162" s="17" t="n"/>
      <c r="W162" s="16" t="n"/>
      <c r="Z162" s="16" t="n"/>
      <c r="AD162" s="14" t="n"/>
      <c r="AE162" s="14" t="n"/>
      <c r="AL162" s="12" t="n"/>
      <c r="AO162" s="15" t="n"/>
      <c r="AP162" s="15" t="n"/>
      <c r="AQ162" s="13" t="n"/>
      <c r="AR162" s="17" t="n"/>
      <c r="AS162" s="14" t="n"/>
    </row>
    <row r="163">
      <c r="A163" s="12" t="n"/>
      <c r="B163" s="12" t="n"/>
      <c r="C163" s="12" t="n"/>
      <c r="G163" s="14" t="n"/>
      <c r="H163" s="14" t="n"/>
      <c r="I163" s="14" t="n"/>
      <c r="J163" s="15" t="n"/>
      <c r="K163" s="16" t="n"/>
      <c r="L163" s="16" t="n"/>
      <c r="M163" s="15" t="n"/>
      <c r="N163" s="15" t="n"/>
      <c r="P163" s="15" t="n"/>
      <c r="Q163" s="15" t="n"/>
      <c r="R163" s="15" t="n"/>
      <c r="S163" s="15" t="n"/>
      <c r="T163" s="15" t="n"/>
      <c r="U163" s="15" t="n"/>
      <c r="V163" s="17" t="n"/>
      <c r="W163" s="16" t="n"/>
      <c r="Z163" s="16" t="n"/>
      <c r="AD163" s="14" t="n"/>
      <c r="AE163" s="14" t="n"/>
      <c r="AL163" s="12" t="n"/>
      <c r="AO163" s="15" t="n"/>
      <c r="AP163" s="15" t="n"/>
      <c r="AQ163" s="13" t="n"/>
      <c r="AR163" s="17" t="n"/>
      <c r="AS163" s="14" t="n"/>
    </row>
    <row r="164">
      <c r="A164" s="12" t="n"/>
      <c r="B164" s="12" t="n"/>
      <c r="C164" s="12" t="n"/>
      <c r="G164" s="14" t="n"/>
      <c r="H164" s="14" t="n"/>
      <c r="I164" s="14" t="n"/>
      <c r="J164" s="15" t="n"/>
      <c r="K164" s="16" t="n"/>
      <c r="L164" s="16" t="n"/>
      <c r="M164" s="15" t="n"/>
      <c r="N164" s="15" t="n"/>
      <c r="P164" s="15" t="n"/>
      <c r="Q164" s="15" t="n"/>
      <c r="R164" s="15" t="n"/>
      <c r="S164" s="15" t="n"/>
      <c r="T164" s="15" t="n"/>
      <c r="U164" s="15" t="n"/>
      <c r="V164" s="17" t="n"/>
      <c r="W164" s="16" t="n"/>
      <c r="Z164" s="16" t="n"/>
      <c r="AD164" s="14" t="n"/>
      <c r="AE164" s="14" t="n"/>
      <c r="AL164" s="12" t="n"/>
      <c r="AO164" s="15" t="n"/>
      <c r="AP164" s="15" t="n"/>
      <c r="AQ164" s="13" t="n"/>
      <c r="AR164" s="17" t="n"/>
      <c r="AS164" s="14" t="n"/>
    </row>
    <row r="165">
      <c r="A165" s="12" t="n"/>
      <c r="B165" s="12" t="n"/>
      <c r="C165" s="12" t="n"/>
      <c r="G165" s="14" t="n"/>
      <c r="H165" s="14" t="n"/>
      <c r="I165" s="14" t="n"/>
      <c r="J165" s="15" t="n"/>
      <c r="K165" s="16" t="n"/>
      <c r="L165" s="16" t="n"/>
      <c r="M165" s="15" t="n"/>
      <c r="N165" s="15" t="n"/>
      <c r="P165" s="15" t="n"/>
      <c r="Q165" s="15" t="n"/>
      <c r="R165" s="15" t="n"/>
      <c r="S165" s="15" t="n"/>
      <c r="T165" s="15" t="n"/>
      <c r="U165" s="15" t="n"/>
      <c r="V165" s="17" t="n"/>
      <c r="W165" s="16" t="n"/>
      <c r="Z165" s="16" t="n"/>
      <c r="AD165" s="14" t="n"/>
      <c r="AE165" s="14" t="n"/>
      <c r="AL165" s="12" t="n"/>
      <c r="AO165" s="15" t="n"/>
      <c r="AP165" s="15" t="n"/>
      <c r="AQ165" s="13" t="n"/>
      <c r="AR165" s="17" t="n"/>
      <c r="AS165" s="14" t="n"/>
    </row>
    <row r="166">
      <c r="A166" s="12" t="n"/>
      <c r="B166" s="12" t="n"/>
      <c r="C166" s="12" t="n"/>
      <c r="G166" s="14" t="n"/>
      <c r="H166" s="14" t="n"/>
      <c r="I166" s="14" t="n"/>
      <c r="J166" s="15" t="n"/>
      <c r="K166" s="16" t="n"/>
      <c r="L166" s="16" t="n"/>
      <c r="M166" s="15" t="n"/>
      <c r="N166" s="15" t="n"/>
      <c r="P166" s="15" t="n"/>
      <c r="Q166" s="15" t="n"/>
      <c r="R166" s="15" t="n"/>
      <c r="S166" s="15" t="n"/>
      <c r="T166" s="15" t="n"/>
      <c r="U166" s="15" t="n"/>
      <c r="V166" s="17" t="n"/>
      <c r="W166" s="16" t="n"/>
      <c r="Z166" s="16" t="n"/>
      <c r="AD166" s="14" t="n"/>
      <c r="AE166" s="14" t="n"/>
      <c r="AL166" s="12" t="n"/>
      <c r="AO166" s="15" t="n"/>
      <c r="AP166" s="15" t="n"/>
      <c r="AQ166" s="13" t="n"/>
      <c r="AR166" s="17" t="n"/>
      <c r="AS166" s="14" t="n"/>
    </row>
    <row r="167">
      <c r="A167" s="12" t="n"/>
      <c r="B167" s="12" t="n"/>
      <c r="C167" s="12" t="n"/>
      <c r="G167" s="14" t="n"/>
      <c r="H167" s="14" t="n"/>
      <c r="I167" s="14" t="n"/>
      <c r="J167" s="15" t="n"/>
      <c r="K167" s="16" t="n"/>
      <c r="L167" s="16" t="n"/>
      <c r="M167" s="15" t="n"/>
      <c r="N167" s="15" t="n"/>
      <c r="P167" s="15" t="n"/>
      <c r="Q167" s="15" t="n"/>
      <c r="R167" s="15" t="n"/>
      <c r="S167" s="15" t="n"/>
      <c r="T167" s="15" t="n"/>
      <c r="U167" s="15" t="n"/>
      <c r="V167" s="17" t="n"/>
      <c r="W167" s="16" t="n"/>
      <c r="Z167" s="16" t="n"/>
      <c r="AD167" s="14" t="n"/>
      <c r="AE167" s="14" t="n"/>
      <c r="AL167" s="12" t="n"/>
      <c r="AO167" s="15" t="n"/>
      <c r="AP167" s="15" t="n"/>
      <c r="AQ167" s="13" t="n"/>
      <c r="AR167" s="17" t="n"/>
      <c r="AS167" s="14" t="n"/>
    </row>
    <row r="168">
      <c r="A168" s="12" t="n"/>
      <c r="B168" s="12" t="n"/>
      <c r="C168" s="12" t="n"/>
      <c r="G168" s="14" t="n"/>
      <c r="H168" s="14" t="n"/>
      <c r="I168" s="14" t="n"/>
      <c r="J168" s="15" t="n"/>
      <c r="K168" s="16" t="n"/>
      <c r="L168" s="16" t="n"/>
      <c r="M168" s="15" t="n"/>
      <c r="N168" s="15" t="n"/>
      <c r="P168" s="15" t="n"/>
      <c r="Q168" s="15" t="n"/>
      <c r="R168" s="15" t="n"/>
      <c r="S168" s="15" t="n"/>
      <c r="T168" s="15" t="n"/>
      <c r="U168" s="15" t="n"/>
      <c r="V168" s="17" t="n"/>
      <c r="W168" s="16" t="n"/>
      <c r="Z168" s="16" t="n"/>
      <c r="AD168" s="14" t="n"/>
      <c r="AE168" s="14" t="n"/>
      <c r="AL168" s="12" t="n"/>
      <c r="AO168" s="15" t="n"/>
      <c r="AP168" s="15" t="n"/>
      <c r="AQ168" s="13" t="n"/>
      <c r="AR168" s="17" t="n"/>
      <c r="AS168" s="14" t="n"/>
    </row>
    <row r="169">
      <c r="A169" s="12" t="n"/>
      <c r="B169" s="12" t="n"/>
      <c r="C169" s="12" t="n"/>
      <c r="G169" s="14" t="n"/>
      <c r="H169" s="14" t="n"/>
      <c r="I169" s="14" t="n"/>
      <c r="J169" s="15" t="n"/>
      <c r="K169" s="16" t="n"/>
      <c r="L169" s="16" t="n"/>
      <c r="M169" s="15" t="n"/>
      <c r="N169" s="15" t="n"/>
      <c r="P169" s="15" t="n"/>
      <c r="Q169" s="15" t="n"/>
      <c r="R169" s="15" t="n"/>
      <c r="S169" s="15" t="n"/>
      <c r="T169" s="15" t="n"/>
      <c r="U169" s="15" t="n"/>
      <c r="V169" s="17" t="n"/>
      <c r="W169" s="16" t="n"/>
      <c r="Z169" s="16" t="n"/>
      <c r="AD169" s="14" t="n"/>
      <c r="AE169" s="14" t="n"/>
      <c r="AL169" s="12" t="n"/>
      <c r="AO169" s="15" t="n"/>
      <c r="AP169" s="15" t="n"/>
      <c r="AQ169" s="13" t="n"/>
      <c r="AR169" s="17" t="n"/>
      <c r="AS169" s="14" t="n"/>
    </row>
    <row r="170">
      <c r="A170" s="12" t="n"/>
      <c r="B170" s="12" t="n"/>
      <c r="C170" s="12" t="n"/>
      <c r="G170" s="14" t="n"/>
      <c r="H170" s="14" t="n"/>
      <c r="I170" s="14" t="n"/>
      <c r="J170" s="15" t="n"/>
      <c r="K170" s="16" t="n"/>
      <c r="L170" s="16" t="n"/>
      <c r="M170" s="15" t="n"/>
      <c r="N170" s="15" t="n"/>
      <c r="P170" s="15" t="n"/>
      <c r="Q170" s="15" t="n"/>
      <c r="R170" s="15" t="n"/>
      <c r="S170" s="15" t="n"/>
      <c r="T170" s="15" t="n"/>
      <c r="U170" s="15" t="n"/>
      <c r="V170" s="17" t="n"/>
      <c r="W170" s="16" t="n"/>
      <c r="Z170" s="16" t="n"/>
      <c r="AD170" s="14" t="n"/>
      <c r="AE170" s="14" t="n"/>
      <c r="AL170" s="12" t="n"/>
      <c r="AO170" s="15" t="n"/>
      <c r="AP170" s="15" t="n"/>
      <c r="AQ170" s="13" t="n"/>
      <c r="AR170" s="17" t="n"/>
      <c r="AS170" s="14" t="n"/>
    </row>
    <row r="171">
      <c r="A171" s="12" t="n"/>
      <c r="B171" s="12" t="n"/>
      <c r="C171" s="12" t="n"/>
      <c r="G171" s="14" t="n"/>
      <c r="H171" s="14" t="n"/>
      <c r="I171" s="14" t="n"/>
      <c r="J171" s="15" t="n"/>
      <c r="K171" s="16" t="n"/>
      <c r="L171" s="16" t="n"/>
      <c r="M171" s="15" t="n"/>
      <c r="N171" s="15" t="n"/>
      <c r="P171" s="15" t="n"/>
      <c r="Q171" s="15" t="n"/>
      <c r="R171" s="15" t="n"/>
      <c r="S171" s="15" t="n"/>
      <c r="T171" s="15" t="n"/>
      <c r="U171" s="15" t="n"/>
      <c r="V171" s="17" t="n"/>
      <c r="W171" s="16" t="n"/>
      <c r="Z171" s="16" t="n"/>
      <c r="AD171" s="14" t="n"/>
      <c r="AE171" s="14" t="n"/>
      <c r="AL171" s="12" t="n"/>
      <c r="AO171" s="15" t="n"/>
      <c r="AP171" s="15" t="n"/>
      <c r="AQ171" s="13" t="n"/>
      <c r="AR171" s="17" t="n"/>
      <c r="AS171" s="14" t="n"/>
    </row>
    <row r="172">
      <c r="A172" s="12" t="n"/>
      <c r="B172" s="12" t="n"/>
      <c r="C172" s="12" t="n"/>
      <c r="G172" s="14" t="n"/>
      <c r="H172" s="14" t="n"/>
      <c r="I172" s="14" t="n"/>
      <c r="J172" s="15" t="n"/>
      <c r="K172" s="16" t="n"/>
      <c r="L172" s="16" t="n"/>
      <c r="M172" s="15" t="n"/>
      <c r="N172" s="15" t="n"/>
      <c r="P172" s="15" t="n"/>
      <c r="Q172" s="15" t="n"/>
      <c r="R172" s="15" t="n"/>
      <c r="S172" s="15" t="n"/>
      <c r="T172" s="15" t="n"/>
      <c r="U172" s="15" t="n"/>
      <c r="V172" s="17" t="n"/>
      <c r="W172" s="16" t="n"/>
      <c r="Z172" s="16" t="n"/>
      <c r="AD172" s="14" t="n"/>
      <c r="AE172" s="14" t="n"/>
      <c r="AL172" s="12" t="n"/>
      <c r="AO172" s="15" t="n"/>
      <c r="AP172" s="15" t="n"/>
      <c r="AQ172" s="13" t="n"/>
      <c r="AR172" s="17" t="n"/>
      <c r="AS172" s="14" t="n"/>
    </row>
    <row r="173">
      <c r="A173" s="12" t="n"/>
      <c r="B173" s="12" t="n"/>
      <c r="C173" s="12" t="n"/>
      <c r="G173" s="14" t="n"/>
      <c r="H173" s="14" t="n"/>
      <c r="I173" s="14" t="n"/>
      <c r="J173" s="15" t="n"/>
      <c r="K173" s="16" t="n"/>
      <c r="L173" s="16" t="n"/>
      <c r="M173" s="15" t="n"/>
      <c r="N173" s="15" t="n"/>
      <c r="P173" s="15" t="n"/>
      <c r="Q173" s="15" t="n"/>
      <c r="R173" s="15" t="n"/>
      <c r="S173" s="15" t="n"/>
      <c r="T173" s="15" t="n"/>
      <c r="U173" s="15" t="n"/>
      <c r="V173" s="17" t="n"/>
      <c r="W173" s="16" t="n"/>
      <c r="Z173" s="16" t="n"/>
      <c r="AD173" s="14" t="n"/>
      <c r="AE173" s="14" t="n"/>
      <c r="AL173" s="12" t="n"/>
      <c r="AO173" s="15" t="n"/>
      <c r="AP173" s="15" t="n"/>
      <c r="AQ173" s="13" t="n"/>
      <c r="AR173" s="17" t="n"/>
      <c r="AS173" s="14" t="n"/>
    </row>
    <row r="174">
      <c r="A174" s="12" t="n"/>
      <c r="B174" s="12" t="n"/>
      <c r="C174" s="12" t="n"/>
      <c r="G174" s="14" t="n"/>
      <c r="H174" s="14" t="n"/>
      <c r="I174" s="14" t="n"/>
      <c r="J174" s="15" t="n"/>
      <c r="K174" s="16" t="n"/>
      <c r="L174" s="16" t="n"/>
      <c r="M174" s="15" t="n"/>
      <c r="N174" s="15" t="n"/>
      <c r="P174" s="15" t="n"/>
      <c r="Q174" s="15" t="n"/>
      <c r="R174" s="15" t="n"/>
      <c r="S174" s="15" t="n"/>
      <c r="T174" s="15" t="n"/>
      <c r="U174" s="15" t="n"/>
      <c r="V174" s="17" t="n"/>
      <c r="W174" s="16" t="n"/>
      <c r="Z174" s="16" t="n"/>
      <c r="AD174" s="14" t="n"/>
      <c r="AE174" s="14" t="n"/>
      <c r="AL174" s="12" t="n"/>
      <c r="AO174" s="15" t="n"/>
      <c r="AP174" s="15" t="n"/>
      <c r="AQ174" s="13" t="n"/>
      <c r="AR174" s="17" t="n"/>
      <c r="AS174" s="14" t="n"/>
    </row>
    <row r="175">
      <c r="A175" s="12" t="n"/>
      <c r="B175" s="12" t="n"/>
      <c r="C175" s="12" t="n"/>
      <c r="G175" s="14" t="n"/>
      <c r="H175" s="14" t="n"/>
      <c r="I175" s="14" t="n"/>
      <c r="J175" s="15" t="n"/>
      <c r="K175" s="16" t="n"/>
      <c r="L175" s="16" t="n"/>
      <c r="M175" s="15" t="n"/>
      <c r="N175" s="15" t="n"/>
      <c r="P175" s="15" t="n"/>
      <c r="Q175" s="15" t="n"/>
      <c r="R175" s="15" t="n"/>
      <c r="S175" s="15" t="n"/>
      <c r="T175" s="15" t="n"/>
      <c r="U175" s="15" t="n"/>
      <c r="V175" s="17" t="n"/>
      <c r="W175" s="16" t="n"/>
      <c r="Z175" s="16" t="n"/>
      <c r="AD175" s="14" t="n"/>
      <c r="AE175" s="14" t="n"/>
      <c r="AL175" s="12" t="n"/>
      <c r="AO175" s="15" t="n"/>
      <c r="AP175" s="15" t="n"/>
      <c r="AQ175" s="13" t="n"/>
      <c r="AR175" s="17" t="n"/>
      <c r="AS175" s="14" t="n"/>
    </row>
    <row r="176">
      <c r="A176" s="12" t="n"/>
      <c r="B176" s="12" t="n"/>
      <c r="C176" s="12" t="n"/>
      <c r="G176" s="14" t="n"/>
      <c r="H176" s="14" t="n"/>
      <c r="I176" s="14" t="n"/>
      <c r="J176" s="15" t="n"/>
      <c r="K176" s="16" t="n"/>
      <c r="L176" s="16" t="n"/>
      <c r="M176" s="15" t="n"/>
      <c r="N176" s="15" t="n"/>
      <c r="P176" s="15" t="n"/>
      <c r="Q176" s="15" t="n"/>
      <c r="R176" s="15" t="n"/>
      <c r="S176" s="15" t="n"/>
      <c r="T176" s="15" t="n"/>
      <c r="U176" s="15" t="n"/>
      <c r="V176" s="17" t="n"/>
      <c r="W176" s="16" t="n"/>
      <c r="Z176" s="16" t="n"/>
      <c r="AD176" s="14" t="n"/>
      <c r="AE176" s="14" t="n"/>
      <c r="AL176" s="12" t="n"/>
      <c r="AO176" s="15" t="n"/>
      <c r="AP176" s="15" t="n"/>
      <c r="AQ176" s="13" t="n"/>
      <c r="AR176" s="17" t="n"/>
      <c r="AS176" s="14" t="n"/>
    </row>
    <row r="177">
      <c r="A177" s="12" t="n"/>
      <c r="B177" s="12" t="n"/>
      <c r="C177" s="12" t="n"/>
      <c r="G177" s="14" t="n"/>
      <c r="H177" s="14" t="n"/>
      <c r="I177" s="14" t="n"/>
      <c r="J177" s="15" t="n"/>
      <c r="K177" s="16" t="n"/>
      <c r="L177" s="16" t="n"/>
      <c r="M177" s="15" t="n"/>
      <c r="N177" s="15" t="n"/>
      <c r="P177" s="15" t="n"/>
      <c r="Q177" s="15" t="n"/>
      <c r="R177" s="15" t="n"/>
      <c r="S177" s="15" t="n"/>
      <c r="T177" s="15" t="n"/>
      <c r="U177" s="15" t="n"/>
      <c r="V177" s="17" t="n"/>
      <c r="W177" s="16" t="n"/>
      <c r="Z177" s="16" t="n"/>
      <c r="AD177" s="14" t="n"/>
      <c r="AE177" s="14" t="n"/>
      <c r="AL177" s="12" t="n"/>
      <c r="AO177" s="15" t="n"/>
      <c r="AP177" s="15" t="n"/>
      <c r="AQ177" s="13" t="n"/>
      <c r="AR177" s="17" t="n"/>
      <c r="AS177" s="14" t="n"/>
    </row>
    <row r="178">
      <c r="A178" s="12" t="n"/>
      <c r="B178" s="12" t="n"/>
      <c r="C178" s="12" t="n"/>
      <c r="G178" s="14" t="n"/>
      <c r="H178" s="14" t="n"/>
      <c r="I178" s="14" t="n"/>
      <c r="J178" s="15" t="n"/>
      <c r="K178" s="16" t="n"/>
      <c r="L178" s="16" t="n"/>
      <c r="M178" s="15" t="n"/>
      <c r="N178" s="15" t="n"/>
      <c r="P178" s="15" t="n"/>
      <c r="Q178" s="15" t="n"/>
      <c r="R178" s="15" t="n"/>
      <c r="S178" s="15" t="n"/>
      <c r="T178" s="15" t="n"/>
      <c r="U178" s="15" t="n"/>
      <c r="V178" s="17" t="n"/>
      <c r="W178" s="16" t="n"/>
      <c r="Z178" s="16" t="n"/>
      <c r="AD178" s="14" t="n"/>
      <c r="AE178" s="14" t="n"/>
      <c r="AL178" s="12" t="n"/>
      <c r="AO178" s="15" t="n"/>
      <c r="AP178" s="15" t="n"/>
      <c r="AQ178" s="13" t="n"/>
      <c r="AR178" s="17" t="n"/>
      <c r="AS178" s="14" t="n"/>
    </row>
    <row r="179">
      <c r="A179" s="12" t="n"/>
      <c r="B179" s="12" t="n"/>
      <c r="C179" s="12" t="n"/>
      <c r="G179" s="14" t="n"/>
      <c r="H179" s="14" t="n"/>
      <c r="I179" s="14" t="n"/>
      <c r="J179" s="15" t="n"/>
      <c r="K179" s="16" t="n"/>
      <c r="L179" s="16" t="n"/>
      <c r="M179" s="15" t="n"/>
      <c r="N179" s="15" t="n"/>
      <c r="P179" s="15" t="n"/>
      <c r="Q179" s="15" t="n"/>
      <c r="R179" s="15" t="n"/>
      <c r="S179" s="15" t="n"/>
      <c r="T179" s="15" t="n"/>
      <c r="U179" s="15" t="n"/>
      <c r="V179" s="17" t="n"/>
      <c r="W179" s="16" t="n"/>
      <c r="Z179" s="16" t="n"/>
      <c r="AD179" s="14" t="n"/>
      <c r="AE179" s="14" t="n"/>
      <c r="AL179" s="12" t="n"/>
      <c r="AO179" s="15" t="n"/>
      <c r="AP179" s="15" t="n"/>
      <c r="AQ179" s="13" t="n"/>
      <c r="AR179" s="17" t="n"/>
      <c r="AS179" s="14" t="n"/>
    </row>
    <row r="180">
      <c r="A180" s="12" t="n"/>
      <c r="B180" s="12" t="n"/>
      <c r="C180" s="12" t="n"/>
      <c r="G180" s="14" t="n"/>
      <c r="H180" s="14" t="n"/>
      <c r="I180" s="14" t="n"/>
      <c r="J180" s="15" t="n"/>
      <c r="K180" s="16" t="n"/>
      <c r="L180" s="16" t="n"/>
      <c r="M180" s="15" t="n"/>
      <c r="N180" s="15" t="n"/>
      <c r="P180" s="15" t="n"/>
      <c r="Q180" s="15" t="n"/>
      <c r="R180" s="15" t="n"/>
      <c r="S180" s="15" t="n"/>
      <c r="T180" s="15" t="n"/>
      <c r="U180" s="15" t="n"/>
      <c r="V180" s="17" t="n"/>
      <c r="W180" s="16" t="n"/>
      <c r="Z180" s="16" t="n"/>
      <c r="AD180" s="14" t="n"/>
      <c r="AE180" s="14" t="n"/>
      <c r="AL180" s="12" t="n"/>
      <c r="AO180" s="15" t="n"/>
      <c r="AP180" s="15" t="n"/>
      <c r="AQ180" s="13" t="n"/>
      <c r="AR180" s="17" t="n"/>
      <c r="AS180" s="14" t="n"/>
    </row>
    <row r="181">
      <c r="A181" s="12" t="n"/>
      <c r="B181" s="12" t="n"/>
      <c r="C181" s="12" t="n"/>
      <c r="G181" s="14" t="n"/>
      <c r="H181" s="14" t="n"/>
      <c r="I181" s="14" t="n"/>
      <c r="J181" s="15" t="n"/>
      <c r="K181" s="16" t="n"/>
      <c r="L181" s="16" t="n"/>
      <c r="M181" s="15" t="n"/>
      <c r="N181" s="15" t="n"/>
      <c r="P181" s="15" t="n"/>
      <c r="Q181" s="15" t="n"/>
      <c r="R181" s="15" t="n"/>
      <c r="S181" s="15" t="n"/>
      <c r="T181" s="15" t="n"/>
      <c r="U181" s="15" t="n"/>
      <c r="V181" s="17" t="n"/>
      <c r="W181" s="16" t="n"/>
      <c r="Z181" s="16" t="n"/>
      <c r="AD181" s="14" t="n"/>
      <c r="AE181" s="14" t="n"/>
      <c r="AL181" s="12" t="n"/>
      <c r="AO181" s="15" t="n"/>
      <c r="AP181" s="15" t="n"/>
      <c r="AQ181" s="13" t="n"/>
      <c r="AR181" s="17" t="n"/>
      <c r="AS181" s="14" t="n"/>
    </row>
    <row r="182">
      <c r="A182" s="12" t="n"/>
      <c r="B182" s="12" t="n"/>
      <c r="C182" s="12" t="n"/>
      <c r="G182" s="14" t="n"/>
      <c r="H182" s="14" t="n"/>
      <c r="I182" s="14" t="n"/>
      <c r="J182" s="15" t="n"/>
      <c r="K182" s="16" t="n"/>
      <c r="L182" s="16" t="n"/>
      <c r="M182" s="15" t="n"/>
      <c r="N182" s="15" t="n"/>
      <c r="P182" s="15" t="n"/>
      <c r="Q182" s="15" t="n"/>
      <c r="R182" s="15" t="n"/>
      <c r="S182" s="15" t="n"/>
      <c r="T182" s="15" t="n"/>
      <c r="U182" s="15" t="n"/>
      <c r="V182" s="17" t="n"/>
      <c r="W182" s="16" t="n"/>
      <c r="Z182" s="16" t="n"/>
      <c r="AD182" s="14" t="n"/>
      <c r="AE182" s="14" t="n"/>
      <c r="AL182" s="12" t="n"/>
      <c r="AO182" s="15" t="n"/>
      <c r="AP182" s="15" t="n"/>
      <c r="AQ182" s="13" t="n"/>
      <c r="AR182" s="17" t="n"/>
      <c r="AS182" s="14" t="n"/>
    </row>
    <row r="183">
      <c r="A183" s="12" t="n"/>
      <c r="B183" s="12" t="n"/>
      <c r="C183" s="12" t="n"/>
      <c r="G183" s="14" t="n"/>
      <c r="H183" s="14" t="n"/>
      <c r="I183" s="14" t="n"/>
      <c r="J183" s="15" t="n"/>
      <c r="K183" s="16" t="n"/>
      <c r="L183" s="16" t="n"/>
      <c r="M183" s="15" t="n"/>
      <c r="N183" s="15" t="n"/>
      <c r="P183" s="15" t="n"/>
      <c r="Q183" s="15" t="n"/>
      <c r="R183" s="15" t="n"/>
      <c r="S183" s="15" t="n"/>
      <c r="T183" s="15" t="n"/>
      <c r="U183" s="15" t="n"/>
      <c r="V183" s="17" t="n"/>
      <c r="W183" s="16" t="n"/>
      <c r="Z183" s="16" t="n"/>
      <c r="AD183" s="14" t="n"/>
      <c r="AE183" s="14" t="n"/>
      <c r="AL183" s="12" t="n"/>
      <c r="AO183" s="15" t="n"/>
      <c r="AP183" s="15" t="n"/>
      <c r="AQ183" s="13" t="n"/>
      <c r="AR183" s="17" t="n"/>
      <c r="AS183" s="14" t="n"/>
    </row>
    <row r="184">
      <c r="A184" s="12" t="n"/>
      <c r="B184" s="12" t="n"/>
      <c r="C184" s="12" t="n"/>
      <c r="G184" s="14" t="n"/>
      <c r="H184" s="14" t="n"/>
      <c r="I184" s="14" t="n"/>
      <c r="J184" s="15" t="n"/>
      <c r="K184" s="16" t="n"/>
      <c r="L184" s="16" t="n"/>
      <c r="M184" s="15" t="n"/>
      <c r="N184" s="15" t="n"/>
      <c r="P184" s="15" t="n"/>
      <c r="Q184" s="15" t="n"/>
      <c r="R184" s="15" t="n"/>
      <c r="S184" s="15" t="n"/>
      <c r="T184" s="15" t="n"/>
      <c r="U184" s="15" t="n"/>
      <c r="V184" s="17" t="n"/>
      <c r="W184" s="16" t="n"/>
      <c r="Z184" s="16" t="n"/>
      <c r="AD184" s="14" t="n"/>
      <c r="AE184" s="14" t="n"/>
      <c r="AL184" s="12" t="n"/>
      <c r="AO184" s="15" t="n"/>
      <c r="AP184" s="15" t="n"/>
      <c r="AQ184" s="13" t="n"/>
      <c r="AR184" s="17" t="n"/>
      <c r="AS184" s="14" t="n"/>
    </row>
    <row r="185">
      <c r="A185" s="12" t="n"/>
      <c r="B185" s="12" t="n"/>
      <c r="C185" s="12" t="n"/>
      <c r="G185" s="14" t="n"/>
      <c r="H185" s="14" t="n"/>
      <c r="I185" s="14" t="n"/>
      <c r="J185" s="15" t="n"/>
      <c r="K185" s="16" t="n"/>
      <c r="L185" s="16" t="n"/>
      <c r="M185" s="15" t="n"/>
      <c r="N185" s="15" t="n"/>
      <c r="P185" s="15" t="n"/>
      <c r="Q185" s="15" t="n"/>
      <c r="R185" s="15" t="n"/>
      <c r="S185" s="15" t="n"/>
      <c r="T185" s="15" t="n"/>
      <c r="U185" s="15" t="n"/>
      <c r="V185" s="17" t="n"/>
      <c r="W185" s="16" t="n"/>
      <c r="Z185" s="16" t="n"/>
      <c r="AD185" s="14" t="n"/>
      <c r="AE185" s="14" t="n"/>
      <c r="AL185" s="12" t="n"/>
      <c r="AO185" s="15" t="n"/>
      <c r="AP185" s="15" t="n"/>
      <c r="AQ185" s="13" t="n"/>
      <c r="AR185" s="17" t="n"/>
      <c r="AS185" s="14" t="n"/>
    </row>
    <row r="186">
      <c r="A186" s="12" t="n"/>
      <c r="B186" s="12" t="n"/>
      <c r="C186" s="12" t="n"/>
      <c r="G186" s="14" t="n"/>
      <c r="H186" s="14" t="n"/>
      <c r="I186" s="14" t="n"/>
      <c r="J186" s="15" t="n"/>
      <c r="K186" s="16" t="n"/>
      <c r="L186" s="16" t="n"/>
      <c r="M186" s="15" t="n"/>
      <c r="N186" s="15" t="n"/>
      <c r="P186" s="15" t="n"/>
      <c r="Q186" s="15" t="n"/>
      <c r="R186" s="15" t="n"/>
      <c r="S186" s="15" t="n"/>
      <c r="T186" s="15" t="n"/>
      <c r="U186" s="15" t="n"/>
      <c r="V186" s="17" t="n"/>
      <c r="W186" s="16" t="n"/>
      <c r="Z186" s="16" t="n"/>
      <c r="AD186" s="14" t="n"/>
      <c r="AE186" s="14" t="n"/>
      <c r="AL186" s="12" t="n"/>
      <c r="AO186" s="15" t="n"/>
      <c r="AP186" s="15" t="n"/>
      <c r="AQ186" s="13" t="n"/>
      <c r="AR186" s="17" t="n"/>
      <c r="AS186" s="14" t="n"/>
    </row>
    <row r="187">
      <c r="A187" s="12" t="n"/>
      <c r="B187" s="12" t="n"/>
      <c r="C187" s="12" t="n"/>
      <c r="G187" s="14" t="n"/>
      <c r="H187" s="14" t="n"/>
      <c r="I187" s="14" t="n"/>
      <c r="J187" s="15" t="n"/>
      <c r="K187" s="16" t="n"/>
      <c r="L187" s="16" t="n"/>
      <c r="M187" s="15" t="n"/>
      <c r="N187" s="15" t="n"/>
      <c r="P187" s="15" t="n"/>
      <c r="Q187" s="15" t="n"/>
      <c r="R187" s="15" t="n"/>
      <c r="S187" s="15" t="n"/>
      <c r="T187" s="15" t="n"/>
      <c r="U187" s="15" t="n"/>
      <c r="V187" s="17" t="n"/>
      <c r="W187" s="16" t="n"/>
      <c r="Z187" s="16" t="n"/>
      <c r="AD187" s="14" t="n"/>
      <c r="AE187" s="14" t="n"/>
      <c r="AL187" s="12" t="n"/>
      <c r="AO187" s="15" t="n"/>
      <c r="AP187" s="15" t="n"/>
      <c r="AQ187" s="13" t="n"/>
      <c r="AR187" s="17" t="n"/>
      <c r="AS187" s="14" t="n"/>
    </row>
    <row r="188">
      <c r="A188" s="12" t="n"/>
      <c r="B188" s="12" t="n"/>
      <c r="C188" s="12" t="n"/>
      <c r="G188" s="14" t="n"/>
      <c r="H188" s="14" t="n"/>
      <c r="I188" s="14" t="n"/>
      <c r="J188" s="15" t="n"/>
      <c r="K188" s="16" t="n"/>
      <c r="L188" s="16" t="n"/>
      <c r="M188" s="15" t="n"/>
      <c r="N188" s="15" t="n"/>
      <c r="P188" s="15" t="n"/>
      <c r="Q188" s="15" t="n"/>
      <c r="R188" s="15" t="n"/>
      <c r="S188" s="15" t="n"/>
      <c r="T188" s="15" t="n"/>
      <c r="U188" s="15" t="n"/>
      <c r="V188" s="17" t="n"/>
      <c r="W188" s="16" t="n"/>
      <c r="Z188" s="16" t="n"/>
      <c r="AD188" s="14" t="n"/>
      <c r="AE188" s="14" t="n"/>
      <c r="AL188" s="12" t="n"/>
      <c r="AO188" s="15" t="n"/>
      <c r="AP188" s="15" t="n"/>
      <c r="AQ188" s="13" t="n"/>
      <c r="AR188" s="17" t="n"/>
      <c r="AS188" s="14" t="n"/>
    </row>
    <row r="189">
      <c r="A189" s="12" t="n"/>
      <c r="B189" s="12" t="n"/>
      <c r="C189" s="12" t="n"/>
      <c r="G189" s="14" t="n"/>
      <c r="H189" s="14" t="n"/>
      <c r="I189" s="14" t="n"/>
      <c r="J189" s="15" t="n"/>
      <c r="K189" s="16" t="n"/>
      <c r="L189" s="16" t="n"/>
      <c r="M189" s="15" t="n"/>
      <c r="N189" s="15" t="n"/>
      <c r="P189" s="15" t="n"/>
      <c r="Q189" s="15" t="n"/>
      <c r="R189" s="15" t="n"/>
      <c r="S189" s="15" t="n"/>
      <c r="T189" s="15" t="n"/>
      <c r="U189" s="15" t="n"/>
      <c r="V189" s="17" t="n"/>
      <c r="W189" s="16" t="n"/>
      <c r="Z189" s="16" t="n"/>
      <c r="AD189" s="14" t="n"/>
      <c r="AE189" s="14" t="n"/>
      <c r="AL189" s="12" t="n"/>
      <c r="AO189" s="15" t="n"/>
      <c r="AP189" s="15" t="n"/>
      <c r="AQ189" s="13" t="n"/>
      <c r="AR189" s="17" t="n"/>
      <c r="AS189" s="14" t="n"/>
    </row>
    <row r="190">
      <c r="A190" s="12" t="n"/>
      <c r="B190" s="12" t="n"/>
      <c r="C190" s="12" t="n"/>
      <c r="G190" s="14" t="n"/>
      <c r="H190" s="14" t="n"/>
      <c r="I190" s="14" t="n"/>
      <c r="J190" s="15" t="n"/>
      <c r="K190" s="16" t="n"/>
      <c r="L190" s="16" t="n"/>
      <c r="M190" s="15" t="n"/>
      <c r="N190" s="15" t="n"/>
      <c r="P190" s="15" t="n"/>
      <c r="Q190" s="15" t="n"/>
      <c r="R190" s="15" t="n"/>
      <c r="S190" s="15" t="n"/>
      <c r="T190" s="15" t="n"/>
      <c r="U190" s="15" t="n"/>
      <c r="V190" s="17" t="n"/>
      <c r="W190" s="16" t="n"/>
      <c r="Z190" s="16" t="n"/>
      <c r="AD190" s="14" t="n"/>
      <c r="AE190" s="14" t="n"/>
      <c r="AL190" s="12" t="n"/>
      <c r="AO190" s="15" t="n"/>
      <c r="AP190" s="15" t="n"/>
      <c r="AQ190" s="13" t="n"/>
      <c r="AR190" s="17" t="n"/>
      <c r="AS190" s="14" t="n"/>
    </row>
    <row r="191">
      <c r="A191" s="12" t="n"/>
      <c r="B191" s="12" t="n"/>
      <c r="C191" s="12" t="n"/>
      <c r="G191" s="14" t="n"/>
      <c r="H191" s="14" t="n"/>
      <c r="I191" s="14" t="n"/>
      <c r="J191" s="15" t="n"/>
      <c r="K191" s="16" t="n"/>
      <c r="L191" s="16" t="n"/>
      <c r="M191" s="15" t="n"/>
      <c r="N191" s="15" t="n"/>
      <c r="P191" s="15" t="n"/>
      <c r="Q191" s="15" t="n"/>
      <c r="R191" s="15" t="n"/>
      <c r="S191" s="15" t="n"/>
      <c r="T191" s="15" t="n"/>
      <c r="U191" s="15" t="n"/>
      <c r="V191" s="17" t="n"/>
      <c r="W191" s="16" t="n"/>
      <c r="Z191" s="16" t="n"/>
      <c r="AD191" s="14" t="n"/>
      <c r="AE191" s="14" t="n"/>
      <c r="AL191" s="12" t="n"/>
      <c r="AO191" s="15" t="n"/>
      <c r="AP191" s="15" t="n"/>
      <c r="AQ191" s="13" t="n"/>
      <c r="AR191" s="17" t="n"/>
      <c r="AS191" s="14" t="n"/>
    </row>
    <row r="192">
      <c r="A192" s="12" t="n"/>
      <c r="B192" s="12" t="n"/>
      <c r="C192" s="12" t="n"/>
      <c r="G192" s="14" t="n"/>
      <c r="H192" s="14" t="n"/>
      <c r="I192" s="14" t="n"/>
      <c r="J192" s="15" t="n"/>
      <c r="K192" s="16" t="n"/>
      <c r="L192" s="16" t="n"/>
      <c r="M192" s="15" t="n"/>
      <c r="N192" s="15" t="n"/>
      <c r="P192" s="15" t="n"/>
      <c r="Q192" s="15" t="n"/>
      <c r="R192" s="15" t="n"/>
      <c r="S192" s="15" t="n"/>
      <c r="T192" s="15" t="n"/>
      <c r="U192" s="15" t="n"/>
      <c r="V192" s="17" t="n"/>
      <c r="W192" s="16" t="n"/>
      <c r="Z192" s="16" t="n"/>
      <c r="AD192" s="14" t="n"/>
      <c r="AE192" s="14" t="n"/>
      <c r="AL192" s="12" t="n"/>
      <c r="AO192" s="15" t="n"/>
      <c r="AP192" s="15" t="n"/>
      <c r="AQ192" s="13" t="n"/>
      <c r="AR192" s="17" t="n"/>
      <c r="AS192" s="14" t="n"/>
    </row>
    <row r="193">
      <c r="A193" s="12" t="n"/>
      <c r="B193" s="12" t="n"/>
      <c r="C193" s="12" t="n"/>
      <c r="G193" s="14" t="n"/>
      <c r="H193" s="14" t="n"/>
      <c r="I193" s="14" t="n"/>
      <c r="J193" s="15" t="n"/>
      <c r="K193" s="16" t="n"/>
      <c r="L193" s="16" t="n"/>
      <c r="M193" s="15" t="n"/>
      <c r="N193" s="15" t="n"/>
      <c r="P193" s="15" t="n"/>
      <c r="Q193" s="15" t="n"/>
      <c r="R193" s="15" t="n"/>
      <c r="S193" s="15" t="n"/>
      <c r="T193" s="15" t="n"/>
      <c r="U193" s="15" t="n"/>
      <c r="V193" s="17" t="n"/>
      <c r="W193" s="16" t="n"/>
      <c r="Z193" s="16" t="n"/>
      <c r="AD193" s="14" t="n"/>
      <c r="AE193" s="14" t="n"/>
      <c r="AL193" s="12" t="n"/>
      <c r="AO193" s="15" t="n"/>
      <c r="AP193" s="15" t="n"/>
      <c r="AQ193" s="13" t="n"/>
      <c r="AR193" s="17" t="n"/>
      <c r="AS193" s="14" t="n"/>
    </row>
    <row r="194">
      <c r="A194" s="12" t="n"/>
      <c r="B194" s="12" t="n"/>
      <c r="C194" s="12" t="n"/>
      <c r="G194" s="14" t="n"/>
      <c r="H194" s="14" t="n"/>
      <c r="I194" s="14" t="n"/>
      <c r="J194" s="15" t="n"/>
      <c r="K194" s="16" t="n"/>
      <c r="L194" s="16" t="n"/>
      <c r="M194" s="15" t="n"/>
      <c r="N194" s="15" t="n"/>
      <c r="P194" s="15" t="n"/>
      <c r="Q194" s="15" t="n"/>
      <c r="R194" s="15" t="n"/>
      <c r="S194" s="15" t="n"/>
      <c r="T194" s="15" t="n"/>
      <c r="U194" s="15" t="n"/>
      <c r="V194" s="17" t="n"/>
      <c r="W194" s="16" t="n"/>
      <c r="Z194" s="16" t="n"/>
      <c r="AD194" s="14" t="n"/>
      <c r="AE194" s="14" t="n"/>
      <c r="AL194" s="12" t="n"/>
      <c r="AO194" s="15" t="n"/>
      <c r="AP194" s="15" t="n"/>
      <c r="AQ194" s="13" t="n"/>
      <c r="AR194" s="17" t="n"/>
      <c r="AS194" s="14" t="n"/>
    </row>
    <row r="195">
      <c r="A195" s="12" t="n"/>
      <c r="B195" s="12" t="n"/>
      <c r="C195" s="12" t="n"/>
      <c r="G195" s="14" t="n"/>
      <c r="H195" s="14" t="n"/>
      <c r="I195" s="14" t="n"/>
      <c r="J195" s="15" t="n"/>
      <c r="K195" s="16" t="n"/>
      <c r="L195" s="16" t="n"/>
      <c r="M195" s="15" t="n"/>
      <c r="N195" s="15" t="n"/>
      <c r="P195" s="15" t="n"/>
      <c r="Q195" s="15" t="n"/>
      <c r="R195" s="15" t="n"/>
      <c r="S195" s="15" t="n"/>
      <c r="T195" s="15" t="n"/>
      <c r="U195" s="15" t="n"/>
      <c r="V195" s="17" t="n"/>
      <c r="W195" s="16" t="n"/>
      <c r="Z195" s="16" t="n"/>
      <c r="AD195" s="14" t="n"/>
      <c r="AE195" s="14" t="n"/>
      <c r="AL195" s="12" t="n"/>
      <c r="AO195" s="15" t="n"/>
      <c r="AP195" s="15" t="n"/>
      <c r="AQ195" s="13" t="n"/>
      <c r="AR195" s="17" t="n"/>
      <c r="AS195" s="14" t="n"/>
    </row>
    <row r="196">
      <c r="A196" s="12" t="n"/>
      <c r="B196" s="12" t="n"/>
      <c r="C196" s="12" t="n"/>
      <c r="G196" s="14" t="n"/>
      <c r="H196" s="14" t="n"/>
      <c r="I196" s="14" t="n"/>
      <c r="J196" s="15" t="n"/>
      <c r="K196" s="16" t="n"/>
      <c r="L196" s="16" t="n"/>
      <c r="M196" s="15" t="n"/>
      <c r="N196" s="15" t="n"/>
      <c r="P196" s="15" t="n"/>
      <c r="Q196" s="15" t="n"/>
      <c r="R196" s="15" t="n"/>
      <c r="S196" s="15" t="n"/>
      <c r="T196" s="15" t="n"/>
      <c r="U196" s="15" t="n"/>
      <c r="V196" s="17" t="n"/>
      <c r="W196" s="16" t="n"/>
      <c r="Z196" s="16" t="n"/>
      <c r="AD196" s="14" t="n"/>
      <c r="AE196" s="14" t="n"/>
      <c r="AL196" s="12" t="n"/>
      <c r="AO196" s="15" t="n"/>
      <c r="AP196" s="15" t="n"/>
      <c r="AQ196" s="13" t="n"/>
      <c r="AR196" s="17" t="n"/>
      <c r="AS196" s="14" t="n"/>
    </row>
    <row r="197">
      <c r="A197" s="12" t="n"/>
      <c r="B197" s="12" t="n"/>
      <c r="C197" s="12" t="n"/>
      <c r="G197" s="14" t="n"/>
      <c r="H197" s="14" t="n"/>
      <c r="I197" s="14" t="n"/>
      <c r="J197" s="15" t="n"/>
      <c r="K197" s="16" t="n"/>
      <c r="L197" s="16" t="n"/>
      <c r="M197" s="15" t="n"/>
      <c r="N197" s="15" t="n"/>
      <c r="P197" s="15" t="n"/>
      <c r="Q197" s="15" t="n"/>
      <c r="R197" s="15" t="n"/>
      <c r="S197" s="15" t="n"/>
      <c r="T197" s="15" t="n"/>
      <c r="U197" s="15" t="n"/>
      <c r="V197" s="17" t="n"/>
      <c r="W197" s="16" t="n"/>
      <c r="Z197" s="16" t="n"/>
      <c r="AD197" s="14" t="n"/>
      <c r="AE197" s="14" t="n"/>
      <c r="AL197" s="12" t="n"/>
      <c r="AO197" s="15" t="n"/>
      <c r="AP197" s="15" t="n"/>
      <c r="AQ197" s="13" t="n"/>
      <c r="AR197" s="17" t="n"/>
      <c r="AS197" s="14" t="n"/>
    </row>
    <row r="198">
      <c r="A198" s="12" t="n"/>
      <c r="B198" s="12" t="n"/>
      <c r="C198" s="12" t="n"/>
      <c r="G198" s="14" t="n"/>
      <c r="H198" s="14" t="n"/>
      <c r="I198" s="14" t="n"/>
      <c r="J198" s="15" t="n"/>
      <c r="K198" s="16" t="n"/>
      <c r="L198" s="16" t="n"/>
      <c r="M198" s="15" t="n"/>
      <c r="N198" s="15" t="n"/>
      <c r="P198" s="15" t="n"/>
      <c r="Q198" s="15" t="n"/>
      <c r="R198" s="15" t="n"/>
      <c r="S198" s="15" t="n"/>
      <c r="T198" s="15" t="n"/>
      <c r="U198" s="15" t="n"/>
      <c r="V198" s="17" t="n"/>
      <c r="W198" s="16" t="n"/>
      <c r="Z198" s="16" t="n"/>
      <c r="AD198" s="14" t="n"/>
      <c r="AE198" s="14" t="n"/>
      <c r="AL198" s="12" t="n"/>
      <c r="AO198" s="15" t="n"/>
      <c r="AP198" s="15" t="n"/>
      <c r="AQ198" s="13" t="n"/>
      <c r="AR198" s="17" t="n"/>
      <c r="AS198" s="14" t="n"/>
    </row>
    <row r="199">
      <c r="A199" s="12" t="n"/>
      <c r="B199" s="12" t="n"/>
      <c r="C199" s="12" t="n"/>
      <c r="G199" s="14" t="n"/>
      <c r="H199" s="14" t="n"/>
      <c r="I199" s="14" t="n"/>
      <c r="J199" s="15" t="n"/>
      <c r="K199" s="16" t="n"/>
      <c r="L199" s="16" t="n"/>
      <c r="M199" s="15" t="n"/>
      <c r="N199" s="15" t="n"/>
      <c r="P199" s="15" t="n"/>
      <c r="Q199" s="15" t="n"/>
      <c r="R199" s="15" t="n"/>
      <c r="S199" s="15" t="n"/>
      <c r="T199" s="15" t="n"/>
      <c r="U199" s="15" t="n"/>
      <c r="V199" s="17" t="n"/>
      <c r="W199" s="16" t="n"/>
      <c r="Z199" s="16" t="n"/>
      <c r="AD199" s="14" t="n"/>
      <c r="AE199" s="14" t="n"/>
      <c r="AL199" s="12" t="n"/>
      <c r="AO199" s="15" t="n"/>
      <c r="AP199" s="15" t="n"/>
      <c r="AQ199" s="13" t="n"/>
      <c r="AR199" s="17" t="n"/>
      <c r="AS199" s="14" t="n"/>
    </row>
    <row r="200">
      <c r="A200" s="12" t="n"/>
      <c r="B200" s="12" t="n"/>
      <c r="C200" s="12" t="n"/>
      <c r="G200" s="14" t="n"/>
      <c r="H200" s="14" t="n"/>
      <c r="I200" s="14" t="n"/>
      <c r="J200" s="15" t="n"/>
      <c r="K200" s="16" t="n"/>
      <c r="L200" s="16" t="n"/>
      <c r="M200" s="15" t="n"/>
      <c r="N200" s="15" t="n"/>
      <c r="P200" s="15" t="n"/>
      <c r="Q200" s="15" t="n"/>
      <c r="R200" s="15" t="n"/>
      <c r="S200" s="15" t="n"/>
      <c r="T200" s="15" t="n"/>
      <c r="U200" s="15" t="n"/>
      <c r="V200" s="17" t="n"/>
      <c r="W200" s="16" t="n"/>
      <c r="Z200" s="16" t="n"/>
      <c r="AD200" s="14" t="n"/>
      <c r="AE200" s="14" t="n"/>
      <c r="AL200" s="12" t="n"/>
      <c r="AO200" s="15" t="n"/>
      <c r="AP200" s="15" t="n"/>
      <c r="AQ200" s="13" t="n"/>
      <c r="AR200" s="17" t="n"/>
      <c r="AS200" s="14" t="n"/>
    </row>
    <row r="201">
      <c r="A201" s="12" t="n"/>
      <c r="B201" s="12" t="n"/>
      <c r="C201" s="12" t="n"/>
      <c r="G201" s="14" t="n"/>
      <c r="H201" s="14" t="n"/>
      <c r="I201" s="14" t="n"/>
      <c r="J201" s="15" t="n"/>
      <c r="K201" s="16" t="n"/>
      <c r="L201" s="16" t="n"/>
      <c r="M201" s="15" t="n"/>
      <c r="N201" s="15" t="n"/>
      <c r="P201" s="15" t="n"/>
      <c r="Q201" s="15" t="n"/>
      <c r="R201" s="15" t="n"/>
      <c r="S201" s="15" t="n"/>
      <c r="T201" s="15" t="n"/>
      <c r="U201" s="15" t="n"/>
      <c r="V201" s="17" t="n"/>
      <c r="W201" s="16" t="n"/>
      <c r="Z201" s="16" t="n"/>
      <c r="AD201" s="14" t="n"/>
      <c r="AE201" s="14" t="n"/>
      <c r="AL201" s="12" t="n"/>
      <c r="AO201" s="15" t="n"/>
      <c r="AP201" s="15" t="n"/>
      <c r="AQ201" s="13" t="n"/>
      <c r="AR201" s="17" t="n"/>
      <c r="AS201" s="14" t="n"/>
    </row>
    <row r="202">
      <c r="A202" s="12" t="n"/>
      <c r="B202" s="12" t="n"/>
      <c r="C202" s="12" t="n"/>
      <c r="G202" s="14" t="n"/>
      <c r="H202" s="14" t="n"/>
      <c r="I202" s="14" t="n"/>
      <c r="J202" s="15" t="n"/>
      <c r="K202" s="16" t="n"/>
      <c r="L202" s="16" t="n"/>
      <c r="M202" s="15" t="n"/>
      <c r="N202" s="15" t="n"/>
      <c r="P202" s="15" t="n"/>
      <c r="Q202" s="15" t="n"/>
      <c r="R202" s="15" t="n"/>
      <c r="S202" s="15" t="n"/>
      <c r="T202" s="15" t="n"/>
      <c r="U202" s="15" t="n"/>
      <c r="V202" s="17" t="n"/>
      <c r="W202" s="16" t="n"/>
      <c r="Z202" s="16" t="n"/>
      <c r="AD202" s="14" t="n"/>
      <c r="AE202" s="14" t="n"/>
      <c r="AL202" s="12" t="n"/>
      <c r="AO202" s="15" t="n"/>
      <c r="AP202" s="15" t="n"/>
      <c r="AQ202" s="13" t="n"/>
      <c r="AR202" s="17" t="n"/>
      <c r="AS202" s="14" t="n"/>
    </row>
    <row r="203">
      <c r="A203" s="12" t="n"/>
      <c r="B203" s="12" t="n"/>
      <c r="C203" s="12" t="n"/>
      <c r="G203" s="14" t="n"/>
      <c r="H203" s="14" t="n"/>
      <c r="I203" s="14" t="n"/>
      <c r="J203" s="15" t="n"/>
      <c r="K203" s="16" t="n"/>
      <c r="L203" s="16" t="n"/>
      <c r="M203" s="15" t="n"/>
      <c r="N203" s="15" t="n"/>
      <c r="P203" s="15" t="n"/>
      <c r="Q203" s="15" t="n"/>
      <c r="R203" s="15" t="n"/>
      <c r="S203" s="15" t="n"/>
      <c r="T203" s="15" t="n"/>
      <c r="U203" s="15" t="n"/>
      <c r="V203" s="17" t="n"/>
      <c r="W203" s="16" t="n"/>
      <c r="Z203" s="16" t="n"/>
      <c r="AD203" s="14" t="n"/>
      <c r="AE203" s="14" t="n"/>
      <c r="AL203" s="12" t="n"/>
      <c r="AO203" s="15" t="n"/>
      <c r="AP203" s="15" t="n"/>
      <c r="AQ203" s="13" t="n"/>
      <c r="AR203" s="17" t="n"/>
      <c r="AS203" s="1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S203"/>
  <conditionalFormatting sqref="H4:H204">
    <cfRule type="cellIs" priority="1" operator="between" dxfId="2">
      <formula>100001</formula>
      <formula>200000</formula>
    </cfRule>
  </conditionalFormatting>
  <conditionalFormatting sqref="I4:I204">
    <cfRule type="cellIs" priority="2" operator="between" dxfId="2">
      <formula>21</formula>
      <formula>59</formula>
    </cfRule>
  </conditionalFormatting>
  <conditionalFormatting sqref="J4:J204">
    <cfRule type="cellIs" priority="3" operator="between" dxfId="2">
      <formula>0.01</formula>
      <formula>3.99</formula>
    </cfRule>
  </conditionalFormatting>
  <conditionalFormatting sqref="K4:K204">
    <cfRule type="cellIs" priority="4" operator="between" dxfId="2">
      <formula>0.00001</formula>
      <formula>0.29999</formula>
    </cfRule>
  </conditionalFormatting>
  <conditionalFormatting sqref="L4:L204">
    <cfRule type="cellIs" priority="5" operator="between" dxfId="2">
      <formula>0.00001</formula>
      <formula>0.29999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  <col width="14" customWidth="1" min="3" max="3"/>
    <col width="12" customWidth="1" min="4" max="4"/>
    <col width="14" customWidth="1" min="5" max="5"/>
  </cols>
  <sheetData>
    <row r="1">
      <c r="A1" s="1" t="inlineStr">
        <is>
          <t>Item Code</t>
        </is>
      </c>
      <c r="B1" s="1" t="inlineStr">
        <is>
          <t>Description</t>
        </is>
      </c>
      <c r="C1" s="1" t="inlineStr">
        <is>
          <t>Unit Cost</t>
        </is>
      </c>
      <c r="D1" s="1" t="inlineStr">
        <is>
          <t>Order Qty</t>
        </is>
      </c>
      <c r="E1" s="1" t="inlineStr">
        <is>
          <t>Total Amount</t>
        </is>
      </c>
    </row>
    <row r="2">
      <c r="A2">
        <f>IF(BUY!U4&gt;0, BUY!A4, "")</f>
        <v/>
      </c>
      <c r="B2">
        <f>IF(BUY!U4&gt;0, BUY!S4, "")</f>
        <v/>
      </c>
      <c r="C2" s="17">
        <f>IF(BUY!U4&gt;0, BUY!T4, "")</f>
        <v/>
      </c>
      <c r="D2" s="13">
        <f>IF(BUY!U4&gt;0, BUY!U4, "")</f>
        <v/>
      </c>
      <c r="E2" s="15">
        <f>IF(BUY!U4&gt;0, BUY!V4, "")</f>
        <v/>
      </c>
    </row>
    <row r="3">
      <c r="A3">
        <f>IF(BUY!U5&gt;0, BUY!A5, "")</f>
        <v/>
      </c>
      <c r="B3">
        <f>IF(BUY!U5&gt;0, BUY!S5, "")</f>
        <v/>
      </c>
      <c r="C3" s="17">
        <f>IF(BUY!U5&gt;0, BUY!T5, "")</f>
        <v/>
      </c>
      <c r="D3" s="13">
        <f>IF(BUY!U5&gt;0, BUY!U5, "")</f>
        <v/>
      </c>
      <c r="E3" s="15">
        <f>IF(BUY!U5&gt;0, BUY!V5, "")</f>
        <v/>
      </c>
    </row>
    <row r="4">
      <c r="A4">
        <f>IF(BUY!U6&gt;0, BUY!A6, "")</f>
        <v/>
      </c>
      <c r="B4">
        <f>IF(BUY!U6&gt;0, BUY!S6, "")</f>
        <v/>
      </c>
      <c r="C4" s="17">
        <f>IF(BUY!U6&gt;0, BUY!T6, "")</f>
        <v/>
      </c>
      <c r="D4" s="13">
        <f>IF(BUY!U6&gt;0, BUY!U6, "")</f>
        <v/>
      </c>
      <c r="E4" s="15">
        <f>IF(BUY!U6&gt;0, BUY!V6, "")</f>
        <v/>
      </c>
    </row>
    <row r="5">
      <c r="A5">
        <f>IF(BUY!U7&gt;0, BUY!A7, "")</f>
        <v/>
      </c>
      <c r="B5">
        <f>IF(BUY!U7&gt;0, BUY!S7, "")</f>
        <v/>
      </c>
      <c r="C5" s="17">
        <f>IF(BUY!U7&gt;0, BUY!T7, "")</f>
        <v/>
      </c>
      <c r="D5" s="13">
        <f>IF(BUY!U7&gt;0, BUY!U7, "")</f>
        <v/>
      </c>
      <c r="E5" s="15">
        <f>IF(BUY!U7&gt;0, BUY!V7, "")</f>
        <v/>
      </c>
    </row>
    <row r="6">
      <c r="A6">
        <f>IF(BUY!U8&gt;0, BUY!A8, "")</f>
        <v/>
      </c>
      <c r="B6">
        <f>IF(BUY!U8&gt;0, BUY!S8, "")</f>
        <v/>
      </c>
      <c r="C6" s="17">
        <f>IF(BUY!U8&gt;0, BUY!T8, "")</f>
        <v/>
      </c>
      <c r="D6" s="13">
        <f>IF(BUY!U8&gt;0, BUY!U8, "")</f>
        <v/>
      </c>
      <c r="E6" s="15">
        <f>IF(BUY!U8&gt;0, BUY!V8, "")</f>
        <v/>
      </c>
    </row>
    <row r="7">
      <c r="A7">
        <f>IF(BUY!U9&gt;0, BUY!A9, "")</f>
        <v/>
      </c>
      <c r="B7">
        <f>IF(BUY!U9&gt;0, BUY!S9, "")</f>
        <v/>
      </c>
      <c r="C7" s="17">
        <f>IF(BUY!U9&gt;0, BUY!T9, "")</f>
        <v/>
      </c>
      <c r="D7" s="13">
        <f>IF(BUY!U9&gt;0, BUY!U9, "")</f>
        <v/>
      </c>
      <c r="E7" s="15">
        <f>IF(BUY!U9&gt;0, BUY!V9, "")</f>
        <v/>
      </c>
    </row>
    <row r="8">
      <c r="A8">
        <f>IF(BUY!U10&gt;0, BUY!A10, "")</f>
        <v/>
      </c>
      <c r="B8">
        <f>IF(BUY!U10&gt;0, BUY!S10, "")</f>
        <v/>
      </c>
      <c r="C8" s="17">
        <f>IF(BUY!U10&gt;0, BUY!T10, "")</f>
        <v/>
      </c>
      <c r="D8" s="13">
        <f>IF(BUY!U10&gt;0, BUY!U10, "")</f>
        <v/>
      </c>
      <c r="E8" s="15">
        <f>IF(BUY!U10&gt;0, BUY!V10, "")</f>
        <v/>
      </c>
    </row>
    <row r="9">
      <c r="A9">
        <f>IF(BUY!U11&gt;0, BUY!A11, "")</f>
        <v/>
      </c>
      <c r="B9">
        <f>IF(BUY!U11&gt;0, BUY!S11, "")</f>
        <v/>
      </c>
      <c r="C9" s="17">
        <f>IF(BUY!U11&gt;0, BUY!T11, "")</f>
        <v/>
      </c>
      <c r="D9" s="13">
        <f>IF(BUY!U11&gt;0, BUY!U11, "")</f>
        <v/>
      </c>
      <c r="E9" s="15">
        <f>IF(BUY!U11&gt;0, BUY!V11, "")</f>
        <v/>
      </c>
    </row>
    <row r="10">
      <c r="A10">
        <f>IF(BUY!U12&gt;0, BUY!A12, "")</f>
        <v/>
      </c>
      <c r="B10">
        <f>IF(BUY!U12&gt;0, BUY!S12, "")</f>
        <v/>
      </c>
      <c r="C10" s="17">
        <f>IF(BUY!U12&gt;0, BUY!T12, "")</f>
        <v/>
      </c>
      <c r="D10" s="13">
        <f>IF(BUY!U12&gt;0, BUY!U12, "")</f>
        <v/>
      </c>
      <c r="E10" s="15">
        <f>IF(BUY!U12&gt;0, BUY!V12, "")</f>
        <v/>
      </c>
    </row>
    <row r="11">
      <c r="A11">
        <f>IF(BUY!U13&gt;0, BUY!A13, "")</f>
        <v/>
      </c>
      <c r="B11">
        <f>IF(BUY!U13&gt;0, BUY!S13, "")</f>
        <v/>
      </c>
      <c r="C11" s="17">
        <f>IF(BUY!U13&gt;0, BUY!T13, "")</f>
        <v/>
      </c>
      <c r="D11" s="13">
        <f>IF(BUY!U13&gt;0, BUY!U13, "")</f>
        <v/>
      </c>
      <c r="E11" s="15">
        <f>IF(BUY!U13&gt;0, BUY!V13, "")</f>
        <v/>
      </c>
    </row>
    <row r="12">
      <c r="A12">
        <f>IF(BUY!U14&gt;0, BUY!A14, "")</f>
        <v/>
      </c>
      <c r="B12">
        <f>IF(BUY!U14&gt;0, BUY!S14, "")</f>
        <v/>
      </c>
      <c r="C12" s="17">
        <f>IF(BUY!U14&gt;0, BUY!T14, "")</f>
        <v/>
      </c>
      <c r="D12" s="13">
        <f>IF(BUY!U14&gt;0, BUY!U14, "")</f>
        <v/>
      </c>
      <c r="E12" s="15">
        <f>IF(BUY!U14&gt;0, BUY!V14, "")</f>
        <v/>
      </c>
    </row>
    <row r="13">
      <c r="A13">
        <f>IF(BUY!U15&gt;0, BUY!A15, "")</f>
        <v/>
      </c>
      <c r="B13">
        <f>IF(BUY!U15&gt;0, BUY!S15, "")</f>
        <v/>
      </c>
      <c r="C13" s="17">
        <f>IF(BUY!U15&gt;0, BUY!T15, "")</f>
        <v/>
      </c>
      <c r="D13" s="13">
        <f>IF(BUY!U15&gt;0, BUY!U15, "")</f>
        <v/>
      </c>
      <c r="E13" s="15">
        <f>IF(BUY!U15&gt;0, BUY!V15, "")</f>
        <v/>
      </c>
    </row>
    <row r="14">
      <c r="A14">
        <f>IF(BUY!U16&gt;0, BUY!A16, "")</f>
        <v/>
      </c>
      <c r="B14">
        <f>IF(BUY!U16&gt;0, BUY!S16, "")</f>
        <v/>
      </c>
      <c r="C14" s="17">
        <f>IF(BUY!U16&gt;0, BUY!T16, "")</f>
        <v/>
      </c>
      <c r="D14" s="13">
        <f>IF(BUY!U16&gt;0, BUY!U16, "")</f>
        <v/>
      </c>
      <c r="E14" s="15">
        <f>IF(BUY!U16&gt;0, BUY!V16, "")</f>
        <v/>
      </c>
    </row>
    <row r="15">
      <c r="A15">
        <f>IF(BUY!U17&gt;0, BUY!A17, "")</f>
        <v/>
      </c>
      <c r="B15">
        <f>IF(BUY!U17&gt;0, BUY!S17, "")</f>
        <v/>
      </c>
      <c r="C15" s="17">
        <f>IF(BUY!U17&gt;0, BUY!T17, "")</f>
        <v/>
      </c>
      <c r="D15" s="13">
        <f>IF(BUY!U17&gt;0, BUY!U17, "")</f>
        <v/>
      </c>
      <c r="E15" s="15">
        <f>IF(BUY!U17&gt;0, BUY!V17, "")</f>
        <v/>
      </c>
    </row>
    <row r="16">
      <c r="A16">
        <f>IF(BUY!U18&gt;0, BUY!A18, "")</f>
        <v/>
      </c>
      <c r="B16">
        <f>IF(BUY!U18&gt;0, BUY!S18, "")</f>
        <v/>
      </c>
      <c r="C16" s="17">
        <f>IF(BUY!U18&gt;0, BUY!T18, "")</f>
        <v/>
      </c>
      <c r="D16" s="13">
        <f>IF(BUY!U18&gt;0, BUY!U18, "")</f>
        <v/>
      </c>
      <c r="E16" s="15">
        <f>IF(BUY!U18&gt;0, BUY!V18, "")</f>
        <v/>
      </c>
    </row>
    <row r="17">
      <c r="A17">
        <f>IF(BUY!U19&gt;0, BUY!A19, "")</f>
        <v/>
      </c>
      <c r="B17">
        <f>IF(BUY!U19&gt;0, BUY!S19, "")</f>
        <v/>
      </c>
      <c r="C17" s="17">
        <f>IF(BUY!U19&gt;0, BUY!T19, "")</f>
        <v/>
      </c>
      <c r="D17" s="13">
        <f>IF(BUY!U19&gt;0, BUY!U19, "")</f>
        <v/>
      </c>
      <c r="E17" s="15">
        <f>IF(BUY!U19&gt;0, BUY!V19, "")</f>
        <v/>
      </c>
    </row>
    <row r="18">
      <c r="A18">
        <f>IF(BUY!U20&gt;0, BUY!A20, "")</f>
        <v/>
      </c>
      <c r="B18">
        <f>IF(BUY!U20&gt;0, BUY!S20, "")</f>
        <v/>
      </c>
      <c r="C18" s="17">
        <f>IF(BUY!U20&gt;0, BUY!T20, "")</f>
        <v/>
      </c>
      <c r="D18" s="13">
        <f>IF(BUY!U20&gt;0, BUY!U20, "")</f>
        <v/>
      </c>
      <c r="E18" s="15">
        <f>IF(BUY!U20&gt;0, BUY!V20, "")</f>
        <v/>
      </c>
    </row>
    <row r="19">
      <c r="A19">
        <f>IF(BUY!U21&gt;0, BUY!A21, "")</f>
        <v/>
      </c>
      <c r="B19">
        <f>IF(BUY!U21&gt;0, BUY!S21, "")</f>
        <v/>
      </c>
      <c r="C19" s="17">
        <f>IF(BUY!U21&gt;0, BUY!T21, "")</f>
        <v/>
      </c>
      <c r="D19" s="13">
        <f>IF(BUY!U21&gt;0, BUY!U21, "")</f>
        <v/>
      </c>
      <c r="E19" s="15">
        <f>IF(BUY!U21&gt;0, BUY!V21, "")</f>
        <v/>
      </c>
    </row>
    <row r="20">
      <c r="A20">
        <f>IF(BUY!U22&gt;0, BUY!A22, "")</f>
        <v/>
      </c>
      <c r="B20">
        <f>IF(BUY!U22&gt;0, BUY!S22, "")</f>
        <v/>
      </c>
      <c r="C20" s="17">
        <f>IF(BUY!U22&gt;0, BUY!T22, "")</f>
        <v/>
      </c>
      <c r="D20" s="13">
        <f>IF(BUY!U22&gt;0, BUY!U22, "")</f>
        <v/>
      </c>
      <c r="E20" s="15">
        <f>IF(BUY!U22&gt;0, BUY!V22, "")</f>
        <v/>
      </c>
    </row>
    <row r="21">
      <c r="A21">
        <f>IF(BUY!U23&gt;0, BUY!A23, "")</f>
        <v/>
      </c>
      <c r="B21">
        <f>IF(BUY!U23&gt;0, BUY!S23, "")</f>
        <v/>
      </c>
      <c r="C21" s="17">
        <f>IF(BUY!U23&gt;0, BUY!T23, "")</f>
        <v/>
      </c>
      <c r="D21" s="13">
        <f>IF(BUY!U23&gt;0, BUY!U23, "")</f>
        <v/>
      </c>
      <c r="E21" s="15">
        <f>IF(BUY!U23&gt;0, BUY!V23, "")</f>
        <v/>
      </c>
    </row>
    <row r="22">
      <c r="A22">
        <f>IF(BUY!U24&gt;0, BUY!A24, "")</f>
        <v/>
      </c>
      <c r="B22">
        <f>IF(BUY!U24&gt;0, BUY!S24, "")</f>
        <v/>
      </c>
      <c r="C22" s="17">
        <f>IF(BUY!U24&gt;0, BUY!T24, "")</f>
        <v/>
      </c>
      <c r="D22" s="13">
        <f>IF(BUY!U24&gt;0, BUY!U24, "")</f>
        <v/>
      </c>
      <c r="E22" s="15">
        <f>IF(BUY!U24&gt;0, BUY!V24, "")</f>
        <v/>
      </c>
    </row>
    <row r="23">
      <c r="A23">
        <f>IF(BUY!U25&gt;0, BUY!A25, "")</f>
        <v/>
      </c>
      <c r="B23">
        <f>IF(BUY!U25&gt;0, BUY!S25, "")</f>
        <v/>
      </c>
      <c r="C23" s="17">
        <f>IF(BUY!U25&gt;0, BUY!T25, "")</f>
        <v/>
      </c>
      <c r="D23" s="13">
        <f>IF(BUY!U25&gt;0, BUY!U25, "")</f>
        <v/>
      </c>
      <c r="E23" s="15">
        <f>IF(BUY!U25&gt;0, BUY!V25, "")</f>
        <v/>
      </c>
    </row>
    <row r="24">
      <c r="A24">
        <f>IF(BUY!U26&gt;0, BUY!A26, "")</f>
        <v/>
      </c>
      <c r="B24">
        <f>IF(BUY!U26&gt;0, BUY!S26, "")</f>
        <v/>
      </c>
      <c r="C24" s="17">
        <f>IF(BUY!U26&gt;0, BUY!T26, "")</f>
        <v/>
      </c>
      <c r="D24" s="13">
        <f>IF(BUY!U26&gt;0, BUY!U26, "")</f>
        <v/>
      </c>
      <c r="E24" s="15">
        <f>IF(BUY!U26&gt;0, BUY!V26, "")</f>
        <v/>
      </c>
    </row>
    <row r="25">
      <c r="A25">
        <f>IF(BUY!U27&gt;0, BUY!A27, "")</f>
        <v/>
      </c>
      <c r="B25">
        <f>IF(BUY!U27&gt;0, BUY!S27, "")</f>
        <v/>
      </c>
      <c r="C25" s="17">
        <f>IF(BUY!U27&gt;0, BUY!T27, "")</f>
        <v/>
      </c>
      <c r="D25" s="13">
        <f>IF(BUY!U27&gt;0, BUY!U27, "")</f>
        <v/>
      </c>
      <c r="E25" s="15">
        <f>IF(BUY!U27&gt;0, BUY!V27, "")</f>
        <v/>
      </c>
    </row>
    <row r="26">
      <c r="A26">
        <f>IF(BUY!U28&gt;0, BUY!A28, "")</f>
        <v/>
      </c>
      <c r="B26">
        <f>IF(BUY!U28&gt;0, BUY!S28, "")</f>
        <v/>
      </c>
      <c r="C26" s="17">
        <f>IF(BUY!U28&gt;0, BUY!T28, "")</f>
        <v/>
      </c>
      <c r="D26" s="13">
        <f>IF(BUY!U28&gt;0, BUY!U28, "")</f>
        <v/>
      </c>
      <c r="E26" s="15">
        <f>IF(BUY!U28&gt;0, BUY!V28, "")</f>
        <v/>
      </c>
    </row>
    <row r="27">
      <c r="A27">
        <f>IF(BUY!U29&gt;0, BUY!A29, "")</f>
        <v/>
      </c>
      <c r="B27">
        <f>IF(BUY!U29&gt;0, BUY!S29, "")</f>
        <v/>
      </c>
      <c r="C27" s="17">
        <f>IF(BUY!U29&gt;0, BUY!T29, "")</f>
        <v/>
      </c>
      <c r="D27" s="13">
        <f>IF(BUY!U29&gt;0, BUY!U29, "")</f>
        <v/>
      </c>
      <c r="E27" s="15">
        <f>IF(BUY!U29&gt;0, BUY!V29, "")</f>
        <v/>
      </c>
    </row>
    <row r="28">
      <c r="A28">
        <f>IF(BUY!U30&gt;0, BUY!A30, "")</f>
        <v/>
      </c>
      <c r="B28">
        <f>IF(BUY!U30&gt;0, BUY!S30, "")</f>
        <v/>
      </c>
      <c r="C28" s="17">
        <f>IF(BUY!U30&gt;0, BUY!T30, "")</f>
        <v/>
      </c>
      <c r="D28" s="13">
        <f>IF(BUY!U30&gt;0, BUY!U30, "")</f>
        <v/>
      </c>
      <c r="E28" s="15">
        <f>IF(BUY!U30&gt;0, BUY!V30, "")</f>
        <v/>
      </c>
    </row>
    <row r="29">
      <c r="A29">
        <f>IF(BUY!U31&gt;0, BUY!A31, "")</f>
        <v/>
      </c>
      <c r="B29">
        <f>IF(BUY!U31&gt;0, BUY!S31, "")</f>
        <v/>
      </c>
      <c r="C29" s="17">
        <f>IF(BUY!U31&gt;0, BUY!T31, "")</f>
        <v/>
      </c>
      <c r="D29" s="13">
        <f>IF(BUY!U31&gt;0, BUY!U31, "")</f>
        <v/>
      </c>
      <c r="E29" s="15">
        <f>IF(BUY!U31&gt;0, BUY!V31, "")</f>
        <v/>
      </c>
    </row>
    <row r="30">
      <c r="A30">
        <f>IF(BUY!U32&gt;0, BUY!A32, "")</f>
        <v/>
      </c>
      <c r="B30">
        <f>IF(BUY!U32&gt;0, BUY!S32, "")</f>
        <v/>
      </c>
      <c r="C30" s="17">
        <f>IF(BUY!U32&gt;0, BUY!T32, "")</f>
        <v/>
      </c>
      <c r="D30" s="13">
        <f>IF(BUY!U32&gt;0, BUY!U32, "")</f>
        <v/>
      </c>
      <c r="E30" s="15">
        <f>IF(BUY!U32&gt;0, BUY!V32, "")</f>
        <v/>
      </c>
    </row>
    <row r="31">
      <c r="A31">
        <f>IF(BUY!U33&gt;0, BUY!A33, "")</f>
        <v/>
      </c>
      <c r="B31">
        <f>IF(BUY!U33&gt;0, BUY!S33, "")</f>
        <v/>
      </c>
      <c r="C31" s="17">
        <f>IF(BUY!U33&gt;0, BUY!T33, "")</f>
        <v/>
      </c>
      <c r="D31" s="13">
        <f>IF(BUY!U33&gt;0, BUY!U33, "")</f>
        <v/>
      </c>
      <c r="E31" s="15">
        <f>IF(BUY!U33&gt;0, BUY!V33, "")</f>
        <v/>
      </c>
    </row>
    <row r="32">
      <c r="A32">
        <f>IF(BUY!U34&gt;0, BUY!A34, "")</f>
        <v/>
      </c>
      <c r="B32">
        <f>IF(BUY!U34&gt;0, BUY!S34, "")</f>
        <v/>
      </c>
      <c r="C32" s="17">
        <f>IF(BUY!U34&gt;0, BUY!T34, "")</f>
        <v/>
      </c>
      <c r="D32" s="13">
        <f>IF(BUY!U34&gt;0, BUY!U34, "")</f>
        <v/>
      </c>
      <c r="E32" s="15">
        <f>IF(BUY!U34&gt;0, BUY!V34, "")</f>
        <v/>
      </c>
    </row>
    <row r="33">
      <c r="A33">
        <f>IF(BUY!U35&gt;0, BUY!A35, "")</f>
        <v/>
      </c>
      <c r="B33">
        <f>IF(BUY!U35&gt;0, BUY!S35, "")</f>
        <v/>
      </c>
      <c r="C33" s="17">
        <f>IF(BUY!U35&gt;0, BUY!T35, "")</f>
        <v/>
      </c>
      <c r="D33" s="13">
        <f>IF(BUY!U35&gt;0, BUY!U35, "")</f>
        <v/>
      </c>
      <c r="E33" s="15">
        <f>IF(BUY!U35&gt;0, BUY!V35, "")</f>
        <v/>
      </c>
    </row>
    <row r="34">
      <c r="A34">
        <f>IF(BUY!U36&gt;0, BUY!A36, "")</f>
        <v/>
      </c>
      <c r="B34">
        <f>IF(BUY!U36&gt;0, BUY!S36, "")</f>
        <v/>
      </c>
      <c r="C34" s="17">
        <f>IF(BUY!U36&gt;0, BUY!T36, "")</f>
        <v/>
      </c>
      <c r="D34" s="13">
        <f>IF(BUY!U36&gt;0, BUY!U36, "")</f>
        <v/>
      </c>
      <c r="E34" s="15">
        <f>IF(BUY!U36&gt;0, BUY!V36, "")</f>
        <v/>
      </c>
    </row>
    <row r="35">
      <c r="A35">
        <f>IF(BUY!U37&gt;0, BUY!A37, "")</f>
        <v/>
      </c>
      <c r="B35">
        <f>IF(BUY!U37&gt;0, BUY!S37, "")</f>
        <v/>
      </c>
      <c r="C35" s="17">
        <f>IF(BUY!U37&gt;0, BUY!T37, "")</f>
        <v/>
      </c>
      <c r="D35" s="13">
        <f>IF(BUY!U37&gt;0, BUY!U37, "")</f>
        <v/>
      </c>
      <c r="E35" s="15">
        <f>IF(BUY!U37&gt;0, BUY!V37, "")</f>
        <v/>
      </c>
    </row>
    <row r="36">
      <c r="A36">
        <f>IF(BUY!U38&gt;0, BUY!A38, "")</f>
        <v/>
      </c>
      <c r="B36">
        <f>IF(BUY!U38&gt;0, BUY!S38, "")</f>
        <v/>
      </c>
      <c r="C36" s="17">
        <f>IF(BUY!U38&gt;0, BUY!T38, "")</f>
        <v/>
      </c>
      <c r="D36" s="13">
        <f>IF(BUY!U38&gt;0, BUY!U38, "")</f>
        <v/>
      </c>
      <c r="E36" s="15">
        <f>IF(BUY!U38&gt;0, BUY!V38, "")</f>
        <v/>
      </c>
    </row>
    <row r="37">
      <c r="A37">
        <f>IF(BUY!U39&gt;0, BUY!A39, "")</f>
        <v/>
      </c>
      <c r="B37">
        <f>IF(BUY!U39&gt;0, BUY!S39, "")</f>
        <v/>
      </c>
      <c r="C37" s="17">
        <f>IF(BUY!U39&gt;0, BUY!T39, "")</f>
        <v/>
      </c>
      <c r="D37" s="13">
        <f>IF(BUY!U39&gt;0, BUY!U39, "")</f>
        <v/>
      </c>
      <c r="E37" s="15">
        <f>IF(BUY!U39&gt;0, BUY!V39, "")</f>
        <v/>
      </c>
    </row>
    <row r="38">
      <c r="A38">
        <f>IF(BUY!U40&gt;0, BUY!A40, "")</f>
        <v/>
      </c>
      <c r="B38">
        <f>IF(BUY!U40&gt;0, BUY!S40, "")</f>
        <v/>
      </c>
      <c r="C38" s="17">
        <f>IF(BUY!U40&gt;0, BUY!T40, "")</f>
        <v/>
      </c>
      <c r="D38" s="13">
        <f>IF(BUY!U40&gt;0, BUY!U40, "")</f>
        <v/>
      </c>
      <c r="E38" s="15">
        <f>IF(BUY!U40&gt;0, BUY!V40, "")</f>
        <v/>
      </c>
    </row>
    <row r="39">
      <c r="A39">
        <f>IF(BUY!U41&gt;0, BUY!A41, "")</f>
        <v/>
      </c>
      <c r="B39">
        <f>IF(BUY!U41&gt;0, BUY!S41, "")</f>
        <v/>
      </c>
      <c r="C39" s="17">
        <f>IF(BUY!U41&gt;0, BUY!T41, "")</f>
        <v/>
      </c>
      <c r="D39" s="13">
        <f>IF(BUY!U41&gt;0, BUY!U41, "")</f>
        <v/>
      </c>
      <c r="E39" s="15">
        <f>IF(BUY!U41&gt;0, BUY!V41, "")</f>
        <v/>
      </c>
    </row>
    <row r="40">
      <c r="A40">
        <f>IF(BUY!U42&gt;0, BUY!A42, "")</f>
        <v/>
      </c>
      <c r="B40">
        <f>IF(BUY!U42&gt;0, BUY!S42, "")</f>
        <v/>
      </c>
      <c r="C40" s="17">
        <f>IF(BUY!U42&gt;0, BUY!T42, "")</f>
        <v/>
      </c>
      <c r="D40" s="13">
        <f>IF(BUY!U42&gt;0, BUY!U42, "")</f>
        <v/>
      </c>
      <c r="E40" s="15">
        <f>IF(BUY!U42&gt;0, BUY!V42, "")</f>
        <v/>
      </c>
    </row>
    <row r="41">
      <c r="A41">
        <f>IF(BUY!U43&gt;0, BUY!A43, "")</f>
        <v/>
      </c>
      <c r="B41">
        <f>IF(BUY!U43&gt;0, BUY!S43, "")</f>
        <v/>
      </c>
      <c r="C41" s="17">
        <f>IF(BUY!U43&gt;0, BUY!T43, "")</f>
        <v/>
      </c>
      <c r="D41" s="13">
        <f>IF(BUY!U43&gt;0, BUY!U43, "")</f>
        <v/>
      </c>
      <c r="E41" s="15">
        <f>IF(BUY!U43&gt;0, BUY!V43, "")</f>
        <v/>
      </c>
    </row>
    <row r="42">
      <c r="A42">
        <f>IF(BUY!U44&gt;0, BUY!A44, "")</f>
        <v/>
      </c>
      <c r="B42">
        <f>IF(BUY!U44&gt;0, BUY!S44, "")</f>
        <v/>
      </c>
      <c r="C42" s="17">
        <f>IF(BUY!U44&gt;0, BUY!T44, "")</f>
        <v/>
      </c>
      <c r="D42" s="13">
        <f>IF(BUY!U44&gt;0, BUY!U44, "")</f>
        <v/>
      </c>
      <c r="E42" s="15">
        <f>IF(BUY!U44&gt;0, BUY!V44, "")</f>
        <v/>
      </c>
    </row>
    <row r="43">
      <c r="A43">
        <f>IF(BUY!U45&gt;0, BUY!A45, "")</f>
        <v/>
      </c>
      <c r="B43">
        <f>IF(BUY!U45&gt;0, BUY!S45, "")</f>
        <v/>
      </c>
      <c r="C43" s="17">
        <f>IF(BUY!U45&gt;0, BUY!T45, "")</f>
        <v/>
      </c>
      <c r="D43" s="13">
        <f>IF(BUY!U45&gt;0, BUY!U45, "")</f>
        <v/>
      </c>
      <c r="E43" s="15">
        <f>IF(BUY!U45&gt;0, BUY!V45, "")</f>
        <v/>
      </c>
    </row>
    <row r="44">
      <c r="A44">
        <f>IF(BUY!U46&gt;0, BUY!A46, "")</f>
        <v/>
      </c>
      <c r="B44">
        <f>IF(BUY!U46&gt;0, BUY!S46, "")</f>
        <v/>
      </c>
      <c r="C44" s="17">
        <f>IF(BUY!U46&gt;0, BUY!T46, "")</f>
        <v/>
      </c>
      <c r="D44" s="13">
        <f>IF(BUY!U46&gt;0, BUY!U46, "")</f>
        <v/>
      </c>
      <c r="E44" s="15">
        <f>IF(BUY!U46&gt;0, BUY!V46, "")</f>
        <v/>
      </c>
    </row>
    <row r="45">
      <c r="A45">
        <f>IF(BUY!U47&gt;0, BUY!A47, "")</f>
        <v/>
      </c>
      <c r="B45">
        <f>IF(BUY!U47&gt;0, BUY!S47, "")</f>
        <v/>
      </c>
      <c r="C45" s="17">
        <f>IF(BUY!U47&gt;0, BUY!T47, "")</f>
        <v/>
      </c>
      <c r="D45" s="13">
        <f>IF(BUY!U47&gt;0, BUY!U47, "")</f>
        <v/>
      </c>
      <c r="E45" s="15">
        <f>IF(BUY!U47&gt;0, BUY!V47, "")</f>
        <v/>
      </c>
    </row>
    <row r="46">
      <c r="A46">
        <f>IF(BUY!U48&gt;0, BUY!A48, "")</f>
        <v/>
      </c>
      <c r="B46">
        <f>IF(BUY!U48&gt;0, BUY!S48, "")</f>
        <v/>
      </c>
      <c r="C46" s="17">
        <f>IF(BUY!U48&gt;0, BUY!T48, "")</f>
        <v/>
      </c>
      <c r="D46" s="13">
        <f>IF(BUY!U48&gt;0, BUY!U48, "")</f>
        <v/>
      </c>
      <c r="E46" s="15">
        <f>IF(BUY!U48&gt;0, BUY!V48, "")</f>
        <v/>
      </c>
    </row>
    <row r="47">
      <c r="A47">
        <f>IF(BUY!U49&gt;0, BUY!A49, "")</f>
        <v/>
      </c>
      <c r="B47">
        <f>IF(BUY!U49&gt;0, BUY!S49, "")</f>
        <v/>
      </c>
      <c r="C47" s="17">
        <f>IF(BUY!U49&gt;0, BUY!T49, "")</f>
        <v/>
      </c>
      <c r="D47" s="13">
        <f>IF(BUY!U49&gt;0, BUY!U49, "")</f>
        <v/>
      </c>
      <c r="E47" s="15">
        <f>IF(BUY!U49&gt;0, BUY!V49, "")</f>
        <v/>
      </c>
    </row>
    <row r="48">
      <c r="A48">
        <f>IF(BUY!U50&gt;0, BUY!A50, "")</f>
        <v/>
      </c>
      <c r="B48">
        <f>IF(BUY!U50&gt;0, BUY!S50, "")</f>
        <v/>
      </c>
      <c r="C48" s="17">
        <f>IF(BUY!U50&gt;0, BUY!T50, "")</f>
        <v/>
      </c>
      <c r="D48" s="13">
        <f>IF(BUY!U50&gt;0, BUY!U50, "")</f>
        <v/>
      </c>
      <c r="E48" s="15">
        <f>IF(BUY!U50&gt;0, BUY!V50, "")</f>
        <v/>
      </c>
    </row>
    <row r="49">
      <c r="A49">
        <f>IF(BUY!U51&gt;0, BUY!A51, "")</f>
        <v/>
      </c>
      <c r="B49">
        <f>IF(BUY!U51&gt;0, BUY!S51, "")</f>
        <v/>
      </c>
      <c r="C49" s="17">
        <f>IF(BUY!U51&gt;0, BUY!T51, "")</f>
        <v/>
      </c>
      <c r="D49" s="13">
        <f>IF(BUY!U51&gt;0, BUY!U51, "")</f>
        <v/>
      </c>
      <c r="E49" s="15">
        <f>IF(BUY!U51&gt;0, BUY!V51, "")</f>
        <v/>
      </c>
    </row>
    <row r="50">
      <c r="A50">
        <f>IF(BUY!U52&gt;0, BUY!A52, "")</f>
        <v/>
      </c>
      <c r="B50">
        <f>IF(BUY!U52&gt;0, BUY!S52, "")</f>
        <v/>
      </c>
      <c r="C50" s="17">
        <f>IF(BUY!U52&gt;0, BUY!T52, "")</f>
        <v/>
      </c>
      <c r="D50" s="13">
        <f>IF(BUY!U52&gt;0, BUY!U52, "")</f>
        <v/>
      </c>
      <c r="E50" s="15">
        <f>IF(BUY!U52&gt;0, BUY!V52, "")</f>
        <v/>
      </c>
    </row>
    <row r="51">
      <c r="A51">
        <f>IF(BUY!U53&gt;0, BUY!A53, "")</f>
        <v/>
      </c>
      <c r="B51">
        <f>IF(BUY!U53&gt;0, BUY!S53, "")</f>
        <v/>
      </c>
      <c r="C51" s="17">
        <f>IF(BUY!U53&gt;0, BUY!T53, "")</f>
        <v/>
      </c>
      <c r="D51" s="13">
        <f>IF(BUY!U53&gt;0, BUY!U53, "")</f>
        <v/>
      </c>
      <c r="E51" s="15">
        <f>IF(BUY!U53&gt;0, BUY!V53, "")</f>
        <v/>
      </c>
    </row>
    <row r="52">
      <c r="A52">
        <f>IF(BUY!U54&gt;0, BUY!A54, "")</f>
        <v/>
      </c>
      <c r="B52">
        <f>IF(BUY!U54&gt;0, BUY!S54, "")</f>
        <v/>
      </c>
      <c r="C52" s="17">
        <f>IF(BUY!U54&gt;0, BUY!T54, "")</f>
        <v/>
      </c>
      <c r="D52" s="13">
        <f>IF(BUY!U54&gt;0, BUY!U54, "")</f>
        <v/>
      </c>
      <c r="E52" s="15">
        <f>IF(BUY!U54&gt;0, BUY!V54, "")</f>
        <v/>
      </c>
    </row>
    <row r="53">
      <c r="A53">
        <f>IF(BUY!U55&gt;0, BUY!A55, "")</f>
        <v/>
      </c>
      <c r="B53">
        <f>IF(BUY!U55&gt;0, BUY!S55, "")</f>
        <v/>
      </c>
      <c r="C53" s="17">
        <f>IF(BUY!U55&gt;0, BUY!T55, "")</f>
        <v/>
      </c>
      <c r="D53" s="13">
        <f>IF(BUY!U55&gt;0, BUY!U55, "")</f>
        <v/>
      </c>
      <c r="E53" s="15">
        <f>IF(BUY!U55&gt;0, BUY!V55, "")</f>
        <v/>
      </c>
    </row>
    <row r="54">
      <c r="A54">
        <f>IF(BUY!U56&gt;0, BUY!A56, "")</f>
        <v/>
      </c>
      <c r="B54">
        <f>IF(BUY!U56&gt;0, BUY!S56, "")</f>
        <v/>
      </c>
      <c r="C54" s="17">
        <f>IF(BUY!U56&gt;0, BUY!T56, "")</f>
        <v/>
      </c>
      <c r="D54" s="13">
        <f>IF(BUY!U56&gt;0, BUY!U56, "")</f>
        <v/>
      </c>
      <c r="E54" s="15">
        <f>IF(BUY!U56&gt;0, BUY!V56, "")</f>
        <v/>
      </c>
    </row>
    <row r="55">
      <c r="A55">
        <f>IF(BUY!U57&gt;0, BUY!A57, "")</f>
        <v/>
      </c>
      <c r="B55">
        <f>IF(BUY!U57&gt;0, BUY!S57, "")</f>
        <v/>
      </c>
      <c r="C55" s="17">
        <f>IF(BUY!U57&gt;0, BUY!T57, "")</f>
        <v/>
      </c>
      <c r="D55" s="13">
        <f>IF(BUY!U57&gt;0, BUY!U57, "")</f>
        <v/>
      </c>
      <c r="E55" s="15">
        <f>IF(BUY!U57&gt;0, BUY!V57, "")</f>
        <v/>
      </c>
    </row>
    <row r="56">
      <c r="A56">
        <f>IF(BUY!U58&gt;0, BUY!A58, "")</f>
        <v/>
      </c>
      <c r="B56">
        <f>IF(BUY!U58&gt;0, BUY!S58, "")</f>
        <v/>
      </c>
      <c r="C56" s="17">
        <f>IF(BUY!U58&gt;0, BUY!T58, "")</f>
        <v/>
      </c>
      <c r="D56" s="13">
        <f>IF(BUY!U58&gt;0, BUY!U58, "")</f>
        <v/>
      </c>
      <c r="E56" s="15">
        <f>IF(BUY!U58&gt;0, BUY!V58, "")</f>
        <v/>
      </c>
    </row>
    <row r="57">
      <c r="A57">
        <f>IF(BUY!U59&gt;0, BUY!A59, "")</f>
        <v/>
      </c>
      <c r="B57">
        <f>IF(BUY!U59&gt;0, BUY!S59, "")</f>
        <v/>
      </c>
      <c r="C57" s="17">
        <f>IF(BUY!U59&gt;0, BUY!T59, "")</f>
        <v/>
      </c>
      <c r="D57" s="13">
        <f>IF(BUY!U59&gt;0, BUY!U59, "")</f>
        <v/>
      </c>
      <c r="E57" s="15">
        <f>IF(BUY!U59&gt;0, BUY!V59, "")</f>
        <v/>
      </c>
    </row>
    <row r="58">
      <c r="A58">
        <f>IF(BUY!U60&gt;0, BUY!A60, "")</f>
        <v/>
      </c>
      <c r="B58">
        <f>IF(BUY!U60&gt;0, BUY!S60, "")</f>
        <v/>
      </c>
      <c r="C58" s="17">
        <f>IF(BUY!U60&gt;0, BUY!T60, "")</f>
        <v/>
      </c>
      <c r="D58" s="13">
        <f>IF(BUY!U60&gt;0, BUY!U60, "")</f>
        <v/>
      </c>
      <c r="E58" s="15">
        <f>IF(BUY!U60&gt;0, BUY!V60, "")</f>
        <v/>
      </c>
    </row>
    <row r="59">
      <c r="A59">
        <f>IF(BUY!U61&gt;0, BUY!A61, "")</f>
        <v/>
      </c>
      <c r="B59">
        <f>IF(BUY!U61&gt;0, BUY!S61, "")</f>
        <v/>
      </c>
      <c r="C59" s="17">
        <f>IF(BUY!U61&gt;0, BUY!T61, "")</f>
        <v/>
      </c>
      <c r="D59" s="13">
        <f>IF(BUY!U61&gt;0, BUY!U61, "")</f>
        <v/>
      </c>
      <c r="E59" s="15">
        <f>IF(BUY!U61&gt;0, BUY!V61, "")</f>
        <v/>
      </c>
    </row>
    <row r="60">
      <c r="A60">
        <f>IF(BUY!U62&gt;0, BUY!A62, "")</f>
        <v/>
      </c>
      <c r="B60">
        <f>IF(BUY!U62&gt;0, BUY!S62, "")</f>
        <v/>
      </c>
      <c r="C60" s="17">
        <f>IF(BUY!U62&gt;0, BUY!T62, "")</f>
        <v/>
      </c>
      <c r="D60" s="13">
        <f>IF(BUY!U62&gt;0, BUY!U62, "")</f>
        <v/>
      </c>
      <c r="E60" s="15">
        <f>IF(BUY!U62&gt;0, BUY!V62, "")</f>
        <v/>
      </c>
    </row>
    <row r="61">
      <c r="A61">
        <f>IF(BUY!U63&gt;0, BUY!A63, "")</f>
        <v/>
      </c>
      <c r="B61">
        <f>IF(BUY!U63&gt;0, BUY!S63, "")</f>
        <v/>
      </c>
      <c r="C61" s="17">
        <f>IF(BUY!U63&gt;0, BUY!T63, "")</f>
        <v/>
      </c>
      <c r="D61" s="13">
        <f>IF(BUY!U63&gt;0, BUY!U63, "")</f>
        <v/>
      </c>
      <c r="E61" s="15">
        <f>IF(BUY!U63&gt;0, BUY!V63, "")</f>
        <v/>
      </c>
    </row>
    <row r="62">
      <c r="A62">
        <f>IF(BUY!U64&gt;0, BUY!A64, "")</f>
        <v/>
      </c>
      <c r="B62">
        <f>IF(BUY!U64&gt;0, BUY!S64, "")</f>
        <v/>
      </c>
      <c r="C62" s="17">
        <f>IF(BUY!U64&gt;0, BUY!T64, "")</f>
        <v/>
      </c>
      <c r="D62" s="13">
        <f>IF(BUY!U64&gt;0, BUY!U64, "")</f>
        <v/>
      </c>
      <c r="E62" s="15">
        <f>IF(BUY!U64&gt;0, BUY!V64, "")</f>
        <v/>
      </c>
    </row>
    <row r="63">
      <c r="A63">
        <f>IF(BUY!U65&gt;0, BUY!A65, "")</f>
        <v/>
      </c>
      <c r="B63">
        <f>IF(BUY!U65&gt;0, BUY!S65, "")</f>
        <v/>
      </c>
      <c r="C63" s="17">
        <f>IF(BUY!U65&gt;0, BUY!T65, "")</f>
        <v/>
      </c>
      <c r="D63" s="13">
        <f>IF(BUY!U65&gt;0, BUY!U65, "")</f>
        <v/>
      </c>
      <c r="E63" s="15">
        <f>IF(BUY!U65&gt;0, BUY!V65, "")</f>
        <v/>
      </c>
    </row>
    <row r="64">
      <c r="A64">
        <f>IF(BUY!U66&gt;0, BUY!A66, "")</f>
        <v/>
      </c>
      <c r="B64">
        <f>IF(BUY!U66&gt;0, BUY!S66, "")</f>
        <v/>
      </c>
      <c r="C64" s="17">
        <f>IF(BUY!U66&gt;0, BUY!T66, "")</f>
        <v/>
      </c>
      <c r="D64" s="13">
        <f>IF(BUY!U66&gt;0, BUY!U66, "")</f>
        <v/>
      </c>
      <c r="E64" s="15">
        <f>IF(BUY!U66&gt;0, BUY!V66, "")</f>
        <v/>
      </c>
    </row>
    <row r="65">
      <c r="A65">
        <f>IF(BUY!U67&gt;0, BUY!A67, "")</f>
        <v/>
      </c>
      <c r="B65">
        <f>IF(BUY!U67&gt;0, BUY!S67, "")</f>
        <v/>
      </c>
      <c r="C65" s="17">
        <f>IF(BUY!U67&gt;0, BUY!T67, "")</f>
        <v/>
      </c>
      <c r="D65" s="13">
        <f>IF(BUY!U67&gt;0, BUY!U67, "")</f>
        <v/>
      </c>
      <c r="E65" s="15">
        <f>IF(BUY!U67&gt;0, BUY!V67, "")</f>
        <v/>
      </c>
    </row>
    <row r="66">
      <c r="A66">
        <f>IF(BUY!U68&gt;0, BUY!A68, "")</f>
        <v/>
      </c>
      <c r="B66">
        <f>IF(BUY!U68&gt;0, BUY!S68, "")</f>
        <v/>
      </c>
      <c r="C66" s="17">
        <f>IF(BUY!U68&gt;0, BUY!T68, "")</f>
        <v/>
      </c>
      <c r="D66" s="13">
        <f>IF(BUY!U68&gt;0, BUY!U68, "")</f>
        <v/>
      </c>
      <c r="E66" s="15">
        <f>IF(BUY!U68&gt;0, BUY!V68, "")</f>
        <v/>
      </c>
    </row>
    <row r="67">
      <c r="A67">
        <f>IF(BUY!U69&gt;0, BUY!A69, "")</f>
        <v/>
      </c>
      <c r="B67">
        <f>IF(BUY!U69&gt;0, BUY!S69, "")</f>
        <v/>
      </c>
      <c r="C67" s="17">
        <f>IF(BUY!U69&gt;0, BUY!T69, "")</f>
        <v/>
      </c>
      <c r="D67" s="13">
        <f>IF(BUY!U69&gt;0, BUY!U69, "")</f>
        <v/>
      </c>
      <c r="E67" s="15">
        <f>IF(BUY!U69&gt;0, BUY!V69, "")</f>
        <v/>
      </c>
    </row>
    <row r="68">
      <c r="A68">
        <f>IF(BUY!U70&gt;0, BUY!A70, "")</f>
        <v/>
      </c>
      <c r="B68">
        <f>IF(BUY!U70&gt;0, BUY!S70, "")</f>
        <v/>
      </c>
      <c r="C68" s="17">
        <f>IF(BUY!U70&gt;0, BUY!T70, "")</f>
        <v/>
      </c>
      <c r="D68" s="13">
        <f>IF(BUY!U70&gt;0, BUY!U70, "")</f>
        <v/>
      </c>
      <c r="E68" s="15">
        <f>IF(BUY!U70&gt;0, BUY!V70, "")</f>
        <v/>
      </c>
    </row>
    <row r="69">
      <c r="A69">
        <f>IF(BUY!U71&gt;0, BUY!A71, "")</f>
        <v/>
      </c>
      <c r="B69">
        <f>IF(BUY!U71&gt;0, BUY!S71, "")</f>
        <v/>
      </c>
      <c r="C69" s="17">
        <f>IF(BUY!U71&gt;0, BUY!T71, "")</f>
        <v/>
      </c>
      <c r="D69" s="13">
        <f>IF(BUY!U71&gt;0, BUY!U71, "")</f>
        <v/>
      </c>
      <c r="E69" s="15">
        <f>IF(BUY!U71&gt;0, BUY!V71, "")</f>
        <v/>
      </c>
    </row>
    <row r="70">
      <c r="A70">
        <f>IF(BUY!U72&gt;0, BUY!A72, "")</f>
        <v/>
      </c>
      <c r="B70">
        <f>IF(BUY!U72&gt;0, BUY!S72, "")</f>
        <v/>
      </c>
      <c r="C70" s="17">
        <f>IF(BUY!U72&gt;0, BUY!T72, "")</f>
        <v/>
      </c>
      <c r="D70" s="13">
        <f>IF(BUY!U72&gt;0, BUY!U72, "")</f>
        <v/>
      </c>
      <c r="E70" s="15">
        <f>IF(BUY!U72&gt;0, BUY!V72, "")</f>
        <v/>
      </c>
    </row>
    <row r="71">
      <c r="A71">
        <f>IF(BUY!U73&gt;0, BUY!A73, "")</f>
        <v/>
      </c>
      <c r="B71">
        <f>IF(BUY!U73&gt;0, BUY!S73, "")</f>
        <v/>
      </c>
      <c r="C71" s="17">
        <f>IF(BUY!U73&gt;0, BUY!T73, "")</f>
        <v/>
      </c>
      <c r="D71" s="13">
        <f>IF(BUY!U73&gt;0, BUY!U73, "")</f>
        <v/>
      </c>
      <c r="E71" s="15">
        <f>IF(BUY!U73&gt;0, BUY!V73, "")</f>
        <v/>
      </c>
    </row>
    <row r="72">
      <c r="A72">
        <f>IF(BUY!U74&gt;0, BUY!A74, "")</f>
        <v/>
      </c>
      <c r="B72">
        <f>IF(BUY!U74&gt;0, BUY!S74, "")</f>
        <v/>
      </c>
      <c r="C72" s="17">
        <f>IF(BUY!U74&gt;0, BUY!T74, "")</f>
        <v/>
      </c>
      <c r="D72" s="13">
        <f>IF(BUY!U74&gt;0, BUY!U74, "")</f>
        <v/>
      </c>
      <c r="E72" s="15">
        <f>IF(BUY!U74&gt;0, BUY!V74, "")</f>
        <v/>
      </c>
    </row>
    <row r="73">
      <c r="A73">
        <f>IF(BUY!U75&gt;0, BUY!A75, "")</f>
        <v/>
      </c>
      <c r="B73">
        <f>IF(BUY!U75&gt;0, BUY!S75, "")</f>
        <v/>
      </c>
      <c r="C73" s="17">
        <f>IF(BUY!U75&gt;0, BUY!T75, "")</f>
        <v/>
      </c>
      <c r="D73" s="13">
        <f>IF(BUY!U75&gt;0, BUY!U75, "")</f>
        <v/>
      </c>
      <c r="E73" s="15">
        <f>IF(BUY!U75&gt;0, BUY!V75, "")</f>
        <v/>
      </c>
    </row>
    <row r="74">
      <c r="A74">
        <f>IF(BUY!U76&gt;0, BUY!A76, "")</f>
        <v/>
      </c>
      <c r="B74">
        <f>IF(BUY!U76&gt;0, BUY!S76, "")</f>
        <v/>
      </c>
      <c r="C74" s="17">
        <f>IF(BUY!U76&gt;0, BUY!T76, "")</f>
        <v/>
      </c>
      <c r="D74" s="13">
        <f>IF(BUY!U76&gt;0, BUY!U76, "")</f>
        <v/>
      </c>
      <c r="E74" s="15">
        <f>IF(BUY!U76&gt;0, BUY!V76, "")</f>
        <v/>
      </c>
    </row>
    <row r="75">
      <c r="A75">
        <f>IF(BUY!U77&gt;0, BUY!A77, "")</f>
        <v/>
      </c>
      <c r="B75">
        <f>IF(BUY!U77&gt;0, BUY!S77, "")</f>
        <v/>
      </c>
      <c r="C75" s="17">
        <f>IF(BUY!U77&gt;0, BUY!T77, "")</f>
        <v/>
      </c>
      <c r="D75" s="13">
        <f>IF(BUY!U77&gt;0, BUY!U77, "")</f>
        <v/>
      </c>
      <c r="E75" s="15">
        <f>IF(BUY!U77&gt;0, BUY!V77, "")</f>
        <v/>
      </c>
    </row>
    <row r="76">
      <c r="A76">
        <f>IF(BUY!U78&gt;0, BUY!A78, "")</f>
        <v/>
      </c>
      <c r="B76">
        <f>IF(BUY!U78&gt;0, BUY!S78, "")</f>
        <v/>
      </c>
      <c r="C76" s="17">
        <f>IF(BUY!U78&gt;0, BUY!T78, "")</f>
        <v/>
      </c>
      <c r="D76" s="13">
        <f>IF(BUY!U78&gt;0, BUY!U78, "")</f>
        <v/>
      </c>
      <c r="E76" s="15">
        <f>IF(BUY!U78&gt;0, BUY!V78, "")</f>
        <v/>
      </c>
    </row>
    <row r="77">
      <c r="A77">
        <f>IF(BUY!U79&gt;0, BUY!A79, "")</f>
        <v/>
      </c>
      <c r="B77">
        <f>IF(BUY!U79&gt;0, BUY!S79, "")</f>
        <v/>
      </c>
      <c r="C77" s="17">
        <f>IF(BUY!U79&gt;0, BUY!T79, "")</f>
        <v/>
      </c>
      <c r="D77" s="13">
        <f>IF(BUY!U79&gt;0, BUY!U79, "")</f>
        <v/>
      </c>
      <c r="E77" s="15">
        <f>IF(BUY!U79&gt;0, BUY!V79, "")</f>
        <v/>
      </c>
    </row>
    <row r="78">
      <c r="A78">
        <f>IF(BUY!U80&gt;0, BUY!A80, "")</f>
        <v/>
      </c>
      <c r="B78">
        <f>IF(BUY!U80&gt;0, BUY!S80, "")</f>
        <v/>
      </c>
      <c r="C78" s="17">
        <f>IF(BUY!U80&gt;0, BUY!T80, "")</f>
        <v/>
      </c>
      <c r="D78" s="13">
        <f>IF(BUY!U80&gt;0, BUY!U80, "")</f>
        <v/>
      </c>
      <c r="E78" s="15">
        <f>IF(BUY!U80&gt;0, BUY!V80, "")</f>
        <v/>
      </c>
    </row>
    <row r="79">
      <c r="A79">
        <f>IF(BUY!U81&gt;0, BUY!A81, "")</f>
        <v/>
      </c>
      <c r="B79">
        <f>IF(BUY!U81&gt;0, BUY!S81, "")</f>
        <v/>
      </c>
      <c r="C79" s="17">
        <f>IF(BUY!U81&gt;0, BUY!T81, "")</f>
        <v/>
      </c>
      <c r="D79" s="13">
        <f>IF(BUY!U81&gt;0, BUY!U81, "")</f>
        <v/>
      </c>
      <c r="E79" s="15">
        <f>IF(BUY!U81&gt;0, BUY!V81, "")</f>
        <v/>
      </c>
    </row>
    <row r="80">
      <c r="A80">
        <f>IF(BUY!U82&gt;0, BUY!A82, "")</f>
        <v/>
      </c>
      <c r="B80">
        <f>IF(BUY!U82&gt;0, BUY!S82, "")</f>
        <v/>
      </c>
      <c r="C80" s="17">
        <f>IF(BUY!U82&gt;0, BUY!T82, "")</f>
        <v/>
      </c>
      <c r="D80" s="13">
        <f>IF(BUY!U82&gt;0, BUY!U82, "")</f>
        <v/>
      </c>
      <c r="E80" s="15">
        <f>IF(BUY!U82&gt;0, BUY!V82, "")</f>
        <v/>
      </c>
    </row>
    <row r="81">
      <c r="A81">
        <f>IF(BUY!U83&gt;0, BUY!A83, "")</f>
        <v/>
      </c>
      <c r="B81">
        <f>IF(BUY!U83&gt;0, BUY!S83, "")</f>
        <v/>
      </c>
      <c r="C81" s="17">
        <f>IF(BUY!U83&gt;0, BUY!T83, "")</f>
        <v/>
      </c>
      <c r="D81" s="13">
        <f>IF(BUY!U83&gt;0, BUY!U83, "")</f>
        <v/>
      </c>
      <c r="E81" s="15">
        <f>IF(BUY!U83&gt;0, BUY!V83, "")</f>
        <v/>
      </c>
    </row>
    <row r="82">
      <c r="A82">
        <f>IF(BUY!U84&gt;0, BUY!A84, "")</f>
        <v/>
      </c>
      <c r="B82">
        <f>IF(BUY!U84&gt;0, BUY!S84, "")</f>
        <v/>
      </c>
      <c r="C82" s="17">
        <f>IF(BUY!U84&gt;0, BUY!T84, "")</f>
        <v/>
      </c>
      <c r="D82" s="13">
        <f>IF(BUY!U84&gt;0, BUY!U84, "")</f>
        <v/>
      </c>
      <c r="E82" s="15">
        <f>IF(BUY!U84&gt;0, BUY!V84, "")</f>
        <v/>
      </c>
    </row>
    <row r="83">
      <c r="A83">
        <f>IF(BUY!U85&gt;0, BUY!A85, "")</f>
        <v/>
      </c>
      <c r="B83">
        <f>IF(BUY!U85&gt;0, BUY!S85, "")</f>
        <v/>
      </c>
      <c r="C83" s="17">
        <f>IF(BUY!U85&gt;0, BUY!T85, "")</f>
        <v/>
      </c>
      <c r="D83" s="13">
        <f>IF(BUY!U85&gt;0, BUY!U85, "")</f>
        <v/>
      </c>
      <c r="E83" s="15">
        <f>IF(BUY!U85&gt;0, BUY!V85, "")</f>
        <v/>
      </c>
    </row>
    <row r="84">
      <c r="A84">
        <f>IF(BUY!U86&gt;0, BUY!A86, "")</f>
        <v/>
      </c>
      <c r="B84">
        <f>IF(BUY!U86&gt;0, BUY!S86, "")</f>
        <v/>
      </c>
      <c r="C84" s="17">
        <f>IF(BUY!U86&gt;0, BUY!T86, "")</f>
        <v/>
      </c>
      <c r="D84" s="13">
        <f>IF(BUY!U86&gt;0, BUY!U86, "")</f>
        <v/>
      </c>
      <c r="E84" s="15">
        <f>IF(BUY!U86&gt;0, BUY!V86, "")</f>
        <v/>
      </c>
    </row>
    <row r="85">
      <c r="A85">
        <f>IF(BUY!U87&gt;0, BUY!A87, "")</f>
        <v/>
      </c>
      <c r="B85">
        <f>IF(BUY!U87&gt;0, BUY!S87, "")</f>
        <v/>
      </c>
      <c r="C85" s="17">
        <f>IF(BUY!U87&gt;0, BUY!T87, "")</f>
        <v/>
      </c>
      <c r="D85" s="13">
        <f>IF(BUY!U87&gt;0, BUY!U87, "")</f>
        <v/>
      </c>
      <c r="E85" s="15">
        <f>IF(BUY!U87&gt;0, BUY!V87, "")</f>
        <v/>
      </c>
    </row>
    <row r="86">
      <c r="A86">
        <f>IF(BUY!U88&gt;0, BUY!A88, "")</f>
        <v/>
      </c>
      <c r="B86">
        <f>IF(BUY!U88&gt;0, BUY!S88, "")</f>
        <v/>
      </c>
      <c r="C86" s="17">
        <f>IF(BUY!U88&gt;0, BUY!T88, "")</f>
        <v/>
      </c>
      <c r="D86" s="13">
        <f>IF(BUY!U88&gt;0, BUY!U88, "")</f>
        <v/>
      </c>
      <c r="E86" s="15">
        <f>IF(BUY!U88&gt;0, BUY!V88, "")</f>
        <v/>
      </c>
    </row>
    <row r="87">
      <c r="A87">
        <f>IF(BUY!U89&gt;0, BUY!A89, "")</f>
        <v/>
      </c>
      <c r="B87">
        <f>IF(BUY!U89&gt;0, BUY!S89, "")</f>
        <v/>
      </c>
      <c r="C87" s="17">
        <f>IF(BUY!U89&gt;0, BUY!T89, "")</f>
        <v/>
      </c>
      <c r="D87" s="13">
        <f>IF(BUY!U89&gt;0, BUY!U89, "")</f>
        <v/>
      </c>
      <c r="E87" s="15">
        <f>IF(BUY!U89&gt;0, BUY!V89, "")</f>
        <v/>
      </c>
    </row>
    <row r="88">
      <c r="A88">
        <f>IF(BUY!U90&gt;0, BUY!A90, "")</f>
        <v/>
      </c>
      <c r="B88">
        <f>IF(BUY!U90&gt;0, BUY!S90, "")</f>
        <v/>
      </c>
      <c r="C88" s="17">
        <f>IF(BUY!U90&gt;0, BUY!T90, "")</f>
        <v/>
      </c>
      <c r="D88" s="13">
        <f>IF(BUY!U90&gt;0, BUY!U90, "")</f>
        <v/>
      </c>
      <c r="E88" s="15">
        <f>IF(BUY!U90&gt;0, BUY!V90, "")</f>
        <v/>
      </c>
    </row>
    <row r="89">
      <c r="A89">
        <f>IF(BUY!U91&gt;0, BUY!A91, "")</f>
        <v/>
      </c>
      <c r="B89">
        <f>IF(BUY!U91&gt;0, BUY!S91, "")</f>
        <v/>
      </c>
      <c r="C89" s="17">
        <f>IF(BUY!U91&gt;0, BUY!T91, "")</f>
        <v/>
      </c>
      <c r="D89" s="13">
        <f>IF(BUY!U91&gt;0, BUY!U91, "")</f>
        <v/>
      </c>
      <c r="E89" s="15">
        <f>IF(BUY!U91&gt;0, BUY!V91, "")</f>
        <v/>
      </c>
    </row>
    <row r="90">
      <c r="A90">
        <f>IF(BUY!U92&gt;0, BUY!A92, "")</f>
        <v/>
      </c>
      <c r="B90">
        <f>IF(BUY!U92&gt;0, BUY!S92, "")</f>
        <v/>
      </c>
      <c r="C90" s="17">
        <f>IF(BUY!U92&gt;0, BUY!T92, "")</f>
        <v/>
      </c>
      <c r="D90" s="13">
        <f>IF(BUY!U92&gt;0, BUY!U92, "")</f>
        <v/>
      </c>
      <c r="E90" s="15">
        <f>IF(BUY!U92&gt;0, BUY!V92, "")</f>
        <v/>
      </c>
    </row>
    <row r="91">
      <c r="A91">
        <f>IF(BUY!U93&gt;0, BUY!A93, "")</f>
        <v/>
      </c>
      <c r="B91">
        <f>IF(BUY!U93&gt;0, BUY!S93, "")</f>
        <v/>
      </c>
      <c r="C91" s="17">
        <f>IF(BUY!U93&gt;0, BUY!T93, "")</f>
        <v/>
      </c>
      <c r="D91" s="13">
        <f>IF(BUY!U93&gt;0, BUY!U93, "")</f>
        <v/>
      </c>
      <c r="E91" s="15">
        <f>IF(BUY!U93&gt;0, BUY!V93, "")</f>
        <v/>
      </c>
    </row>
    <row r="92">
      <c r="A92">
        <f>IF(BUY!U94&gt;0, BUY!A94, "")</f>
        <v/>
      </c>
      <c r="B92">
        <f>IF(BUY!U94&gt;0, BUY!S94, "")</f>
        <v/>
      </c>
      <c r="C92" s="17">
        <f>IF(BUY!U94&gt;0, BUY!T94, "")</f>
        <v/>
      </c>
      <c r="D92" s="13">
        <f>IF(BUY!U94&gt;0, BUY!U94, "")</f>
        <v/>
      </c>
      <c r="E92" s="15">
        <f>IF(BUY!U94&gt;0, BUY!V94, "")</f>
        <v/>
      </c>
    </row>
    <row r="93">
      <c r="A93">
        <f>IF(BUY!U95&gt;0, BUY!A95, "")</f>
        <v/>
      </c>
      <c r="B93">
        <f>IF(BUY!U95&gt;0, BUY!S95, "")</f>
        <v/>
      </c>
      <c r="C93" s="17">
        <f>IF(BUY!U95&gt;0, BUY!T95, "")</f>
        <v/>
      </c>
      <c r="D93" s="13">
        <f>IF(BUY!U95&gt;0, BUY!U95, "")</f>
        <v/>
      </c>
      <c r="E93" s="15">
        <f>IF(BUY!U95&gt;0, BUY!V95, "")</f>
        <v/>
      </c>
    </row>
    <row r="94">
      <c r="A94">
        <f>IF(BUY!U96&gt;0, BUY!A96, "")</f>
        <v/>
      </c>
      <c r="B94">
        <f>IF(BUY!U96&gt;0, BUY!S96, "")</f>
        <v/>
      </c>
      <c r="C94" s="17">
        <f>IF(BUY!U96&gt;0, BUY!T96, "")</f>
        <v/>
      </c>
      <c r="D94" s="13">
        <f>IF(BUY!U96&gt;0, BUY!U96, "")</f>
        <v/>
      </c>
      <c r="E94" s="15">
        <f>IF(BUY!U96&gt;0, BUY!V96, "")</f>
        <v/>
      </c>
    </row>
    <row r="95">
      <c r="A95">
        <f>IF(BUY!U97&gt;0, BUY!A97, "")</f>
        <v/>
      </c>
      <c r="B95">
        <f>IF(BUY!U97&gt;0, BUY!S97, "")</f>
        <v/>
      </c>
      <c r="C95" s="17">
        <f>IF(BUY!U97&gt;0, BUY!T97, "")</f>
        <v/>
      </c>
      <c r="D95" s="13">
        <f>IF(BUY!U97&gt;0, BUY!U97, "")</f>
        <v/>
      </c>
      <c r="E95" s="15">
        <f>IF(BUY!U97&gt;0, BUY!V97, "")</f>
        <v/>
      </c>
    </row>
    <row r="96">
      <c r="A96">
        <f>IF(BUY!U98&gt;0, BUY!A98, "")</f>
        <v/>
      </c>
      <c r="B96">
        <f>IF(BUY!U98&gt;0, BUY!S98, "")</f>
        <v/>
      </c>
      <c r="C96" s="17">
        <f>IF(BUY!U98&gt;0, BUY!T98, "")</f>
        <v/>
      </c>
      <c r="D96" s="13">
        <f>IF(BUY!U98&gt;0, BUY!U98, "")</f>
        <v/>
      </c>
      <c r="E96" s="15">
        <f>IF(BUY!U98&gt;0, BUY!V98, "")</f>
        <v/>
      </c>
    </row>
    <row r="97">
      <c r="A97">
        <f>IF(BUY!U99&gt;0, BUY!A99, "")</f>
        <v/>
      </c>
      <c r="B97">
        <f>IF(BUY!U99&gt;0, BUY!S99, "")</f>
        <v/>
      </c>
      <c r="C97" s="17">
        <f>IF(BUY!U99&gt;0, BUY!T99, "")</f>
        <v/>
      </c>
      <c r="D97" s="13">
        <f>IF(BUY!U99&gt;0, BUY!U99, "")</f>
        <v/>
      </c>
      <c r="E97" s="15">
        <f>IF(BUY!U99&gt;0, BUY!V99, "")</f>
        <v/>
      </c>
    </row>
    <row r="98">
      <c r="A98">
        <f>IF(BUY!U100&gt;0, BUY!A100, "")</f>
        <v/>
      </c>
      <c r="B98">
        <f>IF(BUY!U100&gt;0, BUY!S100, "")</f>
        <v/>
      </c>
      <c r="C98" s="17">
        <f>IF(BUY!U100&gt;0, BUY!T100, "")</f>
        <v/>
      </c>
      <c r="D98" s="13">
        <f>IF(BUY!U100&gt;0, BUY!U100, "")</f>
        <v/>
      </c>
      <c r="E98" s="15">
        <f>IF(BUY!U100&gt;0, BUY!V100, "")</f>
        <v/>
      </c>
    </row>
    <row r="99">
      <c r="A99">
        <f>IF(BUY!U101&gt;0, BUY!A101, "")</f>
        <v/>
      </c>
      <c r="B99">
        <f>IF(BUY!U101&gt;0, BUY!S101, "")</f>
        <v/>
      </c>
      <c r="C99" s="17">
        <f>IF(BUY!U101&gt;0, BUY!T101, "")</f>
        <v/>
      </c>
      <c r="D99" s="13">
        <f>IF(BUY!U101&gt;0, BUY!U101, "")</f>
        <v/>
      </c>
      <c r="E99" s="15">
        <f>IF(BUY!U101&gt;0, BUY!V101, "")</f>
        <v/>
      </c>
    </row>
    <row r="100">
      <c r="A100">
        <f>IF(BUY!U102&gt;0, BUY!A102, "")</f>
        <v/>
      </c>
      <c r="B100">
        <f>IF(BUY!U102&gt;0, BUY!S102, "")</f>
        <v/>
      </c>
      <c r="C100" s="17">
        <f>IF(BUY!U102&gt;0, BUY!T102, "")</f>
        <v/>
      </c>
      <c r="D100" s="13">
        <f>IF(BUY!U102&gt;0, BUY!U102, "")</f>
        <v/>
      </c>
      <c r="E100" s="15">
        <f>IF(BUY!U102&gt;0, BUY!V102, "")</f>
        <v/>
      </c>
    </row>
    <row r="101">
      <c r="A101">
        <f>IF(BUY!U103&gt;0, BUY!A103, "")</f>
        <v/>
      </c>
      <c r="B101">
        <f>IF(BUY!U103&gt;0, BUY!S103, "")</f>
        <v/>
      </c>
      <c r="C101" s="17">
        <f>IF(BUY!U103&gt;0, BUY!T103, "")</f>
        <v/>
      </c>
      <c r="D101" s="13">
        <f>IF(BUY!U103&gt;0, BUY!U103, "")</f>
        <v/>
      </c>
      <c r="E101" s="15">
        <f>IF(BUY!U103&gt;0, BUY!V103, "")</f>
        <v/>
      </c>
    </row>
    <row r="102">
      <c r="A102">
        <f>IF(BUY!U104&gt;0, BUY!A104, "")</f>
        <v/>
      </c>
      <c r="B102">
        <f>IF(BUY!U104&gt;0, BUY!S104, "")</f>
        <v/>
      </c>
      <c r="C102" s="17">
        <f>IF(BUY!U104&gt;0, BUY!T104, "")</f>
        <v/>
      </c>
      <c r="D102" s="13">
        <f>IF(BUY!U104&gt;0, BUY!U104, "")</f>
        <v/>
      </c>
      <c r="E102" s="15">
        <f>IF(BUY!U104&gt;0, BUY!V104, "")</f>
        <v/>
      </c>
    </row>
    <row r="103">
      <c r="A103">
        <f>IF(BUY!U105&gt;0, BUY!A105, "")</f>
        <v/>
      </c>
      <c r="B103">
        <f>IF(BUY!U105&gt;0, BUY!S105, "")</f>
        <v/>
      </c>
      <c r="C103" s="17">
        <f>IF(BUY!U105&gt;0, BUY!T105, "")</f>
        <v/>
      </c>
      <c r="D103" s="13">
        <f>IF(BUY!U105&gt;0, BUY!U105, "")</f>
        <v/>
      </c>
      <c r="E103" s="15">
        <f>IF(BUY!U105&gt;0, BUY!V105, "")</f>
        <v/>
      </c>
    </row>
    <row r="104">
      <c r="A104">
        <f>IF(BUY!U106&gt;0, BUY!A106, "")</f>
        <v/>
      </c>
      <c r="B104">
        <f>IF(BUY!U106&gt;0, BUY!S106, "")</f>
        <v/>
      </c>
      <c r="C104" s="17">
        <f>IF(BUY!U106&gt;0, BUY!T106, "")</f>
        <v/>
      </c>
      <c r="D104" s="13">
        <f>IF(BUY!U106&gt;0, BUY!U106, "")</f>
        <v/>
      </c>
      <c r="E104" s="15">
        <f>IF(BUY!U106&gt;0, BUY!V106, "")</f>
        <v/>
      </c>
    </row>
    <row r="105">
      <c r="A105">
        <f>IF(BUY!U107&gt;0, BUY!A107, "")</f>
        <v/>
      </c>
      <c r="B105">
        <f>IF(BUY!U107&gt;0, BUY!S107, "")</f>
        <v/>
      </c>
      <c r="C105" s="17">
        <f>IF(BUY!U107&gt;0, BUY!T107, "")</f>
        <v/>
      </c>
      <c r="D105" s="13">
        <f>IF(BUY!U107&gt;0, BUY!U107, "")</f>
        <v/>
      </c>
      <c r="E105" s="15">
        <f>IF(BUY!U107&gt;0, BUY!V107, "")</f>
        <v/>
      </c>
    </row>
    <row r="106">
      <c r="A106">
        <f>IF(BUY!U108&gt;0, BUY!A108, "")</f>
        <v/>
      </c>
      <c r="B106">
        <f>IF(BUY!U108&gt;0, BUY!S108, "")</f>
        <v/>
      </c>
      <c r="C106" s="17">
        <f>IF(BUY!U108&gt;0, BUY!T108, "")</f>
        <v/>
      </c>
      <c r="D106" s="13">
        <f>IF(BUY!U108&gt;0, BUY!U108, "")</f>
        <v/>
      </c>
      <c r="E106" s="15">
        <f>IF(BUY!U108&gt;0, BUY!V108, "")</f>
        <v/>
      </c>
    </row>
    <row r="107">
      <c r="A107">
        <f>IF(BUY!U109&gt;0, BUY!A109, "")</f>
        <v/>
      </c>
      <c r="B107">
        <f>IF(BUY!U109&gt;0, BUY!S109, "")</f>
        <v/>
      </c>
      <c r="C107" s="17">
        <f>IF(BUY!U109&gt;0, BUY!T109, "")</f>
        <v/>
      </c>
      <c r="D107" s="13">
        <f>IF(BUY!U109&gt;0, BUY!U109, "")</f>
        <v/>
      </c>
      <c r="E107" s="15">
        <f>IF(BUY!U109&gt;0, BUY!V109, "")</f>
        <v/>
      </c>
    </row>
    <row r="108">
      <c r="A108">
        <f>IF(BUY!U110&gt;0, BUY!A110, "")</f>
        <v/>
      </c>
      <c r="B108">
        <f>IF(BUY!U110&gt;0, BUY!S110, "")</f>
        <v/>
      </c>
      <c r="C108" s="17">
        <f>IF(BUY!U110&gt;0, BUY!T110, "")</f>
        <v/>
      </c>
      <c r="D108" s="13">
        <f>IF(BUY!U110&gt;0, BUY!U110, "")</f>
        <v/>
      </c>
      <c r="E108" s="15">
        <f>IF(BUY!U110&gt;0, BUY!V110, "")</f>
        <v/>
      </c>
    </row>
    <row r="109">
      <c r="A109">
        <f>IF(BUY!U111&gt;0, BUY!A111, "")</f>
        <v/>
      </c>
      <c r="B109">
        <f>IF(BUY!U111&gt;0, BUY!S111, "")</f>
        <v/>
      </c>
      <c r="C109" s="17">
        <f>IF(BUY!U111&gt;0, BUY!T111, "")</f>
        <v/>
      </c>
      <c r="D109" s="13">
        <f>IF(BUY!U111&gt;0, BUY!U111, "")</f>
        <v/>
      </c>
      <c r="E109" s="15">
        <f>IF(BUY!U111&gt;0, BUY!V111, "")</f>
        <v/>
      </c>
    </row>
    <row r="110">
      <c r="A110">
        <f>IF(BUY!U112&gt;0, BUY!A112, "")</f>
        <v/>
      </c>
      <c r="B110">
        <f>IF(BUY!U112&gt;0, BUY!S112, "")</f>
        <v/>
      </c>
      <c r="C110" s="17">
        <f>IF(BUY!U112&gt;0, BUY!T112, "")</f>
        <v/>
      </c>
      <c r="D110" s="13">
        <f>IF(BUY!U112&gt;0, BUY!U112, "")</f>
        <v/>
      </c>
      <c r="E110" s="15">
        <f>IF(BUY!U112&gt;0, BUY!V112, "")</f>
        <v/>
      </c>
    </row>
    <row r="111">
      <c r="A111">
        <f>IF(BUY!U113&gt;0, BUY!A113, "")</f>
        <v/>
      </c>
      <c r="B111">
        <f>IF(BUY!U113&gt;0, BUY!S113, "")</f>
        <v/>
      </c>
      <c r="C111" s="17">
        <f>IF(BUY!U113&gt;0, BUY!T113, "")</f>
        <v/>
      </c>
      <c r="D111" s="13">
        <f>IF(BUY!U113&gt;0, BUY!U113, "")</f>
        <v/>
      </c>
      <c r="E111" s="15">
        <f>IF(BUY!U113&gt;0, BUY!V113, "")</f>
        <v/>
      </c>
    </row>
    <row r="112">
      <c r="A112">
        <f>IF(BUY!U114&gt;0, BUY!A114, "")</f>
        <v/>
      </c>
      <c r="B112">
        <f>IF(BUY!U114&gt;0, BUY!S114, "")</f>
        <v/>
      </c>
      <c r="C112" s="17">
        <f>IF(BUY!U114&gt;0, BUY!T114, "")</f>
        <v/>
      </c>
      <c r="D112" s="13">
        <f>IF(BUY!U114&gt;0, BUY!U114, "")</f>
        <v/>
      </c>
      <c r="E112" s="15">
        <f>IF(BUY!U114&gt;0, BUY!V114, "")</f>
        <v/>
      </c>
    </row>
    <row r="113">
      <c r="A113">
        <f>IF(BUY!U115&gt;0, BUY!A115, "")</f>
        <v/>
      </c>
      <c r="B113">
        <f>IF(BUY!U115&gt;0, BUY!S115, "")</f>
        <v/>
      </c>
      <c r="C113" s="17">
        <f>IF(BUY!U115&gt;0, BUY!T115, "")</f>
        <v/>
      </c>
      <c r="D113" s="13">
        <f>IF(BUY!U115&gt;0, BUY!U115, "")</f>
        <v/>
      </c>
      <c r="E113" s="15">
        <f>IF(BUY!U115&gt;0, BUY!V115, "")</f>
        <v/>
      </c>
    </row>
    <row r="114">
      <c r="A114">
        <f>IF(BUY!U116&gt;0, BUY!A116, "")</f>
        <v/>
      </c>
      <c r="B114">
        <f>IF(BUY!U116&gt;0, BUY!S116, "")</f>
        <v/>
      </c>
      <c r="C114" s="17">
        <f>IF(BUY!U116&gt;0, BUY!T116, "")</f>
        <v/>
      </c>
      <c r="D114" s="13">
        <f>IF(BUY!U116&gt;0, BUY!U116, "")</f>
        <v/>
      </c>
      <c r="E114" s="15">
        <f>IF(BUY!U116&gt;0, BUY!V116, "")</f>
        <v/>
      </c>
    </row>
    <row r="115">
      <c r="A115">
        <f>IF(BUY!U117&gt;0, BUY!A117, "")</f>
        <v/>
      </c>
      <c r="B115">
        <f>IF(BUY!U117&gt;0, BUY!S117, "")</f>
        <v/>
      </c>
      <c r="C115" s="17">
        <f>IF(BUY!U117&gt;0, BUY!T117, "")</f>
        <v/>
      </c>
      <c r="D115" s="13">
        <f>IF(BUY!U117&gt;0, BUY!U117, "")</f>
        <v/>
      </c>
      <c r="E115" s="15">
        <f>IF(BUY!U117&gt;0, BUY!V117, "")</f>
        <v/>
      </c>
    </row>
    <row r="116">
      <c r="A116">
        <f>IF(BUY!U118&gt;0, BUY!A118, "")</f>
        <v/>
      </c>
      <c r="B116">
        <f>IF(BUY!U118&gt;0, BUY!S118, "")</f>
        <v/>
      </c>
      <c r="C116" s="17">
        <f>IF(BUY!U118&gt;0, BUY!T118, "")</f>
        <v/>
      </c>
      <c r="D116" s="13">
        <f>IF(BUY!U118&gt;0, BUY!U118, "")</f>
        <v/>
      </c>
      <c r="E116" s="15">
        <f>IF(BUY!U118&gt;0, BUY!V118, "")</f>
        <v/>
      </c>
    </row>
    <row r="117">
      <c r="A117">
        <f>IF(BUY!U119&gt;0, BUY!A119, "")</f>
        <v/>
      </c>
      <c r="B117">
        <f>IF(BUY!U119&gt;0, BUY!S119, "")</f>
        <v/>
      </c>
      <c r="C117" s="17">
        <f>IF(BUY!U119&gt;0, BUY!T119, "")</f>
        <v/>
      </c>
      <c r="D117" s="13">
        <f>IF(BUY!U119&gt;0, BUY!U119, "")</f>
        <v/>
      </c>
      <c r="E117" s="15">
        <f>IF(BUY!U119&gt;0, BUY!V119, "")</f>
        <v/>
      </c>
    </row>
    <row r="118">
      <c r="A118">
        <f>IF(BUY!U120&gt;0, BUY!A120, "")</f>
        <v/>
      </c>
      <c r="B118">
        <f>IF(BUY!U120&gt;0, BUY!S120, "")</f>
        <v/>
      </c>
      <c r="C118" s="17">
        <f>IF(BUY!U120&gt;0, BUY!T120, "")</f>
        <v/>
      </c>
      <c r="D118" s="13">
        <f>IF(BUY!U120&gt;0, BUY!U120, "")</f>
        <v/>
      </c>
      <c r="E118" s="15">
        <f>IF(BUY!U120&gt;0, BUY!V120, "")</f>
        <v/>
      </c>
    </row>
    <row r="119">
      <c r="A119">
        <f>IF(BUY!U121&gt;0, BUY!A121, "")</f>
        <v/>
      </c>
      <c r="B119">
        <f>IF(BUY!U121&gt;0, BUY!S121, "")</f>
        <v/>
      </c>
      <c r="C119" s="17">
        <f>IF(BUY!U121&gt;0, BUY!T121, "")</f>
        <v/>
      </c>
      <c r="D119" s="13">
        <f>IF(BUY!U121&gt;0, BUY!U121, "")</f>
        <v/>
      </c>
      <c r="E119" s="15">
        <f>IF(BUY!U121&gt;0, BUY!V121, "")</f>
        <v/>
      </c>
    </row>
    <row r="120">
      <c r="A120">
        <f>IF(BUY!U122&gt;0, BUY!A122, "")</f>
        <v/>
      </c>
      <c r="B120">
        <f>IF(BUY!U122&gt;0, BUY!S122, "")</f>
        <v/>
      </c>
      <c r="C120" s="17">
        <f>IF(BUY!U122&gt;0, BUY!T122, "")</f>
        <v/>
      </c>
      <c r="D120" s="13">
        <f>IF(BUY!U122&gt;0, BUY!U122, "")</f>
        <v/>
      </c>
      <c r="E120" s="15">
        <f>IF(BUY!U122&gt;0, BUY!V122, "")</f>
        <v/>
      </c>
    </row>
    <row r="121">
      <c r="A121">
        <f>IF(BUY!U123&gt;0, BUY!A123, "")</f>
        <v/>
      </c>
      <c r="B121">
        <f>IF(BUY!U123&gt;0, BUY!S123, "")</f>
        <v/>
      </c>
      <c r="C121" s="17">
        <f>IF(BUY!U123&gt;0, BUY!T123, "")</f>
        <v/>
      </c>
      <c r="D121" s="13">
        <f>IF(BUY!U123&gt;0, BUY!U123, "")</f>
        <v/>
      </c>
      <c r="E121" s="15">
        <f>IF(BUY!U123&gt;0, BUY!V123, "")</f>
        <v/>
      </c>
    </row>
    <row r="122">
      <c r="A122">
        <f>IF(BUY!U124&gt;0, BUY!A124, "")</f>
        <v/>
      </c>
      <c r="B122">
        <f>IF(BUY!U124&gt;0, BUY!S124, "")</f>
        <v/>
      </c>
      <c r="C122" s="17">
        <f>IF(BUY!U124&gt;0, BUY!T124, "")</f>
        <v/>
      </c>
      <c r="D122" s="13">
        <f>IF(BUY!U124&gt;0, BUY!U124, "")</f>
        <v/>
      </c>
      <c r="E122" s="15">
        <f>IF(BUY!U124&gt;0, BUY!V124, "")</f>
        <v/>
      </c>
    </row>
    <row r="123">
      <c r="A123">
        <f>IF(BUY!U125&gt;0, BUY!A125, "")</f>
        <v/>
      </c>
      <c r="B123">
        <f>IF(BUY!U125&gt;0, BUY!S125, "")</f>
        <v/>
      </c>
      <c r="C123" s="17">
        <f>IF(BUY!U125&gt;0, BUY!T125, "")</f>
        <v/>
      </c>
      <c r="D123" s="13">
        <f>IF(BUY!U125&gt;0, BUY!U125, "")</f>
        <v/>
      </c>
      <c r="E123" s="15">
        <f>IF(BUY!U125&gt;0, BUY!V125, "")</f>
        <v/>
      </c>
    </row>
    <row r="124">
      <c r="A124">
        <f>IF(BUY!U126&gt;0, BUY!A126, "")</f>
        <v/>
      </c>
      <c r="B124">
        <f>IF(BUY!U126&gt;0, BUY!S126, "")</f>
        <v/>
      </c>
      <c r="C124" s="17">
        <f>IF(BUY!U126&gt;0, BUY!T126, "")</f>
        <v/>
      </c>
      <c r="D124" s="13">
        <f>IF(BUY!U126&gt;0, BUY!U126, "")</f>
        <v/>
      </c>
      <c r="E124" s="15">
        <f>IF(BUY!U126&gt;0, BUY!V126, "")</f>
        <v/>
      </c>
    </row>
    <row r="125">
      <c r="A125">
        <f>IF(BUY!U127&gt;0, BUY!A127, "")</f>
        <v/>
      </c>
      <c r="B125">
        <f>IF(BUY!U127&gt;0, BUY!S127, "")</f>
        <v/>
      </c>
      <c r="C125" s="17">
        <f>IF(BUY!U127&gt;0, BUY!T127, "")</f>
        <v/>
      </c>
      <c r="D125" s="13">
        <f>IF(BUY!U127&gt;0, BUY!U127, "")</f>
        <v/>
      </c>
      <c r="E125" s="15">
        <f>IF(BUY!U127&gt;0, BUY!V127, "")</f>
        <v/>
      </c>
    </row>
    <row r="126">
      <c r="A126">
        <f>IF(BUY!U128&gt;0, BUY!A128, "")</f>
        <v/>
      </c>
      <c r="B126">
        <f>IF(BUY!U128&gt;0, BUY!S128, "")</f>
        <v/>
      </c>
      <c r="C126" s="17">
        <f>IF(BUY!U128&gt;0, BUY!T128, "")</f>
        <v/>
      </c>
      <c r="D126" s="13">
        <f>IF(BUY!U128&gt;0, BUY!U128, "")</f>
        <v/>
      </c>
      <c r="E126" s="15">
        <f>IF(BUY!U128&gt;0, BUY!V128, "")</f>
        <v/>
      </c>
    </row>
    <row r="127">
      <c r="A127">
        <f>IF(BUY!U129&gt;0, BUY!A129, "")</f>
        <v/>
      </c>
      <c r="B127">
        <f>IF(BUY!U129&gt;0, BUY!S129, "")</f>
        <v/>
      </c>
      <c r="C127" s="17">
        <f>IF(BUY!U129&gt;0, BUY!T129, "")</f>
        <v/>
      </c>
      <c r="D127" s="13">
        <f>IF(BUY!U129&gt;0, BUY!U129, "")</f>
        <v/>
      </c>
      <c r="E127" s="15">
        <f>IF(BUY!U129&gt;0, BUY!V129, "")</f>
        <v/>
      </c>
    </row>
    <row r="128">
      <c r="A128">
        <f>IF(BUY!U130&gt;0, BUY!A130, "")</f>
        <v/>
      </c>
      <c r="B128">
        <f>IF(BUY!U130&gt;0, BUY!S130, "")</f>
        <v/>
      </c>
      <c r="C128" s="17">
        <f>IF(BUY!U130&gt;0, BUY!T130, "")</f>
        <v/>
      </c>
      <c r="D128" s="13">
        <f>IF(BUY!U130&gt;0, BUY!U130, "")</f>
        <v/>
      </c>
      <c r="E128" s="15">
        <f>IF(BUY!U130&gt;0, BUY!V130, "")</f>
        <v/>
      </c>
    </row>
    <row r="129">
      <c r="A129">
        <f>IF(BUY!U131&gt;0, BUY!A131, "")</f>
        <v/>
      </c>
      <c r="B129">
        <f>IF(BUY!U131&gt;0, BUY!S131, "")</f>
        <v/>
      </c>
      <c r="C129" s="17">
        <f>IF(BUY!U131&gt;0, BUY!T131, "")</f>
        <v/>
      </c>
      <c r="D129" s="13">
        <f>IF(BUY!U131&gt;0, BUY!U131, "")</f>
        <v/>
      </c>
      <c r="E129" s="15">
        <f>IF(BUY!U131&gt;0, BUY!V131, "")</f>
        <v/>
      </c>
    </row>
    <row r="130">
      <c r="A130">
        <f>IF(BUY!U132&gt;0, BUY!A132, "")</f>
        <v/>
      </c>
      <c r="B130">
        <f>IF(BUY!U132&gt;0, BUY!S132, "")</f>
        <v/>
      </c>
      <c r="C130" s="17">
        <f>IF(BUY!U132&gt;0, BUY!T132, "")</f>
        <v/>
      </c>
      <c r="D130" s="13">
        <f>IF(BUY!U132&gt;0, BUY!U132, "")</f>
        <v/>
      </c>
      <c r="E130" s="15">
        <f>IF(BUY!U132&gt;0, BUY!V132, "")</f>
        <v/>
      </c>
    </row>
    <row r="131">
      <c r="A131">
        <f>IF(BUY!U133&gt;0, BUY!A133, "")</f>
        <v/>
      </c>
      <c r="B131">
        <f>IF(BUY!U133&gt;0, BUY!S133, "")</f>
        <v/>
      </c>
      <c r="C131" s="17">
        <f>IF(BUY!U133&gt;0, BUY!T133, "")</f>
        <v/>
      </c>
      <c r="D131" s="13">
        <f>IF(BUY!U133&gt;0, BUY!U133, "")</f>
        <v/>
      </c>
      <c r="E131" s="15">
        <f>IF(BUY!U133&gt;0, BUY!V133, "")</f>
        <v/>
      </c>
    </row>
    <row r="132">
      <c r="A132">
        <f>IF(BUY!U134&gt;0, BUY!A134, "")</f>
        <v/>
      </c>
      <c r="B132">
        <f>IF(BUY!U134&gt;0, BUY!S134, "")</f>
        <v/>
      </c>
      <c r="C132" s="17">
        <f>IF(BUY!U134&gt;0, BUY!T134, "")</f>
        <v/>
      </c>
      <c r="D132" s="13">
        <f>IF(BUY!U134&gt;0, BUY!U134, "")</f>
        <v/>
      </c>
      <c r="E132" s="15">
        <f>IF(BUY!U134&gt;0, BUY!V134, "")</f>
        <v/>
      </c>
    </row>
    <row r="133">
      <c r="A133">
        <f>IF(BUY!U135&gt;0, BUY!A135, "")</f>
        <v/>
      </c>
      <c r="B133">
        <f>IF(BUY!U135&gt;0, BUY!S135, "")</f>
        <v/>
      </c>
      <c r="C133" s="17">
        <f>IF(BUY!U135&gt;0, BUY!T135, "")</f>
        <v/>
      </c>
      <c r="D133" s="13">
        <f>IF(BUY!U135&gt;0, BUY!U135, "")</f>
        <v/>
      </c>
      <c r="E133" s="15">
        <f>IF(BUY!U135&gt;0, BUY!V135, "")</f>
        <v/>
      </c>
    </row>
    <row r="134">
      <c r="A134">
        <f>IF(BUY!U136&gt;0, BUY!A136, "")</f>
        <v/>
      </c>
      <c r="B134">
        <f>IF(BUY!U136&gt;0, BUY!S136, "")</f>
        <v/>
      </c>
      <c r="C134" s="17">
        <f>IF(BUY!U136&gt;0, BUY!T136, "")</f>
        <v/>
      </c>
      <c r="D134" s="13">
        <f>IF(BUY!U136&gt;0, BUY!U136, "")</f>
        <v/>
      </c>
      <c r="E134" s="15">
        <f>IF(BUY!U136&gt;0, BUY!V136, "")</f>
        <v/>
      </c>
    </row>
    <row r="135">
      <c r="A135">
        <f>IF(BUY!U137&gt;0, BUY!A137, "")</f>
        <v/>
      </c>
      <c r="B135">
        <f>IF(BUY!U137&gt;0, BUY!S137, "")</f>
        <v/>
      </c>
      <c r="C135" s="17">
        <f>IF(BUY!U137&gt;0, BUY!T137, "")</f>
        <v/>
      </c>
      <c r="D135" s="13">
        <f>IF(BUY!U137&gt;0, BUY!U137, "")</f>
        <v/>
      </c>
      <c r="E135" s="15">
        <f>IF(BUY!U137&gt;0, BUY!V137, "")</f>
        <v/>
      </c>
    </row>
    <row r="136">
      <c r="A136">
        <f>IF(BUY!U138&gt;0, BUY!A138, "")</f>
        <v/>
      </c>
      <c r="B136">
        <f>IF(BUY!U138&gt;0, BUY!S138, "")</f>
        <v/>
      </c>
      <c r="C136" s="17">
        <f>IF(BUY!U138&gt;0, BUY!T138, "")</f>
        <v/>
      </c>
      <c r="D136" s="13">
        <f>IF(BUY!U138&gt;0, BUY!U138, "")</f>
        <v/>
      </c>
      <c r="E136" s="15">
        <f>IF(BUY!U138&gt;0, BUY!V138, "")</f>
        <v/>
      </c>
    </row>
    <row r="137">
      <c r="A137">
        <f>IF(BUY!U139&gt;0, BUY!A139, "")</f>
        <v/>
      </c>
      <c r="B137">
        <f>IF(BUY!U139&gt;0, BUY!S139, "")</f>
        <v/>
      </c>
      <c r="C137" s="17">
        <f>IF(BUY!U139&gt;0, BUY!T139, "")</f>
        <v/>
      </c>
      <c r="D137" s="13">
        <f>IF(BUY!U139&gt;0, BUY!U139, "")</f>
        <v/>
      </c>
      <c r="E137" s="15">
        <f>IF(BUY!U139&gt;0, BUY!V139, "")</f>
        <v/>
      </c>
    </row>
    <row r="138">
      <c r="A138">
        <f>IF(BUY!U140&gt;0, BUY!A140, "")</f>
        <v/>
      </c>
      <c r="B138">
        <f>IF(BUY!U140&gt;0, BUY!S140, "")</f>
        <v/>
      </c>
      <c r="C138" s="17">
        <f>IF(BUY!U140&gt;0, BUY!T140, "")</f>
        <v/>
      </c>
      <c r="D138" s="13">
        <f>IF(BUY!U140&gt;0, BUY!U140, "")</f>
        <v/>
      </c>
      <c r="E138" s="15">
        <f>IF(BUY!U140&gt;0, BUY!V140, "")</f>
        <v/>
      </c>
    </row>
    <row r="139">
      <c r="A139">
        <f>IF(BUY!U141&gt;0, BUY!A141, "")</f>
        <v/>
      </c>
      <c r="B139">
        <f>IF(BUY!U141&gt;0, BUY!S141, "")</f>
        <v/>
      </c>
      <c r="C139" s="17">
        <f>IF(BUY!U141&gt;0, BUY!T141, "")</f>
        <v/>
      </c>
      <c r="D139" s="13">
        <f>IF(BUY!U141&gt;0, BUY!U141, "")</f>
        <v/>
      </c>
      <c r="E139" s="15">
        <f>IF(BUY!U141&gt;0, BUY!V141, "")</f>
        <v/>
      </c>
    </row>
    <row r="140">
      <c r="A140">
        <f>IF(BUY!U142&gt;0, BUY!A142, "")</f>
        <v/>
      </c>
      <c r="B140">
        <f>IF(BUY!U142&gt;0, BUY!S142, "")</f>
        <v/>
      </c>
      <c r="C140" s="17">
        <f>IF(BUY!U142&gt;0, BUY!T142, "")</f>
        <v/>
      </c>
      <c r="D140" s="13">
        <f>IF(BUY!U142&gt;0, BUY!U142, "")</f>
        <v/>
      </c>
      <c r="E140" s="15">
        <f>IF(BUY!U142&gt;0, BUY!V142, "")</f>
        <v/>
      </c>
    </row>
    <row r="141">
      <c r="A141">
        <f>IF(BUY!U143&gt;0, BUY!A143, "")</f>
        <v/>
      </c>
      <c r="B141">
        <f>IF(BUY!U143&gt;0, BUY!S143, "")</f>
        <v/>
      </c>
      <c r="C141" s="17">
        <f>IF(BUY!U143&gt;0, BUY!T143, "")</f>
        <v/>
      </c>
      <c r="D141" s="13">
        <f>IF(BUY!U143&gt;0, BUY!U143, "")</f>
        <v/>
      </c>
      <c r="E141" s="15">
        <f>IF(BUY!U143&gt;0, BUY!V143, "")</f>
        <v/>
      </c>
    </row>
    <row r="142">
      <c r="A142">
        <f>IF(BUY!U144&gt;0, BUY!A144, "")</f>
        <v/>
      </c>
      <c r="B142">
        <f>IF(BUY!U144&gt;0, BUY!S144, "")</f>
        <v/>
      </c>
      <c r="C142" s="17">
        <f>IF(BUY!U144&gt;0, BUY!T144, "")</f>
        <v/>
      </c>
      <c r="D142" s="13">
        <f>IF(BUY!U144&gt;0, BUY!U144, "")</f>
        <v/>
      </c>
      <c r="E142" s="15">
        <f>IF(BUY!U144&gt;0, BUY!V144, "")</f>
        <v/>
      </c>
    </row>
    <row r="143">
      <c r="A143">
        <f>IF(BUY!U145&gt;0, BUY!A145, "")</f>
        <v/>
      </c>
      <c r="B143">
        <f>IF(BUY!U145&gt;0, BUY!S145, "")</f>
        <v/>
      </c>
      <c r="C143" s="17">
        <f>IF(BUY!U145&gt;0, BUY!T145, "")</f>
        <v/>
      </c>
      <c r="D143" s="13">
        <f>IF(BUY!U145&gt;0, BUY!U145, "")</f>
        <v/>
      </c>
      <c r="E143" s="15">
        <f>IF(BUY!U145&gt;0, BUY!V145, "")</f>
        <v/>
      </c>
    </row>
    <row r="144">
      <c r="A144">
        <f>IF(BUY!U146&gt;0, BUY!A146, "")</f>
        <v/>
      </c>
      <c r="B144">
        <f>IF(BUY!U146&gt;0, BUY!S146, "")</f>
        <v/>
      </c>
      <c r="C144" s="17">
        <f>IF(BUY!U146&gt;0, BUY!T146, "")</f>
        <v/>
      </c>
      <c r="D144" s="13">
        <f>IF(BUY!U146&gt;0, BUY!U146, "")</f>
        <v/>
      </c>
      <c r="E144" s="15">
        <f>IF(BUY!U146&gt;0, BUY!V146, "")</f>
        <v/>
      </c>
    </row>
    <row r="145">
      <c r="A145">
        <f>IF(BUY!U147&gt;0, BUY!A147, "")</f>
        <v/>
      </c>
      <c r="B145">
        <f>IF(BUY!U147&gt;0, BUY!S147, "")</f>
        <v/>
      </c>
      <c r="C145" s="17">
        <f>IF(BUY!U147&gt;0, BUY!T147, "")</f>
        <v/>
      </c>
      <c r="D145" s="13">
        <f>IF(BUY!U147&gt;0, BUY!U147, "")</f>
        <v/>
      </c>
      <c r="E145" s="15">
        <f>IF(BUY!U147&gt;0, BUY!V147, "")</f>
        <v/>
      </c>
    </row>
    <row r="146">
      <c r="A146">
        <f>IF(BUY!U148&gt;0, BUY!A148, "")</f>
        <v/>
      </c>
      <c r="B146">
        <f>IF(BUY!U148&gt;0, BUY!S148, "")</f>
        <v/>
      </c>
      <c r="C146" s="17">
        <f>IF(BUY!U148&gt;0, BUY!T148, "")</f>
        <v/>
      </c>
      <c r="D146" s="13">
        <f>IF(BUY!U148&gt;0, BUY!U148, "")</f>
        <v/>
      </c>
      <c r="E146" s="15">
        <f>IF(BUY!U148&gt;0, BUY!V148, "")</f>
        <v/>
      </c>
    </row>
    <row r="147">
      <c r="A147">
        <f>IF(BUY!U149&gt;0, BUY!A149, "")</f>
        <v/>
      </c>
      <c r="B147">
        <f>IF(BUY!U149&gt;0, BUY!S149, "")</f>
        <v/>
      </c>
      <c r="C147" s="17">
        <f>IF(BUY!U149&gt;0, BUY!T149, "")</f>
        <v/>
      </c>
      <c r="D147" s="13">
        <f>IF(BUY!U149&gt;0, BUY!U149, "")</f>
        <v/>
      </c>
      <c r="E147" s="15">
        <f>IF(BUY!U149&gt;0, BUY!V149, "")</f>
        <v/>
      </c>
    </row>
    <row r="148">
      <c r="A148">
        <f>IF(BUY!U150&gt;0, BUY!A150, "")</f>
        <v/>
      </c>
      <c r="B148">
        <f>IF(BUY!U150&gt;0, BUY!S150, "")</f>
        <v/>
      </c>
      <c r="C148" s="17">
        <f>IF(BUY!U150&gt;0, BUY!T150, "")</f>
        <v/>
      </c>
      <c r="D148" s="13">
        <f>IF(BUY!U150&gt;0, BUY!U150, "")</f>
        <v/>
      </c>
      <c r="E148" s="15">
        <f>IF(BUY!U150&gt;0, BUY!V150, "")</f>
        <v/>
      </c>
    </row>
    <row r="149">
      <c r="A149">
        <f>IF(BUY!U151&gt;0, BUY!A151, "")</f>
        <v/>
      </c>
      <c r="B149">
        <f>IF(BUY!U151&gt;0, BUY!S151, "")</f>
        <v/>
      </c>
      <c r="C149" s="17">
        <f>IF(BUY!U151&gt;0, BUY!T151, "")</f>
        <v/>
      </c>
      <c r="D149" s="13">
        <f>IF(BUY!U151&gt;0, BUY!U151, "")</f>
        <v/>
      </c>
      <c r="E149" s="15">
        <f>IF(BUY!U151&gt;0, BUY!V151, "")</f>
        <v/>
      </c>
    </row>
    <row r="150">
      <c r="A150">
        <f>IF(BUY!U152&gt;0, BUY!A152, "")</f>
        <v/>
      </c>
      <c r="B150">
        <f>IF(BUY!U152&gt;0, BUY!S152, "")</f>
        <v/>
      </c>
      <c r="C150" s="17">
        <f>IF(BUY!U152&gt;0, BUY!T152, "")</f>
        <v/>
      </c>
      <c r="D150" s="13">
        <f>IF(BUY!U152&gt;0, BUY!U152, "")</f>
        <v/>
      </c>
      <c r="E150" s="15">
        <f>IF(BUY!U152&gt;0, BUY!V152, "")</f>
        <v/>
      </c>
    </row>
    <row r="151">
      <c r="A151">
        <f>IF(BUY!U153&gt;0, BUY!A153, "")</f>
        <v/>
      </c>
      <c r="B151">
        <f>IF(BUY!U153&gt;0, BUY!S153, "")</f>
        <v/>
      </c>
      <c r="C151" s="17">
        <f>IF(BUY!U153&gt;0, BUY!T153, "")</f>
        <v/>
      </c>
      <c r="D151" s="13">
        <f>IF(BUY!U153&gt;0, BUY!U153, "")</f>
        <v/>
      </c>
      <c r="E151" s="15">
        <f>IF(BUY!U153&gt;0, BUY!V153, "")</f>
        <v/>
      </c>
    </row>
    <row r="152">
      <c r="A152">
        <f>IF(BUY!U154&gt;0, BUY!A154, "")</f>
        <v/>
      </c>
      <c r="B152">
        <f>IF(BUY!U154&gt;0, BUY!S154, "")</f>
        <v/>
      </c>
      <c r="C152" s="17">
        <f>IF(BUY!U154&gt;0, BUY!T154, "")</f>
        <v/>
      </c>
      <c r="D152" s="13">
        <f>IF(BUY!U154&gt;0, BUY!U154, "")</f>
        <v/>
      </c>
      <c r="E152" s="15">
        <f>IF(BUY!U154&gt;0, BUY!V154, "")</f>
        <v/>
      </c>
    </row>
    <row r="153">
      <c r="A153">
        <f>IF(BUY!U155&gt;0, BUY!A155, "")</f>
        <v/>
      </c>
      <c r="B153">
        <f>IF(BUY!U155&gt;0, BUY!S155, "")</f>
        <v/>
      </c>
      <c r="C153" s="17">
        <f>IF(BUY!U155&gt;0, BUY!T155, "")</f>
        <v/>
      </c>
      <c r="D153" s="13">
        <f>IF(BUY!U155&gt;0, BUY!U155, "")</f>
        <v/>
      </c>
      <c r="E153" s="15">
        <f>IF(BUY!U155&gt;0, BUY!V155, "")</f>
        <v/>
      </c>
    </row>
    <row r="154">
      <c r="A154">
        <f>IF(BUY!U156&gt;0, BUY!A156, "")</f>
        <v/>
      </c>
      <c r="B154">
        <f>IF(BUY!U156&gt;0, BUY!S156, "")</f>
        <v/>
      </c>
      <c r="C154" s="17">
        <f>IF(BUY!U156&gt;0, BUY!T156, "")</f>
        <v/>
      </c>
      <c r="D154" s="13">
        <f>IF(BUY!U156&gt;0, BUY!U156, "")</f>
        <v/>
      </c>
      <c r="E154" s="15">
        <f>IF(BUY!U156&gt;0, BUY!V156, "")</f>
        <v/>
      </c>
    </row>
    <row r="155">
      <c r="A155">
        <f>IF(BUY!U157&gt;0, BUY!A157, "")</f>
        <v/>
      </c>
      <c r="B155">
        <f>IF(BUY!U157&gt;0, BUY!S157, "")</f>
        <v/>
      </c>
      <c r="C155" s="17">
        <f>IF(BUY!U157&gt;0, BUY!T157, "")</f>
        <v/>
      </c>
      <c r="D155" s="13">
        <f>IF(BUY!U157&gt;0, BUY!U157, "")</f>
        <v/>
      </c>
      <c r="E155" s="15">
        <f>IF(BUY!U157&gt;0, BUY!V157, "")</f>
        <v/>
      </c>
    </row>
    <row r="156">
      <c r="A156">
        <f>IF(BUY!U158&gt;0, BUY!A158, "")</f>
        <v/>
      </c>
      <c r="B156">
        <f>IF(BUY!U158&gt;0, BUY!S158, "")</f>
        <v/>
      </c>
      <c r="C156" s="17">
        <f>IF(BUY!U158&gt;0, BUY!T158, "")</f>
        <v/>
      </c>
      <c r="D156" s="13">
        <f>IF(BUY!U158&gt;0, BUY!U158, "")</f>
        <v/>
      </c>
      <c r="E156" s="15">
        <f>IF(BUY!U158&gt;0, BUY!V158, "")</f>
        <v/>
      </c>
    </row>
    <row r="157">
      <c r="A157">
        <f>IF(BUY!U159&gt;0, BUY!A159, "")</f>
        <v/>
      </c>
      <c r="B157">
        <f>IF(BUY!U159&gt;0, BUY!S159, "")</f>
        <v/>
      </c>
      <c r="C157" s="17">
        <f>IF(BUY!U159&gt;0, BUY!T159, "")</f>
        <v/>
      </c>
      <c r="D157" s="13">
        <f>IF(BUY!U159&gt;0, BUY!U159, "")</f>
        <v/>
      </c>
      <c r="E157" s="15">
        <f>IF(BUY!U159&gt;0, BUY!V159, "")</f>
        <v/>
      </c>
    </row>
    <row r="158">
      <c r="A158">
        <f>IF(BUY!U160&gt;0, BUY!A160, "")</f>
        <v/>
      </c>
      <c r="B158">
        <f>IF(BUY!U160&gt;0, BUY!S160, "")</f>
        <v/>
      </c>
      <c r="C158" s="17">
        <f>IF(BUY!U160&gt;0, BUY!T160, "")</f>
        <v/>
      </c>
      <c r="D158" s="13">
        <f>IF(BUY!U160&gt;0, BUY!U160, "")</f>
        <v/>
      </c>
      <c r="E158" s="15">
        <f>IF(BUY!U160&gt;0, BUY!V160, "")</f>
        <v/>
      </c>
    </row>
    <row r="159">
      <c r="A159">
        <f>IF(BUY!U161&gt;0, BUY!A161, "")</f>
        <v/>
      </c>
      <c r="B159">
        <f>IF(BUY!U161&gt;0, BUY!S161, "")</f>
        <v/>
      </c>
      <c r="C159" s="17">
        <f>IF(BUY!U161&gt;0, BUY!T161, "")</f>
        <v/>
      </c>
      <c r="D159" s="13">
        <f>IF(BUY!U161&gt;0, BUY!U161, "")</f>
        <v/>
      </c>
      <c r="E159" s="15">
        <f>IF(BUY!U161&gt;0, BUY!V161, "")</f>
        <v/>
      </c>
    </row>
    <row r="160">
      <c r="A160">
        <f>IF(BUY!U162&gt;0, BUY!A162, "")</f>
        <v/>
      </c>
      <c r="B160">
        <f>IF(BUY!U162&gt;0, BUY!S162, "")</f>
        <v/>
      </c>
      <c r="C160" s="17">
        <f>IF(BUY!U162&gt;0, BUY!T162, "")</f>
        <v/>
      </c>
      <c r="D160" s="13">
        <f>IF(BUY!U162&gt;0, BUY!U162, "")</f>
        <v/>
      </c>
      <c r="E160" s="15">
        <f>IF(BUY!U162&gt;0, BUY!V162, "")</f>
        <v/>
      </c>
    </row>
    <row r="161">
      <c r="A161">
        <f>IF(BUY!U163&gt;0, BUY!A163, "")</f>
        <v/>
      </c>
      <c r="B161">
        <f>IF(BUY!U163&gt;0, BUY!S163, "")</f>
        <v/>
      </c>
      <c r="C161" s="17">
        <f>IF(BUY!U163&gt;0, BUY!T163, "")</f>
        <v/>
      </c>
      <c r="D161" s="13">
        <f>IF(BUY!U163&gt;0, BUY!U163, "")</f>
        <v/>
      </c>
      <c r="E161" s="15">
        <f>IF(BUY!U163&gt;0, BUY!V163, "")</f>
        <v/>
      </c>
    </row>
    <row r="162">
      <c r="A162">
        <f>IF(BUY!U164&gt;0, BUY!A164, "")</f>
        <v/>
      </c>
      <c r="B162">
        <f>IF(BUY!U164&gt;0, BUY!S164, "")</f>
        <v/>
      </c>
      <c r="C162" s="17">
        <f>IF(BUY!U164&gt;0, BUY!T164, "")</f>
        <v/>
      </c>
      <c r="D162" s="13">
        <f>IF(BUY!U164&gt;0, BUY!U164, "")</f>
        <v/>
      </c>
      <c r="E162" s="15">
        <f>IF(BUY!U164&gt;0, BUY!V164, "")</f>
        <v/>
      </c>
    </row>
    <row r="163">
      <c r="A163">
        <f>IF(BUY!U165&gt;0, BUY!A165, "")</f>
        <v/>
      </c>
      <c r="B163">
        <f>IF(BUY!U165&gt;0, BUY!S165, "")</f>
        <v/>
      </c>
      <c r="C163" s="17">
        <f>IF(BUY!U165&gt;0, BUY!T165, "")</f>
        <v/>
      </c>
      <c r="D163" s="13">
        <f>IF(BUY!U165&gt;0, BUY!U165, "")</f>
        <v/>
      </c>
      <c r="E163" s="15">
        <f>IF(BUY!U165&gt;0, BUY!V165, "")</f>
        <v/>
      </c>
    </row>
    <row r="164">
      <c r="A164">
        <f>IF(BUY!U166&gt;0, BUY!A166, "")</f>
        <v/>
      </c>
      <c r="B164">
        <f>IF(BUY!U166&gt;0, BUY!S166, "")</f>
        <v/>
      </c>
      <c r="C164" s="17">
        <f>IF(BUY!U166&gt;0, BUY!T166, "")</f>
        <v/>
      </c>
      <c r="D164" s="13">
        <f>IF(BUY!U166&gt;0, BUY!U166, "")</f>
        <v/>
      </c>
      <c r="E164" s="15">
        <f>IF(BUY!U166&gt;0, BUY!V166, "")</f>
        <v/>
      </c>
    </row>
    <row r="165">
      <c r="A165">
        <f>IF(BUY!U167&gt;0, BUY!A167, "")</f>
        <v/>
      </c>
      <c r="B165">
        <f>IF(BUY!U167&gt;0, BUY!S167, "")</f>
        <v/>
      </c>
      <c r="C165" s="17">
        <f>IF(BUY!U167&gt;0, BUY!T167, "")</f>
        <v/>
      </c>
      <c r="D165" s="13">
        <f>IF(BUY!U167&gt;0, BUY!U167, "")</f>
        <v/>
      </c>
      <c r="E165" s="15">
        <f>IF(BUY!U167&gt;0, BUY!V167, "")</f>
        <v/>
      </c>
    </row>
    <row r="166">
      <c r="A166">
        <f>IF(BUY!U168&gt;0, BUY!A168, "")</f>
        <v/>
      </c>
      <c r="B166">
        <f>IF(BUY!U168&gt;0, BUY!S168, "")</f>
        <v/>
      </c>
      <c r="C166" s="17">
        <f>IF(BUY!U168&gt;0, BUY!T168, "")</f>
        <v/>
      </c>
      <c r="D166" s="13">
        <f>IF(BUY!U168&gt;0, BUY!U168, "")</f>
        <v/>
      </c>
      <c r="E166" s="15">
        <f>IF(BUY!U168&gt;0, BUY!V168, "")</f>
        <v/>
      </c>
    </row>
    <row r="167">
      <c r="A167">
        <f>IF(BUY!U169&gt;0, BUY!A169, "")</f>
        <v/>
      </c>
      <c r="B167">
        <f>IF(BUY!U169&gt;0, BUY!S169, "")</f>
        <v/>
      </c>
      <c r="C167" s="17">
        <f>IF(BUY!U169&gt;0, BUY!T169, "")</f>
        <v/>
      </c>
      <c r="D167" s="13">
        <f>IF(BUY!U169&gt;0, BUY!U169, "")</f>
        <v/>
      </c>
      <c r="E167" s="15">
        <f>IF(BUY!U169&gt;0, BUY!V169, "")</f>
        <v/>
      </c>
    </row>
    <row r="168">
      <c r="A168">
        <f>IF(BUY!U170&gt;0, BUY!A170, "")</f>
        <v/>
      </c>
      <c r="B168">
        <f>IF(BUY!U170&gt;0, BUY!S170, "")</f>
        <v/>
      </c>
      <c r="C168" s="17">
        <f>IF(BUY!U170&gt;0, BUY!T170, "")</f>
        <v/>
      </c>
      <c r="D168" s="13">
        <f>IF(BUY!U170&gt;0, BUY!U170, "")</f>
        <v/>
      </c>
      <c r="E168" s="15">
        <f>IF(BUY!U170&gt;0, BUY!V170, "")</f>
        <v/>
      </c>
    </row>
    <row r="169">
      <c r="A169">
        <f>IF(BUY!U171&gt;0, BUY!A171, "")</f>
        <v/>
      </c>
      <c r="B169">
        <f>IF(BUY!U171&gt;0, BUY!S171, "")</f>
        <v/>
      </c>
      <c r="C169" s="17">
        <f>IF(BUY!U171&gt;0, BUY!T171, "")</f>
        <v/>
      </c>
      <c r="D169" s="13">
        <f>IF(BUY!U171&gt;0, BUY!U171, "")</f>
        <v/>
      </c>
      <c r="E169" s="15">
        <f>IF(BUY!U171&gt;0, BUY!V171, "")</f>
        <v/>
      </c>
    </row>
    <row r="170">
      <c r="A170">
        <f>IF(BUY!U172&gt;0, BUY!A172, "")</f>
        <v/>
      </c>
      <c r="B170">
        <f>IF(BUY!U172&gt;0, BUY!S172, "")</f>
        <v/>
      </c>
      <c r="C170" s="17">
        <f>IF(BUY!U172&gt;0, BUY!T172, "")</f>
        <v/>
      </c>
      <c r="D170" s="13">
        <f>IF(BUY!U172&gt;0, BUY!U172, "")</f>
        <v/>
      </c>
      <c r="E170" s="15">
        <f>IF(BUY!U172&gt;0, BUY!V172, "")</f>
        <v/>
      </c>
    </row>
    <row r="171">
      <c r="A171">
        <f>IF(BUY!U173&gt;0, BUY!A173, "")</f>
        <v/>
      </c>
      <c r="B171">
        <f>IF(BUY!U173&gt;0, BUY!S173, "")</f>
        <v/>
      </c>
      <c r="C171" s="17">
        <f>IF(BUY!U173&gt;0, BUY!T173, "")</f>
        <v/>
      </c>
      <c r="D171" s="13">
        <f>IF(BUY!U173&gt;0, BUY!U173, "")</f>
        <v/>
      </c>
      <c r="E171" s="15">
        <f>IF(BUY!U173&gt;0, BUY!V173, "")</f>
        <v/>
      </c>
    </row>
    <row r="172">
      <c r="A172">
        <f>IF(BUY!U174&gt;0, BUY!A174, "")</f>
        <v/>
      </c>
      <c r="B172">
        <f>IF(BUY!U174&gt;0, BUY!S174, "")</f>
        <v/>
      </c>
      <c r="C172" s="17">
        <f>IF(BUY!U174&gt;0, BUY!T174, "")</f>
        <v/>
      </c>
      <c r="D172" s="13">
        <f>IF(BUY!U174&gt;0, BUY!U174, "")</f>
        <v/>
      </c>
      <c r="E172" s="15">
        <f>IF(BUY!U174&gt;0, BUY!V174, "")</f>
        <v/>
      </c>
    </row>
    <row r="173">
      <c r="A173">
        <f>IF(BUY!U175&gt;0, BUY!A175, "")</f>
        <v/>
      </c>
      <c r="B173">
        <f>IF(BUY!U175&gt;0, BUY!S175, "")</f>
        <v/>
      </c>
      <c r="C173" s="17">
        <f>IF(BUY!U175&gt;0, BUY!T175, "")</f>
        <v/>
      </c>
      <c r="D173" s="13">
        <f>IF(BUY!U175&gt;0, BUY!U175, "")</f>
        <v/>
      </c>
      <c r="E173" s="15">
        <f>IF(BUY!U175&gt;0, BUY!V175, "")</f>
        <v/>
      </c>
    </row>
    <row r="174">
      <c r="A174">
        <f>IF(BUY!U176&gt;0, BUY!A176, "")</f>
        <v/>
      </c>
      <c r="B174">
        <f>IF(BUY!U176&gt;0, BUY!S176, "")</f>
        <v/>
      </c>
      <c r="C174" s="17">
        <f>IF(BUY!U176&gt;0, BUY!T176, "")</f>
        <v/>
      </c>
      <c r="D174" s="13">
        <f>IF(BUY!U176&gt;0, BUY!U176, "")</f>
        <v/>
      </c>
      <c r="E174" s="15">
        <f>IF(BUY!U176&gt;0, BUY!V176, "")</f>
        <v/>
      </c>
    </row>
    <row r="175">
      <c r="A175">
        <f>IF(BUY!U177&gt;0, BUY!A177, "")</f>
        <v/>
      </c>
      <c r="B175">
        <f>IF(BUY!U177&gt;0, BUY!S177, "")</f>
        <v/>
      </c>
      <c r="C175" s="17">
        <f>IF(BUY!U177&gt;0, BUY!T177, "")</f>
        <v/>
      </c>
      <c r="D175" s="13">
        <f>IF(BUY!U177&gt;0, BUY!U177, "")</f>
        <v/>
      </c>
      <c r="E175" s="15">
        <f>IF(BUY!U177&gt;0, BUY!V177, "")</f>
        <v/>
      </c>
    </row>
    <row r="176">
      <c r="A176">
        <f>IF(BUY!U178&gt;0, BUY!A178, "")</f>
        <v/>
      </c>
      <c r="B176">
        <f>IF(BUY!U178&gt;0, BUY!S178, "")</f>
        <v/>
      </c>
      <c r="C176" s="17">
        <f>IF(BUY!U178&gt;0, BUY!T178, "")</f>
        <v/>
      </c>
      <c r="D176" s="13">
        <f>IF(BUY!U178&gt;0, BUY!U178, "")</f>
        <v/>
      </c>
      <c r="E176" s="15">
        <f>IF(BUY!U178&gt;0, BUY!V178, "")</f>
        <v/>
      </c>
    </row>
    <row r="177">
      <c r="A177">
        <f>IF(BUY!U179&gt;0, BUY!A179, "")</f>
        <v/>
      </c>
      <c r="B177">
        <f>IF(BUY!U179&gt;0, BUY!S179, "")</f>
        <v/>
      </c>
      <c r="C177" s="17">
        <f>IF(BUY!U179&gt;0, BUY!T179, "")</f>
        <v/>
      </c>
      <c r="D177" s="13">
        <f>IF(BUY!U179&gt;0, BUY!U179, "")</f>
        <v/>
      </c>
      <c r="E177" s="15">
        <f>IF(BUY!U179&gt;0, BUY!V179, "")</f>
        <v/>
      </c>
    </row>
    <row r="178">
      <c r="A178">
        <f>IF(BUY!U180&gt;0, BUY!A180, "")</f>
        <v/>
      </c>
      <c r="B178">
        <f>IF(BUY!U180&gt;0, BUY!S180, "")</f>
        <v/>
      </c>
      <c r="C178" s="17">
        <f>IF(BUY!U180&gt;0, BUY!T180, "")</f>
        <v/>
      </c>
      <c r="D178" s="13">
        <f>IF(BUY!U180&gt;0, BUY!U180, "")</f>
        <v/>
      </c>
      <c r="E178" s="15">
        <f>IF(BUY!U180&gt;0, BUY!V180, "")</f>
        <v/>
      </c>
    </row>
    <row r="179">
      <c r="A179">
        <f>IF(BUY!U181&gt;0, BUY!A181, "")</f>
        <v/>
      </c>
      <c r="B179">
        <f>IF(BUY!U181&gt;0, BUY!S181, "")</f>
        <v/>
      </c>
      <c r="C179" s="17">
        <f>IF(BUY!U181&gt;0, BUY!T181, "")</f>
        <v/>
      </c>
      <c r="D179" s="13">
        <f>IF(BUY!U181&gt;0, BUY!U181, "")</f>
        <v/>
      </c>
      <c r="E179" s="15">
        <f>IF(BUY!U181&gt;0, BUY!V181, "")</f>
        <v/>
      </c>
    </row>
    <row r="180">
      <c r="A180">
        <f>IF(BUY!U182&gt;0, BUY!A182, "")</f>
        <v/>
      </c>
      <c r="B180">
        <f>IF(BUY!U182&gt;0, BUY!S182, "")</f>
        <v/>
      </c>
      <c r="C180" s="17">
        <f>IF(BUY!U182&gt;0, BUY!T182, "")</f>
        <v/>
      </c>
      <c r="D180" s="13">
        <f>IF(BUY!U182&gt;0, BUY!U182, "")</f>
        <v/>
      </c>
      <c r="E180" s="15">
        <f>IF(BUY!U182&gt;0, BUY!V182, "")</f>
        <v/>
      </c>
    </row>
    <row r="181">
      <c r="A181">
        <f>IF(BUY!U183&gt;0, BUY!A183, "")</f>
        <v/>
      </c>
      <c r="B181">
        <f>IF(BUY!U183&gt;0, BUY!S183, "")</f>
        <v/>
      </c>
      <c r="C181" s="17">
        <f>IF(BUY!U183&gt;0, BUY!T183, "")</f>
        <v/>
      </c>
      <c r="D181" s="13">
        <f>IF(BUY!U183&gt;0, BUY!U183, "")</f>
        <v/>
      </c>
      <c r="E181" s="15">
        <f>IF(BUY!U183&gt;0, BUY!V183, "")</f>
        <v/>
      </c>
    </row>
    <row r="182">
      <c r="A182">
        <f>IF(BUY!U184&gt;0, BUY!A184, "")</f>
        <v/>
      </c>
      <c r="B182">
        <f>IF(BUY!U184&gt;0, BUY!S184, "")</f>
        <v/>
      </c>
      <c r="C182" s="17">
        <f>IF(BUY!U184&gt;0, BUY!T184, "")</f>
        <v/>
      </c>
      <c r="D182" s="13">
        <f>IF(BUY!U184&gt;0, BUY!U184, "")</f>
        <v/>
      </c>
      <c r="E182" s="15">
        <f>IF(BUY!U184&gt;0, BUY!V184, "")</f>
        <v/>
      </c>
    </row>
    <row r="183">
      <c r="A183">
        <f>IF(BUY!U185&gt;0, BUY!A185, "")</f>
        <v/>
      </c>
      <c r="B183">
        <f>IF(BUY!U185&gt;0, BUY!S185, "")</f>
        <v/>
      </c>
      <c r="C183" s="17">
        <f>IF(BUY!U185&gt;0, BUY!T185, "")</f>
        <v/>
      </c>
      <c r="D183" s="13">
        <f>IF(BUY!U185&gt;0, BUY!U185, "")</f>
        <v/>
      </c>
      <c r="E183" s="15">
        <f>IF(BUY!U185&gt;0, BUY!V185, "")</f>
        <v/>
      </c>
    </row>
    <row r="184">
      <c r="A184">
        <f>IF(BUY!U186&gt;0, BUY!A186, "")</f>
        <v/>
      </c>
      <c r="B184">
        <f>IF(BUY!U186&gt;0, BUY!S186, "")</f>
        <v/>
      </c>
      <c r="C184" s="17">
        <f>IF(BUY!U186&gt;0, BUY!T186, "")</f>
        <v/>
      </c>
      <c r="D184" s="13">
        <f>IF(BUY!U186&gt;0, BUY!U186, "")</f>
        <v/>
      </c>
      <c r="E184" s="15">
        <f>IF(BUY!U186&gt;0, BUY!V186, "")</f>
        <v/>
      </c>
    </row>
    <row r="185">
      <c r="A185">
        <f>IF(BUY!U187&gt;0, BUY!A187, "")</f>
        <v/>
      </c>
      <c r="B185">
        <f>IF(BUY!U187&gt;0, BUY!S187, "")</f>
        <v/>
      </c>
      <c r="C185" s="17">
        <f>IF(BUY!U187&gt;0, BUY!T187, "")</f>
        <v/>
      </c>
      <c r="D185" s="13">
        <f>IF(BUY!U187&gt;0, BUY!U187, "")</f>
        <v/>
      </c>
      <c r="E185" s="15">
        <f>IF(BUY!U187&gt;0, BUY!V187, "")</f>
        <v/>
      </c>
    </row>
    <row r="186">
      <c r="A186">
        <f>IF(BUY!U188&gt;0, BUY!A188, "")</f>
        <v/>
      </c>
      <c r="B186">
        <f>IF(BUY!U188&gt;0, BUY!S188, "")</f>
        <v/>
      </c>
      <c r="C186" s="17">
        <f>IF(BUY!U188&gt;0, BUY!T188, "")</f>
        <v/>
      </c>
      <c r="D186" s="13">
        <f>IF(BUY!U188&gt;0, BUY!U188, "")</f>
        <v/>
      </c>
      <c r="E186" s="15">
        <f>IF(BUY!U188&gt;0, BUY!V188, "")</f>
        <v/>
      </c>
    </row>
    <row r="187">
      <c r="A187">
        <f>IF(BUY!U189&gt;0, BUY!A189, "")</f>
        <v/>
      </c>
      <c r="B187">
        <f>IF(BUY!U189&gt;0, BUY!S189, "")</f>
        <v/>
      </c>
      <c r="C187" s="17">
        <f>IF(BUY!U189&gt;0, BUY!T189, "")</f>
        <v/>
      </c>
      <c r="D187" s="13">
        <f>IF(BUY!U189&gt;0, BUY!U189, "")</f>
        <v/>
      </c>
      <c r="E187" s="15">
        <f>IF(BUY!U189&gt;0, BUY!V189, "")</f>
        <v/>
      </c>
    </row>
    <row r="188">
      <c r="A188">
        <f>IF(BUY!U190&gt;0, BUY!A190, "")</f>
        <v/>
      </c>
      <c r="B188">
        <f>IF(BUY!U190&gt;0, BUY!S190, "")</f>
        <v/>
      </c>
      <c r="C188" s="17">
        <f>IF(BUY!U190&gt;0, BUY!T190, "")</f>
        <v/>
      </c>
      <c r="D188" s="13">
        <f>IF(BUY!U190&gt;0, BUY!U190, "")</f>
        <v/>
      </c>
      <c r="E188" s="15">
        <f>IF(BUY!U190&gt;0, BUY!V190, "")</f>
        <v/>
      </c>
    </row>
    <row r="189">
      <c r="A189">
        <f>IF(BUY!U191&gt;0, BUY!A191, "")</f>
        <v/>
      </c>
      <c r="B189">
        <f>IF(BUY!U191&gt;0, BUY!S191, "")</f>
        <v/>
      </c>
      <c r="C189" s="17">
        <f>IF(BUY!U191&gt;0, BUY!T191, "")</f>
        <v/>
      </c>
      <c r="D189" s="13">
        <f>IF(BUY!U191&gt;0, BUY!U191, "")</f>
        <v/>
      </c>
      <c r="E189" s="15">
        <f>IF(BUY!U191&gt;0, BUY!V191, "")</f>
        <v/>
      </c>
    </row>
    <row r="190">
      <c r="A190">
        <f>IF(BUY!U192&gt;0, BUY!A192, "")</f>
        <v/>
      </c>
      <c r="B190">
        <f>IF(BUY!U192&gt;0, BUY!S192, "")</f>
        <v/>
      </c>
      <c r="C190" s="17">
        <f>IF(BUY!U192&gt;0, BUY!T192, "")</f>
        <v/>
      </c>
      <c r="D190" s="13">
        <f>IF(BUY!U192&gt;0, BUY!U192, "")</f>
        <v/>
      </c>
      <c r="E190" s="15">
        <f>IF(BUY!U192&gt;0, BUY!V192, "")</f>
        <v/>
      </c>
    </row>
    <row r="191">
      <c r="A191">
        <f>IF(BUY!U193&gt;0, BUY!A193, "")</f>
        <v/>
      </c>
      <c r="B191">
        <f>IF(BUY!U193&gt;0, BUY!S193, "")</f>
        <v/>
      </c>
      <c r="C191" s="17">
        <f>IF(BUY!U193&gt;0, BUY!T193, "")</f>
        <v/>
      </c>
      <c r="D191" s="13">
        <f>IF(BUY!U193&gt;0, BUY!U193, "")</f>
        <v/>
      </c>
      <c r="E191" s="15">
        <f>IF(BUY!U193&gt;0, BUY!V193, "")</f>
        <v/>
      </c>
    </row>
    <row r="192">
      <c r="A192">
        <f>IF(BUY!U194&gt;0, BUY!A194, "")</f>
        <v/>
      </c>
      <c r="B192">
        <f>IF(BUY!U194&gt;0, BUY!S194, "")</f>
        <v/>
      </c>
      <c r="C192" s="17">
        <f>IF(BUY!U194&gt;0, BUY!T194, "")</f>
        <v/>
      </c>
      <c r="D192" s="13">
        <f>IF(BUY!U194&gt;0, BUY!U194, "")</f>
        <v/>
      </c>
      <c r="E192" s="15">
        <f>IF(BUY!U194&gt;0, BUY!V194, "")</f>
        <v/>
      </c>
    </row>
    <row r="193">
      <c r="A193">
        <f>IF(BUY!U195&gt;0, BUY!A195, "")</f>
        <v/>
      </c>
      <c r="B193">
        <f>IF(BUY!U195&gt;0, BUY!S195, "")</f>
        <v/>
      </c>
      <c r="C193" s="17">
        <f>IF(BUY!U195&gt;0, BUY!T195, "")</f>
        <v/>
      </c>
      <c r="D193" s="13">
        <f>IF(BUY!U195&gt;0, BUY!U195, "")</f>
        <v/>
      </c>
      <c r="E193" s="15">
        <f>IF(BUY!U195&gt;0, BUY!V195, "")</f>
        <v/>
      </c>
    </row>
    <row r="194">
      <c r="A194">
        <f>IF(BUY!U196&gt;0, BUY!A196, "")</f>
        <v/>
      </c>
      <c r="B194">
        <f>IF(BUY!U196&gt;0, BUY!S196, "")</f>
        <v/>
      </c>
      <c r="C194" s="17">
        <f>IF(BUY!U196&gt;0, BUY!T196, "")</f>
        <v/>
      </c>
      <c r="D194" s="13">
        <f>IF(BUY!U196&gt;0, BUY!U196, "")</f>
        <v/>
      </c>
      <c r="E194" s="15">
        <f>IF(BUY!U196&gt;0, BUY!V196, "")</f>
        <v/>
      </c>
    </row>
    <row r="195">
      <c r="A195">
        <f>IF(BUY!U197&gt;0, BUY!A197, "")</f>
        <v/>
      </c>
      <c r="B195">
        <f>IF(BUY!U197&gt;0, BUY!S197, "")</f>
        <v/>
      </c>
      <c r="C195" s="17">
        <f>IF(BUY!U197&gt;0, BUY!T197, "")</f>
        <v/>
      </c>
      <c r="D195" s="13">
        <f>IF(BUY!U197&gt;0, BUY!U197, "")</f>
        <v/>
      </c>
      <c r="E195" s="15">
        <f>IF(BUY!U197&gt;0, BUY!V197, "")</f>
        <v/>
      </c>
    </row>
    <row r="196">
      <c r="A196">
        <f>IF(BUY!U198&gt;0, BUY!A198, "")</f>
        <v/>
      </c>
      <c r="B196">
        <f>IF(BUY!U198&gt;0, BUY!S198, "")</f>
        <v/>
      </c>
      <c r="C196" s="17">
        <f>IF(BUY!U198&gt;0, BUY!T198, "")</f>
        <v/>
      </c>
      <c r="D196" s="13">
        <f>IF(BUY!U198&gt;0, BUY!U198, "")</f>
        <v/>
      </c>
      <c r="E196" s="15">
        <f>IF(BUY!U198&gt;0, BUY!V198, "")</f>
        <v/>
      </c>
    </row>
    <row r="197">
      <c r="A197">
        <f>IF(BUY!U199&gt;0, BUY!A199, "")</f>
        <v/>
      </c>
      <c r="B197">
        <f>IF(BUY!U199&gt;0, BUY!S199, "")</f>
        <v/>
      </c>
      <c r="C197" s="17">
        <f>IF(BUY!U199&gt;0, BUY!T199, "")</f>
        <v/>
      </c>
      <c r="D197" s="13">
        <f>IF(BUY!U199&gt;0, BUY!U199, "")</f>
        <v/>
      </c>
      <c r="E197" s="15">
        <f>IF(BUY!U199&gt;0, BUY!V199, "")</f>
        <v/>
      </c>
    </row>
    <row r="198">
      <c r="A198">
        <f>IF(BUY!U200&gt;0, BUY!A200, "")</f>
        <v/>
      </c>
      <c r="B198">
        <f>IF(BUY!U200&gt;0, BUY!S200, "")</f>
        <v/>
      </c>
      <c r="C198" s="17">
        <f>IF(BUY!U200&gt;0, BUY!T200, "")</f>
        <v/>
      </c>
      <c r="D198" s="13">
        <f>IF(BUY!U200&gt;0, BUY!U200, "")</f>
        <v/>
      </c>
      <c r="E198" s="15">
        <f>IF(BUY!U200&gt;0, BUY!V200, "")</f>
        <v/>
      </c>
    </row>
    <row r="199">
      <c r="A199">
        <f>IF(BUY!U201&gt;0, BUY!A201, "")</f>
        <v/>
      </c>
      <c r="B199">
        <f>IF(BUY!U201&gt;0, BUY!S201, "")</f>
        <v/>
      </c>
      <c r="C199" s="17">
        <f>IF(BUY!U201&gt;0, BUY!T201, "")</f>
        <v/>
      </c>
      <c r="D199" s="13">
        <f>IF(BUY!U201&gt;0, BUY!U201, "")</f>
        <v/>
      </c>
      <c r="E199" s="15">
        <f>IF(BUY!U201&gt;0, BUY!V201, "")</f>
        <v/>
      </c>
    </row>
    <row r="200">
      <c r="A200">
        <f>IF(BUY!U202&gt;0, BUY!A202, "")</f>
        <v/>
      </c>
      <c r="B200">
        <f>IF(BUY!U202&gt;0, BUY!S202, "")</f>
        <v/>
      </c>
      <c r="C200" s="17">
        <f>IF(BUY!U202&gt;0, BUY!T202, "")</f>
        <v/>
      </c>
      <c r="D200" s="13">
        <f>IF(BUY!U202&gt;0, BUY!U202, "")</f>
        <v/>
      </c>
      <c r="E200" s="15">
        <f>IF(BUY!U202&gt;0, BUY!V202, "")</f>
        <v/>
      </c>
    </row>
    <row r="201">
      <c r="A201">
        <f>IF(BUY!U203&gt;0, BUY!A203, "")</f>
        <v/>
      </c>
      <c r="B201">
        <f>IF(BUY!U203&gt;0, BUY!S203, "")</f>
        <v/>
      </c>
      <c r="C201" s="17">
        <f>IF(BUY!U203&gt;0, BUY!T203, "")</f>
        <v/>
      </c>
      <c r="D201" s="13">
        <f>IF(BUY!U203&gt;0, BUY!U203, "")</f>
        <v/>
      </c>
      <c r="E201" s="15">
        <f>IF(BUY!U203&gt;0, BUY!V203, "")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E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5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5" customWidth="1" min="35" max="35"/>
    <col width="15" customWidth="1" min="36" max="36"/>
    <col width="15" customWidth="1" min="37" max="37"/>
    <col width="16" customWidth="1" min="38" max="38"/>
    <col width="16" customWidth="1" min="39" max="39"/>
    <col width="15" customWidth="1" min="40" max="40"/>
    <col width="15" customWidth="1" min="41" max="41"/>
    <col width="12" customWidth="1" min="42" max="42"/>
    <col width="15" customWidth="1" min="43" max="43"/>
    <col width="12" customWidth="1" min="44" max="44"/>
    <col width="15" customWidth="1" min="45" max="45"/>
    <col width="14" customWidth="1" min="46" max="46"/>
    <col width="14" customWidth="1" min="47" max="47"/>
    <col width="12" customWidth="1" min="48" max="48"/>
  </cols>
  <sheetData>
    <row r="1">
      <c r="B1" s="6" t="inlineStr">
        <is>
          <t>30 wt</t>
        </is>
      </c>
      <c r="C1" s="6" t="inlineStr">
        <is>
          <t>90 wt</t>
        </is>
      </c>
      <c r="D1" s="6" t="inlineStr">
        <is>
          <t>180 wt</t>
        </is>
      </c>
      <c r="F1" s="6" t="inlineStr">
        <is>
          <t>AMZ Less:</t>
        </is>
      </c>
    </row>
    <row r="2">
      <c r="B2" s="9" t="n">
        <v>1</v>
      </c>
      <c r="C2" s="9" t="n">
        <v>3</v>
      </c>
      <c r="D2" s="9" t="n">
        <v>1</v>
      </c>
      <c r="F2" s="18" t="n">
        <v>0.05</v>
      </c>
    </row>
    <row r="3">
      <c r="A3" s="1" t="inlineStr">
        <is>
          <t>ASIN</t>
        </is>
      </c>
      <c r="B3" s="1" t="inlineStr">
        <is>
          <t>Baseline</t>
        </is>
      </c>
      <c r="C3" s="1" t="inlineStr">
        <is>
          <t>BB Avg</t>
        </is>
      </c>
      <c r="D3" s="1" t="inlineStr">
        <is>
          <t>AMZ Avg</t>
        </is>
      </c>
      <c r="E3" s="1" t="inlineStr">
        <is>
          <t>wtd avg</t>
        </is>
      </c>
      <c r="F3" s="1" t="inlineStr">
        <is>
          <t>Variations</t>
        </is>
      </c>
      <c r="G3" s="1" t="inlineStr">
        <is>
          <t>Review Wt</t>
        </is>
      </c>
      <c r="H3" s="1" t="inlineStr">
        <is>
          <t>Confidence</t>
        </is>
      </c>
      <c r="I3" s="1" t="inlineStr">
        <is>
          <t>ASIN_SRC</t>
        </is>
      </c>
      <c r="J3" s="1" t="inlineStr">
        <is>
          <t>Title</t>
        </is>
      </c>
      <c r="K3" s="1" t="inlineStr">
        <is>
          <t>Buy Box: Current</t>
        </is>
      </c>
      <c r="L3" s="1" t="inlineStr">
        <is>
          <t>Buy Box: 30 days avg.</t>
        </is>
      </c>
      <c r="M3" s="1" t="inlineStr">
        <is>
          <t>Buy Box: 30 days drop %</t>
        </is>
      </c>
      <c r="N3" s="1" t="inlineStr">
        <is>
          <t>Buy Box: 90 days avg.</t>
        </is>
      </c>
      <c r="O3" s="1" t="inlineStr">
        <is>
          <t>Buy Box: 90 days drop %</t>
        </is>
      </c>
      <c r="P3" s="1" t="inlineStr">
        <is>
          <t>Buy Box: 180 days avg.</t>
        </is>
      </c>
      <c r="Q3" s="1" t="inlineStr">
        <is>
          <t>Buy Box Seller</t>
        </is>
      </c>
      <c r="R3" s="1" t="inlineStr">
        <is>
          <t>Amazon: Current</t>
        </is>
      </c>
      <c r="S3" s="1" t="inlineStr">
        <is>
          <t>Amazon: 30 days avg.</t>
        </is>
      </c>
      <c r="T3" s="1" t="inlineStr">
        <is>
          <t>Amazon: 30 days drop %</t>
        </is>
      </c>
      <c r="U3" s="1" t="inlineStr">
        <is>
          <t>Amazon: 90 days avg.</t>
        </is>
      </c>
      <c r="V3" s="1" t="inlineStr">
        <is>
          <t>Amazon: 90 days drop %</t>
        </is>
      </c>
      <c r="W3" s="1" t="inlineStr">
        <is>
          <t>Amazon: 180 days avg.</t>
        </is>
      </c>
      <c r="X3" s="1" t="inlineStr">
        <is>
          <t>Amazon out of stock percentage: 90 days OOS %</t>
        </is>
      </c>
      <c r="Y3" s="1" t="inlineStr">
        <is>
          <t>Sales Rank: Current</t>
        </is>
      </c>
      <c r="Z3" s="1" t="inlineStr">
        <is>
          <t>Sales Rank: 30 days avg.</t>
        </is>
      </c>
      <c r="AA3" s="1" t="inlineStr">
        <is>
          <t>Sales Rank: 30 days drop %</t>
        </is>
      </c>
      <c r="AB3" s="1" t="inlineStr">
        <is>
          <t>Sales Rank: 90 days avg.</t>
        </is>
      </c>
      <c r="AC3" s="1" t="inlineStr">
        <is>
          <t>Sales Rank: 90 days drop %</t>
        </is>
      </c>
      <c r="AD3" s="1" t="inlineStr">
        <is>
          <t>Sales Rank: 180 days avg.</t>
        </is>
      </c>
      <c r="AE3" s="1" t="inlineStr">
        <is>
          <t>Count of retrieved live offers: New, FBA</t>
        </is>
      </c>
      <c r="AF3" s="1" t="inlineStr">
        <is>
          <t>Count of retrieved live offers: New, FBM</t>
        </is>
      </c>
      <c r="AG3" s="1" t="inlineStr">
        <is>
          <t>New Offer Count: Current</t>
        </is>
      </c>
      <c r="AH3" s="1" t="inlineStr">
        <is>
          <t>New Offer Count: 90 days avg.</t>
        </is>
      </c>
      <c r="AI3" s="1" t="inlineStr">
        <is>
          <t>New, 3rd Party FBA: 30 days avg.</t>
        </is>
      </c>
      <c r="AJ3" s="1" t="inlineStr">
        <is>
          <t>New, 3rd Party FBA: 90 days avg.</t>
        </is>
      </c>
      <c r="AK3" s="1" t="inlineStr">
        <is>
          <t>New, 3rd Party FBA: 180 days avg.</t>
        </is>
      </c>
      <c r="AL3" s="1" t="inlineStr">
        <is>
          <t>Variation ASINs</t>
        </is>
      </c>
      <c r="AM3" s="1" t="inlineStr">
        <is>
          <t>Parent ASIN</t>
        </is>
      </c>
      <c r="AN3" s="1" t="inlineStr">
        <is>
          <t>Reviews: Reviews - Format Specific</t>
        </is>
      </c>
      <c r="AO3" s="1" t="inlineStr">
        <is>
          <t>Variation Attributes</t>
        </is>
      </c>
      <c r="AP3" s="1" t="inlineStr">
        <is>
          <t>Reviews: Review Count</t>
        </is>
      </c>
      <c r="AQ3" s="1" t="inlineStr">
        <is>
          <t>Model</t>
        </is>
      </c>
      <c r="AR3" s="1" t="inlineStr">
        <is>
          <t>Number of Items</t>
        </is>
      </c>
      <c r="AS3" s="1" t="inlineStr">
        <is>
          <t>Categories: Root</t>
        </is>
      </c>
      <c r="AT3" s="1" t="inlineStr">
        <is>
          <t>FBA Fees:</t>
        </is>
      </c>
      <c r="AU3" s="1" t="inlineStr">
        <is>
          <t>Referral Fee %</t>
        </is>
      </c>
      <c r="AV3" s="1" t="inlineStr">
        <is>
          <t>Buy Box out of stock percentage: 90 days OOS %</t>
        </is>
      </c>
    </row>
    <row r="4">
      <c r="A4" s="12" t="n"/>
      <c r="B4">
        <f>IF(ISBLANK(X4),0,IF(X4&gt;=0.65, "BB", "AMZ"))</f>
        <v/>
      </c>
      <c r="C4">
        <f>IF(AND(L4&lt;N4,L4&lt;P4), MIN(L4,K4), IFERROR(SUM(IFERROR(L4*$B$2,0), IFERROR(N4*$C$2,0), IFERROR(P4*$D$2,0))/SUM(IF(L4&gt;0,$B$2,0), IF(N4&gt;0,$C$2,0), IF(P4&gt;0,$D$2,0)), 0))</f>
        <v/>
      </c>
      <c r="D4">
        <f>IF(AND(S4&lt;U4,S4&lt;W4), MIN(S4,R4), IFERROR(SUM(IFERROR(S4*$B$2,0), IFERROR(U4*$C$2,0), IFERROR(W4*$D$2,0))/SUM(IF(S4&gt;0,$B$2,0), IF(U4&gt;0,$C$2,0), IF(W4&gt;0,$D$2,0)), 0))</f>
        <v/>
      </c>
      <c r="E4">
        <f>IF(B4="BB",C4,MIN(C4,D4*(1-$F$2)))</f>
        <v/>
      </c>
      <c r="F4">
        <f>IF(ISBLANK(AL4),1,LEN(AL4)-LEN(SUBSTITUTE(AL4,",",""))+1)</f>
        <v/>
      </c>
      <c r="G4">
        <f>IF(F4=1,1,IF(OR(ISBLANK(AN4),AN4=0),"Manual",AN4/MAX(SUMIF($AK:$AK,AM4,$AL:$AL),1)))</f>
        <v/>
      </c>
      <c r="H4">
        <f>IF(F4=1, 1, 0)</f>
        <v/>
      </c>
      <c r="I4" s="12" t="n"/>
      <c r="J4" s="12" t="n"/>
      <c r="M4" s="16" t="n"/>
      <c r="O4" s="16" t="n"/>
      <c r="T4" s="16" t="n"/>
      <c r="V4" s="16" t="n"/>
      <c r="X4" s="16" t="n"/>
      <c r="Y4" s="14" t="n"/>
      <c r="Z4" s="14" t="n"/>
      <c r="AA4" s="16" t="n"/>
      <c r="AB4" s="14" t="n"/>
      <c r="AC4" s="16" t="n"/>
      <c r="AD4" s="14" t="n"/>
      <c r="AE4" s="14" t="n"/>
      <c r="AF4" s="14" t="n"/>
      <c r="AG4" s="14" t="n"/>
      <c r="AH4" s="14" t="n"/>
      <c r="AL4" s="12" t="n"/>
      <c r="AM4" s="12" t="n"/>
      <c r="AP4" s="14" t="n"/>
      <c r="AR4" s="14" t="n"/>
      <c r="AT4" s="15" t="n"/>
      <c r="AU4" s="15" t="n"/>
      <c r="AV4" s="16" t="n"/>
    </row>
    <row r="5">
      <c r="A5" s="12" t="n"/>
      <c r="B5">
        <f>IF(ISBLANK(X5),0,IF(X5&gt;=0.65, "BB", "AMZ"))</f>
        <v/>
      </c>
      <c r="C5">
        <f>IF(AND(L5&lt;N5,L5&lt;P5), MIN(L5,K5), IFERROR(SUM(IFERROR(L5*$B$2,0), IFERROR(N5*$C$2,0), IFERROR(P5*$D$2,0))/SUM(IF(L5&gt;0,$B$2,0), IF(N5&gt;0,$C$2,0), IF(P5&gt;0,$D$2,0)), 0))</f>
        <v/>
      </c>
      <c r="D5">
        <f>IF(AND(S5&lt;U5,S5&lt;W5), MIN(S5,R5), IFERROR(SUM(IFERROR(S5*$B$2,0), IFERROR(U5*$C$2,0), IFERROR(W5*$D$2,0))/SUM(IF(S5&gt;0,$B$2,0), IF(U5&gt;0,$C$2,0), IF(W5&gt;0,$D$2,0)), 0))</f>
        <v/>
      </c>
      <c r="E5">
        <f>IF(B5="BB",C5,MIN(C5,D5*(1-$F$2)))</f>
        <v/>
      </c>
      <c r="F5">
        <f>IF(ISBLANK(AL5),1,LEN(AL5)-LEN(SUBSTITUTE(AL5,",",""))+1)</f>
        <v/>
      </c>
      <c r="G5">
        <f>IF(F5=1,1,IF(OR(ISBLANK(AN5),AN5=0),"Manual",AN5/MAX(SUMIF($AK:$AK,AM5,$AL:$AL),1)))</f>
        <v/>
      </c>
      <c r="H5">
        <f>IF(F5=1, 1, 0)</f>
        <v/>
      </c>
      <c r="I5" s="12" t="n"/>
      <c r="J5" s="12" t="n"/>
      <c r="M5" s="16" t="n"/>
      <c r="O5" s="16" t="n"/>
      <c r="T5" s="16" t="n"/>
      <c r="V5" s="16" t="n"/>
      <c r="X5" s="16" t="n"/>
      <c r="Y5" s="14" t="n"/>
      <c r="Z5" s="14" t="n"/>
      <c r="AA5" s="16" t="n"/>
      <c r="AB5" s="14" t="n"/>
      <c r="AC5" s="16" t="n"/>
      <c r="AD5" s="14" t="n"/>
      <c r="AE5" s="14" t="n"/>
      <c r="AF5" s="14" t="n"/>
      <c r="AG5" s="14" t="n"/>
      <c r="AH5" s="14" t="n"/>
      <c r="AL5" s="12" t="n"/>
      <c r="AM5" s="12" t="n"/>
      <c r="AP5" s="14" t="n"/>
      <c r="AR5" s="14" t="n"/>
      <c r="AT5" s="15" t="n"/>
      <c r="AU5" s="15" t="n"/>
      <c r="AV5" s="16" t="n"/>
    </row>
    <row r="6">
      <c r="A6" s="12" t="n"/>
      <c r="B6">
        <f>IF(ISBLANK(X6),0,IF(X6&gt;=0.65, "BB", "AMZ"))</f>
        <v/>
      </c>
      <c r="C6">
        <f>IF(AND(L6&lt;N6,L6&lt;P6), MIN(L6,K6), IFERROR(SUM(IFERROR(L6*$B$2,0), IFERROR(N6*$C$2,0), IFERROR(P6*$D$2,0))/SUM(IF(L6&gt;0,$B$2,0), IF(N6&gt;0,$C$2,0), IF(P6&gt;0,$D$2,0)), 0))</f>
        <v/>
      </c>
      <c r="D6">
        <f>IF(AND(S6&lt;U6,S6&lt;W6), MIN(S6,R6), IFERROR(SUM(IFERROR(S6*$B$2,0), IFERROR(U6*$C$2,0), IFERROR(W6*$D$2,0))/SUM(IF(S6&gt;0,$B$2,0), IF(U6&gt;0,$C$2,0), IF(W6&gt;0,$D$2,0)), 0))</f>
        <v/>
      </c>
      <c r="E6">
        <f>IF(B6="BB",C6,MIN(C6,D6*(1-$F$2)))</f>
        <v/>
      </c>
      <c r="F6">
        <f>IF(ISBLANK(AL6),1,LEN(AL6)-LEN(SUBSTITUTE(AL6,",",""))+1)</f>
        <v/>
      </c>
      <c r="G6">
        <f>IF(F6=1,1,IF(OR(ISBLANK(AN6),AN6=0),"Manual",AN6/MAX(SUMIF($AK:$AK,AM6,$AL:$AL),1)))</f>
        <v/>
      </c>
      <c r="H6">
        <f>IF(F6=1, 1, 0)</f>
        <v/>
      </c>
      <c r="I6" s="12" t="n"/>
      <c r="J6" s="12" t="n"/>
      <c r="M6" s="16" t="n"/>
      <c r="O6" s="16" t="n"/>
      <c r="T6" s="16" t="n"/>
      <c r="V6" s="16" t="n"/>
      <c r="X6" s="16" t="n"/>
      <c r="Y6" s="14" t="n"/>
      <c r="Z6" s="14" t="n"/>
      <c r="AA6" s="16" t="n"/>
      <c r="AB6" s="14" t="n"/>
      <c r="AC6" s="16" t="n"/>
      <c r="AD6" s="14" t="n"/>
      <c r="AE6" s="14" t="n"/>
      <c r="AF6" s="14" t="n"/>
      <c r="AG6" s="14" t="n"/>
      <c r="AH6" s="14" t="n"/>
      <c r="AL6" s="12" t="n"/>
      <c r="AM6" s="12" t="n"/>
      <c r="AP6" s="14" t="n"/>
      <c r="AR6" s="14" t="n"/>
      <c r="AT6" s="15" t="n"/>
      <c r="AU6" s="15" t="n"/>
      <c r="AV6" s="16" t="n"/>
    </row>
    <row r="7">
      <c r="A7" s="12" t="n"/>
      <c r="B7">
        <f>IF(ISBLANK(X7),0,IF(X7&gt;=0.65, "BB", "AMZ"))</f>
        <v/>
      </c>
      <c r="C7">
        <f>IF(AND(L7&lt;N7,L7&lt;P7), MIN(L7,K7), IFERROR(SUM(IFERROR(L7*$B$2,0), IFERROR(N7*$C$2,0), IFERROR(P7*$D$2,0))/SUM(IF(L7&gt;0,$B$2,0), IF(N7&gt;0,$C$2,0), IF(P7&gt;0,$D$2,0)), 0))</f>
        <v/>
      </c>
      <c r="D7">
        <f>IF(AND(S7&lt;U7,S7&lt;W7), MIN(S7,R7), IFERROR(SUM(IFERROR(S7*$B$2,0), IFERROR(U7*$C$2,0), IFERROR(W7*$D$2,0))/SUM(IF(S7&gt;0,$B$2,0), IF(U7&gt;0,$C$2,0), IF(W7&gt;0,$D$2,0)), 0))</f>
        <v/>
      </c>
      <c r="E7">
        <f>IF(B7="BB",C7,MIN(C7,D7*(1-$F$2)))</f>
        <v/>
      </c>
      <c r="F7">
        <f>IF(ISBLANK(AL7),1,LEN(AL7)-LEN(SUBSTITUTE(AL7,",",""))+1)</f>
        <v/>
      </c>
      <c r="G7">
        <f>IF(F7=1,1,IF(OR(ISBLANK(AN7),AN7=0),"Manual",AN7/MAX(SUMIF($AK:$AK,AM7,$AL:$AL),1)))</f>
        <v/>
      </c>
      <c r="H7">
        <f>IF(F7=1, 1, 0)</f>
        <v/>
      </c>
      <c r="I7" s="12" t="n"/>
      <c r="J7" s="12" t="n"/>
      <c r="M7" s="16" t="n"/>
      <c r="O7" s="16" t="n"/>
      <c r="T7" s="16" t="n"/>
      <c r="V7" s="16" t="n"/>
      <c r="X7" s="16" t="n"/>
      <c r="Y7" s="14" t="n"/>
      <c r="Z7" s="14" t="n"/>
      <c r="AA7" s="16" t="n"/>
      <c r="AB7" s="14" t="n"/>
      <c r="AC7" s="16" t="n"/>
      <c r="AD7" s="14" t="n"/>
      <c r="AE7" s="14" t="n"/>
      <c r="AF7" s="14" t="n"/>
      <c r="AG7" s="14" t="n"/>
      <c r="AH7" s="14" t="n"/>
      <c r="AL7" s="12" t="n"/>
      <c r="AM7" s="12" t="n"/>
      <c r="AP7" s="14" t="n"/>
      <c r="AR7" s="14" t="n"/>
      <c r="AT7" s="15" t="n"/>
      <c r="AU7" s="15" t="n"/>
      <c r="AV7" s="16" t="n"/>
    </row>
    <row r="8">
      <c r="A8" s="12" t="n"/>
      <c r="B8">
        <f>IF(ISBLANK(X8),0,IF(X8&gt;=0.65, "BB", "AMZ"))</f>
        <v/>
      </c>
      <c r="C8">
        <f>IF(AND(L8&lt;N8,L8&lt;P8), MIN(L8,K8), IFERROR(SUM(IFERROR(L8*$B$2,0), IFERROR(N8*$C$2,0), IFERROR(P8*$D$2,0))/SUM(IF(L8&gt;0,$B$2,0), IF(N8&gt;0,$C$2,0), IF(P8&gt;0,$D$2,0)), 0))</f>
        <v/>
      </c>
      <c r="D8">
        <f>IF(AND(S8&lt;U8,S8&lt;W8), MIN(S8,R8), IFERROR(SUM(IFERROR(S8*$B$2,0), IFERROR(U8*$C$2,0), IFERROR(W8*$D$2,0))/SUM(IF(S8&gt;0,$B$2,0), IF(U8&gt;0,$C$2,0), IF(W8&gt;0,$D$2,0)), 0))</f>
        <v/>
      </c>
      <c r="E8">
        <f>IF(B8="BB",C8,MIN(C8,D8*(1-$F$2)))</f>
        <v/>
      </c>
      <c r="F8">
        <f>IF(ISBLANK(AL8),1,LEN(AL8)-LEN(SUBSTITUTE(AL8,",",""))+1)</f>
        <v/>
      </c>
      <c r="G8">
        <f>IF(F8=1,1,IF(OR(ISBLANK(AN8),AN8=0),"Manual",AN8/MAX(SUMIF($AK:$AK,AM8,$AL:$AL),1)))</f>
        <v/>
      </c>
      <c r="H8">
        <f>IF(F8=1, 1, 0)</f>
        <v/>
      </c>
      <c r="I8" s="12" t="n"/>
      <c r="J8" s="12" t="n"/>
      <c r="M8" s="16" t="n"/>
      <c r="O8" s="16" t="n"/>
      <c r="T8" s="16" t="n"/>
      <c r="V8" s="16" t="n"/>
      <c r="X8" s="16" t="n"/>
      <c r="Y8" s="14" t="n"/>
      <c r="Z8" s="14" t="n"/>
      <c r="AA8" s="16" t="n"/>
      <c r="AB8" s="14" t="n"/>
      <c r="AC8" s="16" t="n"/>
      <c r="AD8" s="14" t="n"/>
      <c r="AE8" s="14" t="n"/>
      <c r="AF8" s="14" t="n"/>
      <c r="AG8" s="14" t="n"/>
      <c r="AH8" s="14" t="n"/>
      <c r="AL8" s="12" t="n"/>
      <c r="AM8" s="12" t="n"/>
      <c r="AP8" s="14" t="n"/>
      <c r="AR8" s="14" t="n"/>
      <c r="AT8" s="15" t="n"/>
      <c r="AU8" s="15" t="n"/>
      <c r="AV8" s="16" t="n"/>
    </row>
    <row r="9">
      <c r="A9" s="12" t="n"/>
      <c r="B9">
        <f>IF(ISBLANK(X9),0,IF(X9&gt;=0.65, "BB", "AMZ"))</f>
        <v/>
      </c>
      <c r="C9">
        <f>IF(AND(L9&lt;N9,L9&lt;P9), MIN(L9,K9), IFERROR(SUM(IFERROR(L9*$B$2,0), IFERROR(N9*$C$2,0), IFERROR(P9*$D$2,0))/SUM(IF(L9&gt;0,$B$2,0), IF(N9&gt;0,$C$2,0), IF(P9&gt;0,$D$2,0)), 0))</f>
        <v/>
      </c>
      <c r="D9">
        <f>IF(AND(S9&lt;U9,S9&lt;W9), MIN(S9,R9), IFERROR(SUM(IFERROR(S9*$B$2,0), IFERROR(U9*$C$2,0), IFERROR(W9*$D$2,0))/SUM(IF(S9&gt;0,$B$2,0), IF(U9&gt;0,$C$2,0), IF(W9&gt;0,$D$2,0)), 0))</f>
        <v/>
      </c>
      <c r="E9">
        <f>IF(B9="BB",C9,MIN(C9,D9*(1-$F$2)))</f>
        <v/>
      </c>
      <c r="F9">
        <f>IF(ISBLANK(AL9),1,LEN(AL9)-LEN(SUBSTITUTE(AL9,",",""))+1)</f>
        <v/>
      </c>
      <c r="G9">
        <f>IF(F9=1,1,IF(OR(ISBLANK(AN9),AN9=0),"Manual",AN9/MAX(SUMIF($AK:$AK,AM9,$AL:$AL),1)))</f>
        <v/>
      </c>
      <c r="H9">
        <f>IF(F9=1, 1, 0)</f>
        <v/>
      </c>
      <c r="I9" s="12" t="n"/>
      <c r="J9" s="12" t="n"/>
      <c r="M9" s="16" t="n"/>
      <c r="O9" s="16" t="n"/>
      <c r="T9" s="16" t="n"/>
      <c r="V9" s="16" t="n"/>
      <c r="X9" s="16" t="n"/>
      <c r="Y9" s="14" t="n"/>
      <c r="Z9" s="14" t="n"/>
      <c r="AA9" s="16" t="n"/>
      <c r="AB9" s="14" t="n"/>
      <c r="AC9" s="16" t="n"/>
      <c r="AD9" s="14" t="n"/>
      <c r="AE9" s="14" t="n"/>
      <c r="AF9" s="14" t="n"/>
      <c r="AG9" s="14" t="n"/>
      <c r="AH9" s="14" t="n"/>
      <c r="AL9" s="12" t="n"/>
      <c r="AM9" s="12" t="n"/>
      <c r="AP9" s="14" t="n"/>
      <c r="AR9" s="14" t="n"/>
      <c r="AT9" s="15" t="n"/>
      <c r="AU9" s="15" t="n"/>
      <c r="AV9" s="16" t="n"/>
    </row>
    <row r="10">
      <c r="A10" s="12" t="n"/>
      <c r="B10">
        <f>IF(ISBLANK(X10),0,IF(X10&gt;=0.65, "BB", "AMZ"))</f>
        <v/>
      </c>
      <c r="C10">
        <f>IF(AND(L10&lt;N10,L10&lt;P10), MIN(L10,K10), IFERROR(SUM(IFERROR(L10*$B$2,0), IFERROR(N10*$C$2,0), IFERROR(P10*$D$2,0))/SUM(IF(L10&gt;0,$B$2,0), IF(N10&gt;0,$C$2,0), IF(P10&gt;0,$D$2,0)), 0))</f>
        <v/>
      </c>
      <c r="D10">
        <f>IF(AND(S10&lt;U10,S10&lt;W10), MIN(S10,R10), IFERROR(SUM(IFERROR(S10*$B$2,0), IFERROR(U10*$C$2,0), IFERROR(W10*$D$2,0))/SUM(IF(S10&gt;0,$B$2,0), IF(U10&gt;0,$C$2,0), IF(W10&gt;0,$D$2,0)), 0))</f>
        <v/>
      </c>
      <c r="E10">
        <f>IF(B10="BB",C10,MIN(C10,D10*(1-$F$2)))</f>
        <v/>
      </c>
      <c r="F10">
        <f>IF(ISBLANK(AL10),1,LEN(AL10)-LEN(SUBSTITUTE(AL10,",",""))+1)</f>
        <v/>
      </c>
      <c r="G10">
        <f>IF(F10=1,1,IF(OR(ISBLANK(AN10),AN10=0),"Manual",AN10/MAX(SUMIF($AK:$AK,AM10,$AL:$AL),1)))</f>
        <v/>
      </c>
      <c r="H10">
        <f>IF(F10=1, 1, 0)</f>
        <v/>
      </c>
      <c r="I10" s="12" t="n"/>
      <c r="J10" s="12" t="n"/>
      <c r="M10" s="16" t="n"/>
      <c r="O10" s="16" t="n"/>
      <c r="T10" s="16" t="n"/>
      <c r="V10" s="16" t="n"/>
      <c r="X10" s="16" t="n"/>
      <c r="Y10" s="14" t="n"/>
      <c r="Z10" s="14" t="n"/>
      <c r="AA10" s="16" t="n"/>
      <c r="AB10" s="14" t="n"/>
      <c r="AC10" s="16" t="n"/>
      <c r="AD10" s="14" t="n"/>
      <c r="AE10" s="14" t="n"/>
      <c r="AF10" s="14" t="n"/>
      <c r="AG10" s="14" t="n"/>
      <c r="AH10" s="14" t="n"/>
      <c r="AL10" s="12" t="n"/>
      <c r="AM10" s="12" t="n"/>
      <c r="AP10" s="14" t="n"/>
      <c r="AR10" s="14" t="n"/>
      <c r="AT10" s="15" t="n"/>
      <c r="AU10" s="15" t="n"/>
      <c r="AV10" s="16" t="n"/>
    </row>
    <row r="11">
      <c r="A11" s="12" t="n"/>
      <c r="B11">
        <f>IF(ISBLANK(X11),0,IF(X11&gt;=0.65, "BB", "AMZ"))</f>
        <v/>
      </c>
      <c r="C11">
        <f>IF(AND(L11&lt;N11,L11&lt;P11), MIN(L11,K11), IFERROR(SUM(IFERROR(L11*$B$2,0), IFERROR(N11*$C$2,0), IFERROR(P11*$D$2,0))/SUM(IF(L11&gt;0,$B$2,0), IF(N11&gt;0,$C$2,0), IF(P11&gt;0,$D$2,0)), 0))</f>
        <v/>
      </c>
      <c r="D11">
        <f>IF(AND(S11&lt;U11,S11&lt;W11), MIN(S11,R11), IFERROR(SUM(IFERROR(S11*$B$2,0), IFERROR(U11*$C$2,0), IFERROR(W11*$D$2,0))/SUM(IF(S11&gt;0,$B$2,0), IF(U11&gt;0,$C$2,0), IF(W11&gt;0,$D$2,0)), 0))</f>
        <v/>
      </c>
      <c r="E11">
        <f>IF(B11="BB",C11,MIN(C11,D11*(1-$F$2)))</f>
        <v/>
      </c>
      <c r="F11">
        <f>IF(ISBLANK(AL11),1,LEN(AL11)-LEN(SUBSTITUTE(AL11,",",""))+1)</f>
        <v/>
      </c>
      <c r="G11">
        <f>IF(F11=1,1,IF(OR(ISBLANK(AN11),AN11=0),"Manual",AN11/MAX(SUMIF($AK:$AK,AM11,$AL:$AL),1)))</f>
        <v/>
      </c>
      <c r="H11">
        <f>IF(F11=1, 1, 0)</f>
        <v/>
      </c>
      <c r="I11" s="12" t="n"/>
      <c r="J11" s="12" t="n"/>
      <c r="M11" s="16" t="n"/>
      <c r="O11" s="16" t="n"/>
      <c r="T11" s="16" t="n"/>
      <c r="V11" s="16" t="n"/>
      <c r="X11" s="16" t="n"/>
      <c r="Y11" s="14" t="n"/>
      <c r="Z11" s="14" t="n"/>
      <c r="AA11" s="16" t="n"/>
      <c r="AB11" s="14" t="n"/>
      <c r="AC11" s="16" t="n"/>
      <c r="AD11" s="14" t="n"/>
      <c r="AE11" s="14" t="n"/>
      <c r="AF11" s="14" t="n"/>
      <c r="AG11" s="14" t="n"/>
      <c r="AH11" s="14" t="n"/>
      <c r="AL11" s="12" t="n"/>
      <c r="AM11" s="12" t="n"/>
      <c r="AP11" s="14" t="n"/>
      <c r="AR11" s="14" t="n"/>
      <c r="AT11" s="15" t="n"/>
      <c r="AU11" s="15" t="n"/>
      <c r="AV11" s="16" t="n"/>
    </row>
    <row r="12">
      <c r="A12" s="12" t="n"/>
      <c r="B12">
        <f>IF(ISBLANK(X12),0,IF(X12&gt;=0.65, "BB", "AMZ"))</f>
        <v/>
      </c>
      <c r="C12">
        <f>IF(AND(L12&lt;N12,L12&lt;P12), MIN(L12,K12), IFERROR(SUM(IFERROR(L12*$B$2,0), IFERROR(N12*$C$2,0), IFERROR(P12*$D$2,0))/SUM(IF(L12&gt;0,$B$2,0), IF(N12&gt;0,$C$2,0), IF(P12&gt;0,$D$2,0)), 0))</f>
        <v/>
      </c>
      <c r="D12">
        <f>IF(AND(S12&lt;U12,S12&lt;W12), MIN(S12,R12), IFERROR(SUM(IFERROR(S12*$B$2,0), IFERROR(U12*$C$2,0), IFERROR(W12*$D$2,0))/SUM(IF(S12&gt;0,$B$2,0), IF(U12&gt;0,$C$2,0), IF(W12&gt;0,$D$2,0)), 0))</f>
        <v/>
      </c>
      <c r="E12">
        <f>IF(B12="BB",C12,MIN(C12,D12*(1-$F$2)))</f>
        <v/>
      </c>
      <c r="F12">
        <f>IF(ISBLANK(AL12),1,LEN(AL12)-LEN(SUBSTITUTE(AL12,",",""))+1)</f>
        <v/>
      </c>
      <c r="G12">
        <f>IF(F12=1,1,IF(OR(ISBLANK(AN12),AN12=0),"Manual",AN12/MAX(SUMIF($AK:$AK,AM12,$AL:$AL),1)))</f>
        <v/>
      </c>
      <c r="H12">
        <f>IF(F12=1, 1, 0)</f>
        <v/>
      </c>
      <c r="I12" s="12" t="n"/>
      <c r="J12" s="12" t="n"/>
      <c r="M12" s="16" t="n"/>
      <c r="O12" s="16" t="n"/>
      <c r="T12" s="16" t="n"/>
      <c r="V12" s="16" t="n"/>
      <c r="X12" s="16" t="n"/>
      <c r="Y12" s="14" t="n"/>
      <c r="Z12" s="14" t="n"/>
      <c r="AA12" s="16" t="n"/>
      <c r="AB12" s="14" t="n"/>
      <c r="AC12" s="16" t="n"/>
      <c r="AD12" s="14" t="n"/>
      <c r="AE12" s="14" t="n"/>
      <c r="AF12" s="14" t="n"/>
      <c r="AG12" s="14" t="n"/>
      <c r="AH12" s="14" t="n"/>
      <c r="AL12" s="12" t="n"/>
      <c r="AM12" s="12" t="n"/>
      <c r="AP12" s="14" t="n"/>
      <c r="AR12" s="14" t="n"/>
      <c r="AT12" s="15" t="n"/>
      <c r="AU12" s="15" t="n"/>
      <c r="AV12" s="16" t="n"/>
    </row>
    <row r="13">
      <c r="A13" s="12" t="n"/>
      <c r="B13">
        <f>IF(ISBLANK(X13),0,IF(X13&gt;=0.65, "BB", "AMZ"))</f>
        <v/>
      </c>
      <c r="C13">
        <f>IF(AND(L13&lt;N13,L13&lt;P13), MIN(L13,K13), IFERROR(SUM(IFERROR(L13*$B$2,0), IFERROR(N13*$C$2,0), IFERROR(P13*$D$2,0))/SUM(IF(L13&gt;0,$B$2,0), IF(N13&gt;0,$C$2,0), IF(P13&gt;0,$D$2,0)), 0))</f>
        <v/>
      </c>
      <c r="D13">
        <f>IF(AND(S13&lt;U13,S13&lt;W13), MIN(S13,R13), IFERROR(SUM(IFERROR(S13*$B$2,0), IFERROR(U13*$C$2,0), IFERROR(W13*$D$2,0))/SUM(IF(S13&gt;0,$B$2,0), IF(U13&gt;0,$C$2,0), IF(W13&gt;0,$D$2,0)), 0))</f>
        <v/>
      </c>
      <c r="E13">
        <f>IF(B13="BB",C13,MIN(C13,D13*(1-$F$2)))</f>
        <v/>
      </c>
      <c r="F13">
        <f>IF(ISBLANK(AL13),1,LEN(AL13)-LEN(SUBSTITUTE(AL13,",",""))+1)</f>
        <v/>
      </c>
      <c r="G13">
        <f>IF(F13=1,1,IF(OR(ISBLANK(AN13),AN13=0),"Manual",AN13/MAX(SUMIF($AK:$AK,AM13,$AL:$AL),1)))</f>
        <v/>
      </c>
      <c r="H13">
        <f>IF(F13=1, 1, 0)</f>
        <v/>
      </c>
      <c r="I13" s="12" t="n"/>
      <c r="J13" s="12" t="n"/>
      <c r="M13" s="16" t="n"/>
      <c r="O13" s="16" t="n"/>
      <c r="T13" s="16" t="n"/>
      <c r="V13" s="16" t="n"/>
      <c r="X13" s="16" t="n"/>
      <c r="Y13" s="14" t="n"/>
      <c r="Z13" s="14" t="n"/>
      <c r="AA13" s="16" t="n"/>
      <c r="AB13" s="14" t="n"/>
      <c r="AC13" s="16" t="n"/>
      <c r="AD13" s="14" t="n"/>
      <c r="AE13" s="14" t="n"/>
      <c r="AF13" s="14" t="n"/>
      <c r="AG13" s="14" t="n"/>
      <c r="AH13" s="14" t="n"/>
      <c r="AL13" s="12" t="n"/>
      <c r="AM13" s="12" t="n"/>
      <c r="AP13" s="14" t="n"/>
      <c r="AR13" s="14" t="n"/>
      <c r="AT13" s="15" t="n"/>
      <c r="AU13" s="15" t="n"/>
      <c r="AV13" s="16" t="n"/>
    </row>
    <row r="14">
      <c r="A14" s="12" t="n"/>
      <c r="B14">
        <f>IF(ISBLANK(X14),0,IF(X14&gt;=0.65, "BB", "AMZ"))</f>
        <v/>
      </c>
      <c r="C14">
        <f>IF(AND(L14&lt;N14,L14&lt;P14), MIN(L14,K14), IFERROR(SUM(IFERROR(L14*$B$2,0), IFERROR(N14*$C$2,0), IFERROR(P14*$D$2,0))/SUM(IF(L14&gt;0,$B$2,0), IF(N14&gt;0,$C$2,0), IF(P14&gt;0,$D$2,0)), 0))</f>
        <v/>
      </c>
      <c r="D14">
        <f>IF(AND(S14&lt;U14,S14&lt;W14), MIN(S14,R14), IFERROR(SUM(IFERROR(S14*$B$2,0), IFERROR(U14*$C$2,0), IFERROR(W14*$D$2,0))/SUM(IF(S14&gt;0,$B$2,0), IF(U14&gt;0,$C$2,0), IF(W14&gt;0,$D$2,0)), 0))</f>
        <v/>
      </c>
      <c r="E14">
        <f>IF(B14="BB",C14,MIN(C14,D14*(1-$F$2)))</f>
        <v/>
      </c>
      <c r="F14">
        <f>IF(ISBLANK(AL14),1,LEN(AL14)-LEN(SUBSTITUTE(AL14,",",""))+1)</f>
        <v/>
      </c>
      <c r="G14">
        <f>IF(F14=1,1,IF(OR(ISBLANK(AN14),AN14=0),"Manual",AN14/MAX(SUMIF($AK:$AK,AM14,$AL:$AL),1)))</f>
        <v/>
      </c>
      <c r="H14">
        <f>IF(F14=1, 1, 0)</f>
        <v/>
      </c>
      <c r="I14" s="12" t="n"/>
      <c r="J14" s="12" t="n"/>
      <c r="M14" s="16" t="n"/>
      <c r="O14" s="16" t="n"/>
      <c r="T14" s="16" t="n"/>
      <c r="V14" s="16" t="n"/>
      <c r="X14" s="16" t="n"/>
      <c r="Y14" s="14" t="n"/>
      <c r="Z14" s="14" t="n"/>
      <c r="AA14" s="16" t="n"/>
      <c r="AB14" s="14" t="n"/>
      <c r="AC14" s="16" t="n"/>
      <c r="AD14" s="14" t="n"/>
      <c r="AE14" s="14" t="n"/>
      <c r="AF14" s="14" t="n"/>
      <c r="AG14" s="14" t="n"/>
      <c r="AH14" s="14" t="n"/>
      <c r="AL14" s="12" t="n"/>
      <c r="AM14" s="12" t="n"/>
      <c r="AP14" s="14" t="n"/>
      <c r="AR14" s="14" t="n"/>
      <c r="AT14" s="15" t="n"/>
      <c r="AU14" s="15" t="n"/>
      <c r="AV14" s="16" t="n"/>
    </row>
    <row r="15">
      <c r="A15" s="12" t="n"/>
      <c r="B15">
        <f>IF(ISBLANK(X15),0,IF(X15&gt;=0.65, "BB", "AMZ"))</f>
        <v/>
      </c>
      <c r="C15">
        <f>IF(AND(L15&lt;N15,L15&lt;P15), MIN(L15,K15), IFERROR(SUM(IFERROR(L15*$B$2,0), IFERROR(N15*$C$2,0), IFERROR(P15*$D$2,0))/SUM(IF(L15&gt;0,$B$2,0), IF(N15&gt;0,$C$2,0), IF(P15&gt;0,$D$2,0)), 0))</f>
        <v/>
      </c>
      <c r="D15">
        <f>IF(AND(S15&lt;U15,S15&lt;W15), MIN(S15,R15), IFERROR(SUM(IFERROR(S15*$B$2,0), IFERROR(U15*$C$2,0), IFERROR(W15*$D$2,0))/SUM(IF(S15&gt;0,$B$2,0), IF(U15&gt;0,$C$2,0), IF(W15&gt;0,$D$2,0)), 0))</f>
        <v/>
      </c>
      <c r="E15">
        <f>IF(B15="BB",C15,MIN(C15,D15*(1-$F$2)))</f>
        <v/>
      </c>
      <c r="F15">
        <f>IF(ISBLANK(AL15),1,LEN(AL15)-LEN(SUBSTITUTE(AL15,",",""))+1)</f>
        <v/>
      </c>
      <c r="G15">
        <f>IF(F15=1,1,IF(OR(ISBLANK(AN15),AN15=0),"Manual",AN15/MAX(SUMIF($AK:$AK,AM15,$AL:$AL),1)))</f>
        <v/>
      </c>
      <c r="H15">
        <f>IF(F15=1, 1, 0)</f>
        <v/>
      </c>
      <c r="I15" s="12" t="n"/>
      <c r="J15" s="12" t="n"/>
      <c r="M15" s="16" t="n"/>
      <c r="O15" s="16" t="n"/>
      <c r="T15" s="16" t="n"/>
      <c r="V15" s="16" t="n"/>
      <c r="X15" s="16" t="n"/>
      <c r="Y15" s="14" t="n"/>
      <c r="Z15" s="14" t="n"/>
      <c r="AA15" s="16" t="n"/>
      <c r="AB15" s="14" t="n"/>
      <c r="AC15" s="16" t="n"/>
      <c r="AD15" s="14" t="n"/>
      <c r="AE15" s="14" t="n"/>
      <c r="AF15" s="14" t="n"/>
      <c r="AG15" s="14" t="n"/>
      <c r="AH15" s="14" t="n"/>
      <c r="AL15" s="12" t="n"/>
      <c r="AM15" s="12" t="n"/>
      <c r="AP15" s="14" t="n"/>
      <c r="AR15" s="14" t="n"/>
      <c r="AT15" s="15" t="n"/>
      <c r="AU15" s="15" t="n"/>
      <c r="AV15" s="16" t="n"/>
    </row>
    <row r="16">
      <c r="A16" s="12" t="n"/>
      <c r="B16">
        <f>IF(ISBLANK(X16),0,IF(X16&gt;=0.65, "BB", "AMZ"))</f>
        <v/>
      </c>
      <c r="C16">
        <f>IF(AND(L16&lt;N16,L16&lt;P16), MIN(L16,K16), IFERROR(SUM(IFERROR(L16*$B$2,0), IFERROR(N16*$C$2,0), IFERROR(P16*$D$2,0))/SUM(IF(L16&gt;0,$B$2,0), IF(N16&gt;0,$C$2,0), IF(P16&gt;0,$D$2,0)), 0))</f>
        <v/>
      </c>
      <c r="D16">
        <f>IF(AND(S16&lt;U16,S16&lt;W16), MIN(S16,R16), IFERROR(SUM(IFERROR(S16*$B$2,0), IFERROR(U16*$C$2,0), IFERROR(W16*$D$2,0))/SUM(IF(S16&gt;0,$B$2,0), IF(U16&gt;0,$C$2,0), IF(W16&gt;0,$D$2,0)), 0))</f>
        <v/>
      </c>
      <c r="E16">
        <f>IF(B16="BB",C16,MIN(C16,D16*(1-$F$2)))</f>
        <v/>
      </c>
      <c r="F16">
        <f>IF(ISBLANK(AL16),1,LEN(AL16)-LEN(SUBSTITUTE(AL16,",",""))+1)</f>
        <v/>
      </c>
      <c r="G16">
        <f>IF(F16=1,1,IF(OR(ISBLANK(AN16),AN16=0),"Manual",AN16/MAX(SUMIF($AK:$AK,AM16,$AL:$AL),1)))</f>
        <v/>
      </c>
      <c r="H16">
        <f>IF(F16=1, 1, 0)</f>
        <v/>
      </c>
      <c r="I16" s="12" t="n"/>
      <c r="J16" s="12" t="n"/>
      <c r="M16" s="16" t="n"/>
      <c r="O16" s="16" t="n"/>
      <c r="T16" s="16" t="n"/>
      <c r="V16" s="16" t="n"/>
      <c r="X16" s="16" t="n"/>
      <c r="Y16" s="14" t="n"/>
      <c r="Z16" s="14" t="n"/>
      <c r="AA16" s="16" t="n"/>
      <c r="AB16" s="14" t="n"/>
      <c r="AC16" s="16" t="n"/>
      <c r="AD16" s="14" t="n"/>
      <c r="AE16" s="14" t="n"/>
      <c r="AF16" s="14" t="n"/>
      <c r="AG16" s="14" t="n"/>
      <c r="AH16" s="14" t="n"/>
      <c r="AL16" s="12" t="n"/>
      <c r="AM16" s="12" t="n"/>
      <c r="AP16" s="14" t="n"/>
      <c r="AR16" s="14" t="n"/>
      <c r="AT16" s="15" t="n"/>
      <c r="AU16" s="15" t="n"/>
      <c r="AV16" s="16" t="n"/>
    </row>
    <row r="17">
      <c r="A17" s="12" t="n"/>
      <c r="B17">
        <f>IF(ISBLANK(X17),0,IF(X17&gt;=0.65, "BB", "AMZ"))</f>
        <v/>
      </c>
      <c r="C17">
        <f>IF(AND(L17&lt;N17,L17&lt;P17), MIN(L17,K17), IFERROR(SUM(IFERROR(L17*$B$2,0), IFERROR(N17*$C$2,0), IFERROR(P17*$D$2,0))/SUM(IF(L17&gt;0,$B$2,0), IF(N17&gt;0,$C$2,0), IF(P17&gt;0,$D$2,0)), 0))</f>
        <v/>
      </c>
      <c r="D17">
        <f>IF(AND(S17&lt;U17,S17&lt;W17), MIN(S17,R17), IFERROR(SUM(IFERROR(S17*$B$2,0), IFERROR(U17*$C$2,0), IFERROR(W17*$D$2,0))/SUM(IF(S17&gt;0,$B$2,0), IF(U17&gt;0,$C$2,0), IF(W17&gt;0,$D$2,0)), 0))</f>
        <v/>
      </c>
      <c r="E17">
        <f>IF(B17="BB",C17,MIN(C17,D17*(1-$F$2)))</f>
        <v/>
      </c>
      <c r="F17">
        <f>IF(ISBLANK(AL17),1,LEN(AL17)-LEN(SUBSTITUTE(AL17,",",""))+1)</f>
        <v/>
      </c>
      <c r="G17">
        <f>IF(F17=1,1,IF(OR(ISBLANK(AN17),AN17=0),"Manual",AN17/MAX(SUMIF($AK:$AK,AM17,$AL:$AL),1)))</f>
        <v/>
      </c>
      <c r="H17">
        <f>IF(F17=1, 1, 0)</f>
        <v/>
      </c>
      <c r="I17" s="12" t="n"/>
      <c r="J17" s="12" t="n"/>
      <c r="M17" s="16" t="n"/>
      <c r="O17" s="16" t="n"/>
      <c r="T17" s="16" t="n"/>
      <c r="V17" s="16" t="n"/>
      <c r="X17" s="16" t="n"/>
      <c r="Y17" s="14" t="n"/>
      <c r="Z17" s="14" t="n"/>
      <c r="AA17" s="16" t="n"/>
      <c r="AB17" s="14" t="n"/>
      <c r="AC17" s="16" t="n"/>
      <c r="AD17" s="14" t="n"/>
      <c r="AE17" s="14" t="n"/>
      <c r="AF17" s="14" t="n"/>
      <c r="AG17" s="14" t="n"/>
      <c r="AH17" s="14" t="n"/>
      <c r="AL17" s="12" t="n"/>
      <c r="AM17" s="12" t="n"/>
      <c r="AP17" s="14" t="n"/>
      <c r="AR17" s="14" t="n"/>
      <c r="AT17" s="15" t="n"/>
      <c r="AU17" s="15" t="n"/>
      <c r="AV17" s="16" t="n"/>
    </row>
    <row r="18">
      <c r="A18" s="12" t="n"/>
      <c r="B18">
        <f>IF(ISBLANK(X18),0,IF(X18&gt;=0.65, "BB", "AMZ"))</f>
        <v/>
      </c>
      <c r="C18">
        <f>IF(AND(L18&lt;N18,L18&lt;P18), MIN(L18,K18), IFERROR(SUM(IFERROR(L18*$B$2,0), IFERROR(N18*$C$2,0), IFERROR(P18*$D$2,0))/SUM(IF(L18&gt;0,$B$2,0), IF(N18&gt;0,$C$2,0), IF(P18&gt;0,$D$2,0)), 0))</f>
        <v/>
      </c>
      <c r="D18">
        <f>IF(AND(S18&lt;U18,S18&lt;W18), MIN(S18,R18), IFERROR(SUM(IFERROR(S18*$B$2,0), IFERROR(U18*$C$2,0), IFERROR(W18*$D$2,0))/SUM(IF(S18&gt;0,$B$2,0), IF(U18&gt;0,$C$2,0), IF(W18&gt;0,$D$2,0)), 0))</f>
        <v/>
      </c>
      <c r="E18">
        <f>IF(B18="BB",C18,MIN(C18,D18*(1-$F$2)))</f>
        <v/>
      </c>
      <c r="F18">
        <f>IF(ISBLANK(AL18),1,LEN(AL18)-LEN(SUBSTITUTE(AL18,",",""))+1)</f>
        <v/>
      </c>
      <c r="G18">
        <f>IF(F18=1,1,IF(OR(ISBLANK(AN18),AN18=0),"Manual",AN18/MAX(SUMIF($AK:$AK,AM18,$AL:$AL),1)))</f>
        <v/>
      </c>
      <c r="H18">
        <f>IF(F18=1, 1, 0)</f>
        <v/>
      </c>
      <c r="I18" s="12" t="n"/>
      <c r="J18" s="12" t="n"/>
      <c r="M18" s="16" t="n"/>
      <c r="O18" s="16" t="n"/>
      <c r="T18" s="16" t="n"/>
      <c r="V18" s="16" t="n"/>
      <c r="X18" s="16" t="n"/>
      <c r="Y18" s="14" t="n"/>
      <c r="Z18" s="14" t="n"/>
      <c r="AA18" s="16" t="n"/>
      <c r="AB18" s="14" t="n"/>
      <c r="AC18" s="16" t="n"/>
      <c r="AD18" s="14" t="n"/>
      <c r="AE18" s="14" t="n"/>
      <c r="AF18" s="14" t="n"/>
      <c r="AG18" s="14" t="n"/>
      <c r="AH18" s="14" t="n"/>
      <c r="AL18" s="12" t="n"/>
      <c r="AM18" s="12" t="n"/>
      <c r="AP18" s="14" t="n"/>
      <c r="AR18" s="14" t="n"/>
      <c r="AT18" s="15" t="n"/>
      <c r="AU18" s="15" t="n"/>
      <c r="AV18" s="16" t="n"/>
    </row>
    <row r="19">
      <c r="A19" s="12" t="n"/>
      <c r="B19">
        <f>IF(ISBLANK(X19),0,IF(X19&gt;=0.65, "BB", "AMZ"))</f>
        <v/>
      </c>
      <c r="C19">
        <f>IF(AND(L19&lt;N19,L19&lt;P19), MIN(L19,K19), IFERROR(SUM(IFERROR(L19*$B$2,0), IFERROR(N19*$C$2,0), IFERROR(P19*$D$2,0))/SUM(IF(L19&gt;0,$B$2,0), IF(N19&gt;0,$C$2,0), IF(P19&gt;0,$D$2,0)), 0))</f>
        <v/>
      </c>
      <c r="D19">
        <f>IF(AND(S19&lt;U19,S19&lt;W19), MIN(S19,R19), IFERROR(SUM(IFERROR(S19*$B$2,0), IFERROR(U19*$C$2,0), IFERROR(W19*$D$2,0))/SUM(IF(S19&gt;0,$B$2,0), IF(U19&gt;0,$C$2,0), IF(W19&gt;0,$D$2,0)), 0))</f>
        <v/>
      </c>
      <c r="E19">
        <f>IF(B19="BB",C19,MIN(C19,D19*(1-$F$2)))</f>
        <v/>
      </c>
      <c r="F19">
        <f>IF(ISBLANK(AL19),1,LEN(AL19)-LEN(SUBSTITUTE(AL19,",",""))+1)</f>
        <v/>
      </c>
      <c r="G19">
        <f>IF(F19=1,1,IF(OR(ISBLANK(AN19),AN19=0),"Manual",AN19/MAX(SUMIF($AK:$AK,AM19,$AL:$AL),1)))</f>
        <v/>
      </c>
      <c r="H19">
        <f>IF(F19=1, 1, 0)</f>
        <v/>
      </c>
      <c r="I19" s="12" t="n"/>
      <c r="J19" s="12" t="n"/>
      <c r="M19" s="16" t="n"/>
      <c r="O19" s="16" t="n"/>
      <c r="T19" s="16" t="n"/>
      <c r="V19" s="16" t="n"/>
      <c r="X19" s="16" t="n"/>
      <c r="Y19" s="14" t="n"/>
      <c r="Z19" s="14" t="n"/>
      <c r="AA19" s="16" t="n"/>
      <c r="AB19" s="14" t="n"/>
      <c r="AC19" s="16" t="n"/>
      <c r="AD19" s="14" t="n"/>
      <c r="AE19" s="14" t="n"/>
      <c r="AF19" s="14" t="n"/>
      <c r="AG19" s="14" t="n"/>
      <c r="AH19" s="14" t="n"/>
      <c r="AL19" s="12" t="n"/>
      <c r="AM19" s="12" t="n"/>
      <c r="AP19" s="14" t="n"/>
      <c r="AR19" s="14" t="n"/>
      <c r="AT19" s="15" t="n"/>
      <c r="AU19" s="15" t="n"/>
      <c r="AV19" s="16" t="n"/>
    </row>
    <row r="20">
      <c r="A20" s="12" t="n"/>
      <c r="B20">
        <f>IF(ISBLANK(X20),0,IF(X20&gt;=0.65, "BB", "AMZ"))</f>
        <v/>
      </c>
      <c r="C20">
        <f>IF(AND(L20&lt;N20,L20&lt;P20), MIN(L20,K20), IFERROR(SUM(IFERROR(L20*$B$2,0), IFERROR(N20*$C$2,0), IFERROR(P20*$D$2,0))/SUM(IF(L20&gt;0,$B$2,0), IF(N20&gt;0,$C$2,0), IF(P20&gt;0,$D$2,0)), 0))</f>
        <v/>
      </c>
      <c r="D20">
        <f>IF(AND(S20&lt;U20,S20&lt;W20), MIN(S20,R20), IFERROR(SUM(IFERROR(S20*$B$2,0), IFERROR(U20*$C$2,0), IFERROR(W20*$D$2,0))/SUM(IF(S20&gt;0,$B$2,0), IF(U20&gt;0,$C$2,0), IF(W20&gt;0,$D$2,0)), 0))</f>
        <v/>
      </c>
      <c r="E20">
        <f>IF(B20="BB",C20,MIN(C20,D20*(1-$F$2)))</f>
        <v/>
      </c>
      <c r="F20">
        <f>IF(ISBLANK(AL20),1,LEN(AL20)-LEN(SUBSTITUTE(AL20,",",""))+1)</f>
        <v/>
      </c>
      <c r="G20">
        <f>IF(F20=1,1,IF(OR(ISBLANK(AN20),AN20=0),"Manual",AN20/MAX(SUMIF($AK:$AK,AM20,$AL:$AL),1)))</f>
        <v/>
      </c>
      <c r="H20">
        <f>IF(F20=1, 1, 0)</f>
        <v/>
      </c>
      <c r="I20" s="12" t="n"/>
      <c r="J20" s="12" t="n"/>
      <c r="M20" s="16" t="n"/>
      <c r="O20" s="16" t="n"/>
      <c r="T20" s="16" t="n"/>
      <c r="V20" s="16" t="n"/>
      <c r="X20" s="16" t="n"/>
      <c r="Y20" s="14" t="n"/>
      <c r="Z20" s="14" t="n"/>
      <c r="AA20" s="16" t="n"/>
      <c r="AB20" s="14" t="n"/>
      <c r="AC20" s="16" t="n"/>
      <c r="AD20" s="14" t="n"/>
      <c r="AE20" s="14" t="n"/>
      <c r="AF20" s="14" t="n"/>
      <c r="AG20" s="14" t="n"/>
      <c r="AH20" s="14" t="n"/>
      <c r="AL20" s="12" t="n"/>
      <c r="AM20" s="12" t="n"/>
      <c r="AP20" s="14" t="n"/>
      <c r="AR20" s="14" t="n"/>
      <c r="AT20" s="15" t="n"/>
      <c r="AU20" s="15" t="n"/>
      <c r="AV20" s="16" t="n"/>
    </row>
    <row r="21">
      <c r="A21" s="12" t="n"/>
      <c r="B21">
        <f>IF(ISBLANK(X21),0,IF(X21&gt;=0.65, "BB", "AMZ"))</f>
        <v/>
      </c>
      <c r="C21">
        <f>IF(AND(L21&lt;N21,L21&lt;P21), MIN(L21,K21), IFERROR(SUM(IFERROR(L21*$B$2,0), IFERROR(N21*$C$2,0), IFERROR(P21*$D$2,0))/SUM(IF(L21&gt;0,$B$2,0), IF(N21&gt;0,$C$2,0), IF(P21&gt;0,$D$2,0)), 0))</f>
        <v/>
      </c>
      <c r="D21">
        <f>IF(AND(S21&lt;U21,S21&lt;W21), MIN(S21,R21), IFERROR(SUM(IFERROR(S21*$B$2,0), IFERROR(U21*$C$2,0), IFERROR(W21*$D$2,0))/SUM(IF(S21&gt;0,$B$2,0), IF(U21&gt;0,$C$2,0), IF(W21&gt;0,$D$2,0)), 0))</f>
        <v/>
      </c>
      <c r="E21">
        <f>IF(B21="BB",C21,MIN(C21,D21*(1-$F$2)))</f>
        <v/>
      </c>
      <c r="F21">
        <f>IF(ISBLANK(AL21),1,LEN(AL21)-LEN(SUBSTITUTE(AL21,",",""))+1)</f>
        <v/>
      </c>
      <c r="G21">
        <f>IF(F21=1,1,IF(OR(ISBLANK(AN21),AN21=0),"Manual",AN21/MAX(SUMIF($AK:$AK,AM21,$AL:$AL),1)))</f>
        <v/>
      </c>
      <c r="H21">
        <f>IF(F21=1, 1, 0)</f>
        <v/>
      </c>
      <c r="I21" s="12" t="n"/>
      <c r="J21" s="12" t="n"/>
      <c r="M21" s="16" t="n"/>
      <c r="O21" s="16" t="n"/>
      <c r="T21" s="16" t="n"/>
      <c r="V21" s="16" t="n"/>
      <c r="X21" s="16" t="n"/>
      <c r="Y21" s="14" t="n"/>
      <c r="Z21" s="14" t="n"/>
      <c r="AA21" s="16" t="n"/>
      <c r="AB21" s="14" t="n"/>
      <c r="AC21" s="16" t="n"/>
      <c r="AD21" s="14" t="n"/>
      <c r="AE21" s="14" t="n"/>
      <c r="AF21" s="14" t="n"/>
      <c r="AG21" s="14" t="n"/>
      <c r="AH21" s="14" t="n"/>
      <c r="AL21" s="12" t="n"/>
      <c r="AM21" s="12" t="n"/>
      <c r="AP21" s="14" t="n"/>
      <c r="AR21" s="14" t="n"/>
      <c r="AT21" s="15" t="n"/>
      <c r="AU21" s="15" t="n"/>
      <c r="AV21" s="16" t="n"/>
    </row>
    <row r="22">
      <c r="A22" s="12" t="n"/>
      <c r="B22">
        <f>IF(ISBLANK(X22),0,IF(X22&gt;=0.65, "BB", "AMZ"))</f>
        <v/>
      </c>
      <c r="C22">
        <f>IF(AND(L22&lt;N22,L22&lt;P22), MIN(L22,K22), IFERROR(SUM(IFERROR(L22*$B$2,0), IFERROR(N22*$C$2,0), IFERROR(P22*$D$2,0))/SUM(IF(L22&gt;0,$B$2,0), IF(N22&gt;0,$C$2,0), IF(P22&gt;0,$D$2,0)), 0))</f>
        <v/>
      </c>
      <c r="D22">
        <f>IF(AND(S22&lt;U22,S22&lt;W22), MIN(S22,R22), IFERROR(SUM(IFERROR(S22*$B$2,0), IFERROR(U22*$C$2,0), IFERROR(W22*$D$2,0))/SUM(IF(S22&gt;0,$B$2,0), IF(U22&gt;0,$C$2,0), IF(W22&gt;0,$D$2,0)), 0))</f>
        <v/>
      </c>
      <c r="E22">
        <f>IF(B22="BB",C22,MIN(C22,D22*(1-$F$2)))</f>
        <v/>
      </c>
      <c r="F22">
        <f>IF(ISBLANK(AL22),1,LEN(AL22)-LEN(SUBSTITUTE(AL22,",",""))+1)</f>
        <v/>
      </c>
      <c r="G22">
        <f>IF(F22=1,1,IF(OR(ISBLANK(AN22),AN22=0),"Manual",AN22/MAX(SUMIF($AK:$AK,AM22,$AL:$AL),1)))</f>
        <v/>
      </c>
      <c r="H22">
        <f>IF(F22=1, 1, 0)</f>
        <v/>
      </c>
      <c r="I22" s="12" t="n"/>
      <c r="J22" s="12" t="n"/>
      <c r="M22" s="16" t="n"/>
      <c r="O22" s="16" t="n"/>
      <c r="T22" s="16" t="n"/>
      <c r="V22" s="16" t="n"/>
      <c r="X22" s="16" t="n"/>
      <c r="Y22" s="14" t="n"/>
      <c r="Z22" s="14" t="n"/>
      <c r="AA22" s="16" t="n"/>
      <c r="AB22" s="14" t="n"/>
      <c r="AC22" s="16" t="n"/>
      <c r="AD22" s="14" t="n"/>
      <c r="AE22" s="14" t="n"/>
      <c r="AF22" s="14" t="n"/>
      <c r="AG22" s="14" t="n"/>
      <c r="AH22" s="14" t="n"/>
      <c r="AL22" s="12" t="n"/>
      <c r="AM22" s="12" t="n"/>
      <c r="AP22" s="14" t="n"/>
      <c r="AR22" s="14" t="n"/>
      <c r="AT22" s="15" t="n"/>
      <c r="AU22" s="15" t="n"/>
      <c r="AV22" s="16" t="n"/>
    </row>
    <row r="23">
      <c r="A23" s="12" t="n"/>
      <c r="B23">
        <f>IF(ISBLANK(X23),0,IF(X23&gt;=0.65, "BB", "AMZ"))</f>
        <v/>
      </c>
      <c r="C23">
        <f>IF(AND(L23&lt;N23,L23&lt;P23), MIN(L23,K23), IFERROR(SUM(IFERROR(L23*$B$2,0), IFERROR(N23*$C$2,0), IFERROR(P23*$D$2,0))/SUM(IF(L23&gt;0,$B$2,0), IF(N23&gt;0,$C$2,0), IF(P23&gt;0,$D$2,0)), 0))</f>
        <v/>
      </c>
      <c r="D23">
        <f>IF(AND(S23&lt;U23,S23&lt;W23), MIN(S23,R23), IFERROR(SUM(IFERROR(S23*$B$2,0), IFERROR(U23*$C$2,0), IFERROR(W23*$D$2,0))/SUM(IF(S23&gt;0,$B$2,0), IF(U23&gt;0,$C$2,0), IF(W23&gt;0,$D$2,0)), 0))</f>
        <v/>
      </c>
      <c r="E23">
        <f>IF(B23="BB",C23,MIN(C23,D23*(1-$F$2)))</f>
        <v/>
      </c>
      <c r="F23">
        <f>IF(ISBLANK(AL23),1,LEN(AL23)-LEN(SUBSTITUTE(AL23,",",""))+1)</f>
        <v/>
      </c>
      <c r="G23">
        <f>IF(F23=1,1,IF(OR(ISBLANK(AN23),AN23=0),"Manual",AN23/MAX(SUMIF($AK:$AK,AM23,$AL:$AL),1)))</f>
        <v/>
      </c>
      <c r="H23">
        <f>IF(F23=1, 1, 0)</f>
        <v/>
      </c>
      <c r="I23" s="12" t="n"/>
      <c r="J23" s="12" t="n"/>
      <c r="M23" s="16" t="n"/>
      <c r="O23" s="16" t="n"/>
      <c r="T23" s="16" t="n"/>
      <c r="V23" s="16" t="n"/>
      <c r="X23" s="16" t="n"/>
      <c r="Y23" s="14" t="n"/>
      <c r="Z23" s="14" t="n"/>
      <c r="AA23" s="16" t="n"/>
      <c r="AB23" s="14" t="n"/>
      <c r="AC23" s="16" t="n"/>
      <c r="AD23" s="14" t="n"/>
      <c r="AE23" s="14" t="n"/>
      <c r="AF23" s="14" t="n"/>
      <c r="AG23" s="14" t="n"/>
      <c r="AH23" s="14" t="n"/>
      <c r="AL23" s="12" t="n"/>
      <c r="AM23" s="12" t="n"/>
      <c r="AP23" s="14" t="n"/>
      <c r="AR23" s="14" t="n"/>
      <c r="AT23" s="15" t="n"/>
      <c r="AU23" s="15" t="n"/>
      <c r="AV23" s="16" t="n"/>
    </row>
    <row r="24">
      <c r="A24" s="12" t="n"/>
      <c r="B24">
        <f>IF(ISBLANK(X24),0,IF(X24&gt;=0.65, "BB", "AMZ"))</f>
        <v/>
      </c>
      <c r="C24">
        <f>IF(AND(L24&lt;N24,L24&lt;P24), MIN(L24,K24), IFERROR(SUM(IFERROR(L24*$B$2,0), IFERROR(N24*$C$2,0), IFERROR(P24*$D$2,0))/SUM(IF(L24&gt;0,$B$2,0), IF(N24&gt;0,$C$2,0), IF(P24&gt;0,$D$2,0)), 0))</f>
        <v/>
      </c>
      <c r="D24">
        <f>IF(AND(S24&lt;U24,S24&lt;W24), MIN(S24,R24), IFERROR(SUM(IFERROR(S24*$B$2,0), IFERROR(U24*$C$2,0), IFERROR(W24*$D$2,0))/SUM(IF(S24&gt;0,$B$2,0), IF(U24&gt;0,$C$2,0), IF(W24&gt;0,$D$2,0)), 0))</f>
        <v/>
      </c>
      <c r="E24">
        <f>IF(B24="BB",C24,MIN(C24,D24*(1-$F$2)))</f>
        <v/>
      </c>
      <c r="F24">
        <f>IF(ISBLANK(AL24),1,LEN(AL24)-LEN(SUBSTITUTE(AL24,",",""))+1)</f>
        <v/>
      </c>
      <c r="G24">
        <f>IF(F24=1,1,IF(OR(ISBLANK(AN24),AN24=0),"Manual",AN24/MAX(SUMIF($AK:$AK,AM24,$AL:$AL),1)))</f>
        <v/>
      </c>
      <c r="H24">
        <f>IF(F24=1, 1, 0)</f>
        <v/>
      </c>
      <c r="I24" s="12" t="n"/>
      <c r="J24" s="12" t="n"/>
      <c r="M24" s="16" t="n"/>
      <c r="O24" s="16" t="n"/>
      <c r="T24" s="16" t="n"/>
      <c r="V24" s="16" t="n"/>
      <c r="X24" s="16" t="n"/>
      <c r="Y24" s="14" t="n"/>
      <c r="Z24" s="14" t="n"/>
      <c r="AA24" s="16" t="n"/>
      <c r="AB24" s="14" t="n"/>
      <c r="AC24" s="16" t="n"/>
      <c r="AD24" s="14" t="n"/>
      <c r="AE24" s="14" t="n"/>
      <c r="AF24" s="14" t="n"/>
      <c r="AG24" s="14" t="n"/>
      <c r="AH24" s="14" t="n"/>
      <c r="AL24" s="12" t="n"/>
      <c r="AM24" s="12" t="n"/>
      <c r="AP24" s="14" t="n"/>
      <c r="AR24" s="14" t="n"/>
      <c r="AT24" s="15" t="n"/>
      <c r="AU24" s="15" t="n"/>
      <c r="AV24" s="16" t="n"/>
    </row>
    <row r="25">
      <c r="A25" s="12" t="n"/>
      <c r="B25">
        <f>IF(ISBLANK(X25),0,IF(X25&gt;=0.65, "BB", "AMZ"))</f>
        <v/>
      </c>
      <c r="C25">
        <f>IF(AND(L25&lt;N25,L25&lt;P25), MIN(L25,K25), IFERROR(SUM(IFERROR(L25*$B$2,0), IFERROR(N25*$C$2,0), IFERROR(P25*$D$2,0))/SUM(IF(L25&gt;0,$B$2,0), IF(N25&gt;0,$C$2,0), IF(P25&gt;0,$D$2,0)), 0))</f>
        <v/>
      </c>
      <c r="D25">
        <f>IF(AND(S25&lt;U25,S25&lt;W25), MIN(S25,R25), IFERROR(SUM(IFERROR(S25*$B$2,0), IFERROR(U25*$C$2,0), IFERROR(W25*$D$2,0))/SUM(IF(S25&gt;0,$B$2,0), IF(U25&gt;0,$C$2,0), IF(W25&gt;0,$D$2,0)), 0))</f>
        <v/>
      </c>
      <c r="E25">
        <f>IF(B25="BB",C25,MIN(C25,D25*(1-$F$2)))</f>
        <v/>
      </c>
      <c r="F25">
        <f>IF(ISBLANK(AL25),1,LEN(AL25)-LEN(SUBSTITUTE(AL25,",",""))+1)</f>
        <v/>
      </c>
      <c r="G25">
        <f>IF(F25=1,1,IF(OR(ISBLANK(AN25),AN25=0),"Manual",AN25/MAX(SUMIF($AK:$AK,AM25,$AL:$AL),1)))</f>
        <v/>
      </c>
      <c r="H25">
        <f>IF(F25=1, 1, 0)</f>
        <v/>
      </c>
      <c r="I25" s="12" t="n"/>
      <c r="J25" s="12" t="n"/>
      <c r="M25" s="16" t="n"/>
      <c r="O25" s="16" t="n"/>
      <c r="T25" s="16" t="n"/>
      <c r="V25" s="16" t="n"/>
      <c r="X25" s="16" t="n"/>
      <c r="Y25" s="14" t="n"/>
      <c r="Z25" s="14" t="n"/>
      <c r="AA25" s="16" t="n"/>
      <c r="AB25" s="14" t="n"/>
      <c r="AC25" s="16" t="n"/>
      <c r="AD25" s="14" t="n"/>
      <c r="AE25" s="14" t="n"/>
      <c r="AF25" s="14" t="n"/>
      <c r="AG25" s="14" t="n"/>
      <c r="AH25" s="14" t="n"/>
      <c r="AL25" s="12" t="n"/>
      <c r="AM25" s="12" t="n"/>
      <c r="AP25" s="14" t="n"/>
      <c r="AR25" s="14" t="n"/>
      <c r="AT25" s="15" t="n"/>
      <c r="AU25" s="15" t="n"/>
      <c r="AV25" s="16" t="n"/>
    </row>
    <row r="26">
      <c r="A26" s="12" t="n"/>
      <c r="B26">
        <f>IF(ISBLANK(X26),0,IF(X26&gt;=0.65, "BB", "AMZ"))</f>
        <v/>
      </c>
      <c r="C26">
        <f>IF(AND(L26&lt;N26,L26&lt;P26), MIN(L26,K26), IFERROR(SUM(IFERROR(L26*$B$2,0), IFERROR(N26*$C$2,0), IFERROR(P26*$D$2,0))/SUM(IF(L26&gt;0,$B$2,0), IF(N26&gt;0,$C$2,0), IF(P26&gt;0,$D$2,0)), 0))</f>
        <v/>
      </c>
      <c r="D26">
        <f>IF(AND(S26&lt;U26,S26&lt;W26), MIN(S26,R26), IFERROR(SUM(IFERROR(S26*$B$2,0), IFERROR(U26*$C$2,0), IFERROR(W26*$D$2,0))/SUM(IF(S26&gt;0,$B$2,0), IF(U26&gt;0,$C$2,0), IF(W26&gt;0,$D$2,0)), 0))</f>
        <v/>
      </c>
      <c r="E26">
        <f>IF(B26="BB",C26,MIN(C26,D26*(1-$F$2)))</f>
        <v/>
      </c>
      <c r="F26">
        <f>IF(ISBLANK(AL26),1,LEN(AL26)-LEN(SUBSTITUTE(AL26,",",""))+1)</f>
        <v/>
      </c>
      <c r="G26">
        <f>IF(F26=1,1,IF(OR(ISBLANK(AN26),AN26=0),"Manual",AN26/MAX(SUMIF($AK:$AK,AM26,$AL:$AL),1)))</f>
        <v/>
      </c>
      <c r="H26">
        <f>IF(F26=1, 1, 0)</f>
        <v/>
      </c>
      <c r="I26" s="12" t="n"/>
      <c r="J26" s="12" t="n"/>
      <c r="M26" s="16" t="n"/>
      <c r="O26" s="16" t="n"/>
      <c r="T26" s="16" t="n"/>
      <c r="V26" s="16" t="n"/>
      <c r="X26" s="16" t="n"/>
      <c r="Y26" s="14" t="n"/>
      <c r="Z26" s="14" t="n"/>
      <c r="AA26" s="16" t="n"/>
      <c r="AB26" s="14" t="n"/>
      <c r="AC26" s="16" t="n"/>
      <c r="AD26" s="14" t="n"/>
      <c r="AE26" s="14" t="n"/>
      <c r="AF26" s="14" t="n"/>
      <c r="AG26" s="14" t="n"/>
      <c r="AH26" s="14" t="n"/>
      <c r="AL26" s="12" t="n"/>
      <c r="AM26" s="12" t="n"/>
      <c r="AP26" s="14" t="n"/>
      <c r="AR26" s="14" t="n"/>
      <c r="AT26" s="15" t="n"/>
      <c r="AU26" s="15" t="n"/>
      <c r="AV26" s="16" t="n"/>
    </row>
    <row r="27">
      <c r="A27" s="12" t="n"/>
      <c r="B27">
        <f>IF(ISBLANK(X27),0,IF(X27&gt;=0.65, "BB", "AMZ"))</f>
        <v/>
      </c>
      <c r="C27">
        <f>IF(AND(L27&lt;N27,L27&lt;P27), MIN(L27,K27), IFERROR(SUM(IFERROR(L27*$B$2,0), IFERROR(N27*$C$2,0), IFERROR(P27*$D$2,0))/SUM(IF(L27&gt;0,$B$2,0), IF(N27&gt;0,$C$2,0), IF(P27&gt;0,$D$2,0)), 0))</f>
        <v/>
      </c>
      <c r="D27">
        <f>IF(AND(S27&lt;U27,S27&lt;W27), MIN(S27,R27), IFERROR(SUM(IFERROR(S27*$B$2,0), IFERROR(U27*$C$2,0), IFERROR(W27*$D$2,0))/SUM(IF(S27&gt;0,$B$2,0), IF(U27&gt;0,$C$2,0), IF(W27&gt;0,$D$2,0)), 0))</f>
        <v/>
      </c>
      <c r="E27">
        <f>IF(B27="BB",C27,MIN(C27,D27*(1-$F$2)))</f>
        <v/>
      </c>
      <c r="F27">
        <f>IF(ISBLANK(AL27),1,LEN(AL27)-LEN(SUBSTITUTE(AL27,",",""))+1)</f>
        <v/>
      </c>
      <c r="G27">
        <f>IF(F27=1,1,IF(OR(ISBLANK(AN27),AN27=0),"Manual",AN27/MAX(SUMIF($AK:$AK,AM27,$AL:$AL),1)))</f>
        <v/>
      </c>
      <c r="H27">
        <f>IF(F27=1, 1, 0)</f>
        <v/>
      </c>
      <c r="I27" s="12" t="n"/>
      <c r="J27" s="12" t="n"/>
      <c r="M27" s="16" t="n"/>
      <c r="O27" s="16" t="n"/>
      <c r="T27" s="16" t="n"/>
      <c r="V27" s="16" t="n"/>
      <c r="X27" s="16" t="n"/>
      <c r="Y27" s="14" t="n"/>
      <c r="Z27" s="14" t="n"/>
      <c r="AA27" s="16" t="n"/>
      <c r="AB27" s="14" t="n"/>
      <c r="AC27" s="16" t="n"/>
      <c r="AD27" s="14" t="n"/>
      <c r="AE27" s="14" t="n"/>
      <c r="AF27" s="14" t="n"/>
      <c r="AG27" s="14" t="n"/>
      <c r="AH27" s="14" t="n"/>
      <c r="AL27" s="12" t="n"/>
      <c r="AM27" s="12" t="n"/>
      <c r="AP27" s="14" t="n"/>
      <c r="AR27" s="14" t="n"/>
      <c r="AT27" s="15" t="n"/>
      <c r="AU27" s="15" t="n"/>
      <c r="AV27" s="16" t="n"/>
    </row>
    <row r="28">
      <c r="A28" s="12" t="n"/>
      <c r="B28">
        <f>IF(ISBLANK(X28),0,IF(X28&gt;=0.65, "BB", "AMZ"))</f>
        <v/>
      </c>
      <c r="C28">
        <f>IF(AND(L28&lt;N28,L28&lt;P28), MIN(L28,K28), IFERROR(SUM(IFERROR(L28*$B$2,0), IFERROR(N28*$C$2,0), IFERROR(P28*$D$2,0))/SUM(IF(L28&gt;0,$B$2,0), IF(N28&gt;0,$C$2,0), IF(P28&gt;0,$D$2,0)), 0))</f>
        <v/>
      </c>
      <c r="D28">
        <f>IF(AND(S28&lt;U28,S28&lt;W28), MIN(S28,R28), IFERROR(SUM(IFERROR(S28*$B$2,0), IFERROR(U28*$C$2,0), IFERROR(W28*$D$2,0))/SUM(IF(S28&gt;0,$B$2,0), IF(U28&gt;0,$C$2,0), IF(W28&gt;0,$D$2,0)), 0))</f>
        <v/>
      </c>
      <c r="E28">
        <f>IF(B28="BB",C28,MIN(C28,D28*(1-$F$2)))</f>
        <v/>
      </c>
      <c r="F28">
        <f>IF(ISBLANK(AL28),1,LEN(AL28)-LEN(SUBSTITUTE(AL28,",",""))+1)</f>
        <v/>
      </c>
      <c r="G28">
        <f>IF(F28=1,1,IF(OR(ISBLANK(AN28),AN28=0),"Manual",AN28/MAX(SUMIF($AK:$AK,AM28,$AL:$AL),1)))</f>
        <v/>
      </c>
      <c r="H28">
        <f>IF(F28=1, 1, 0)</f>
        <v/>
      </c>
      <c r="I28" s="12" t="n"/>
      <c r="J28" s="12" t="n"/>
      <c r="M28" s="16" t="n"/>
      <c r="O28" s="16" t="n"/>
      <c r="T28" s="16" t="n"/>
      <c r="V28" s="16" t="n"/>
      <c r="X28" s="16" t="n"/>
      <c r="Y28" s="14" t="n"/>
      <c r="Z28" s="14" t="n"/>
      <c r="AA28" s="16" t="n"/>
      <c r="AB28" s="14" t="n"/>
      <c r="AC28" s="16" t="n"/>
      <c r="AD28" s="14" t="n"/>
      <c r="AE28" s="14" t="n"/>
      <c r="AF28" s="14" t="n"/>
      <c r="AG28" s="14" t="n"/>
      <c r="AH28" s="14" t="n"/>
      <c r="AL28" s="12" t="n"/>
      <c r="AM28" s="12" t="n"/>
      <c r="AP28" s="14" t="n"/>
      <c r="AR28" s="14" t="n"/>
      <c r="AT28" s="15" t="n"/>
      <c r="AU28" s="15" t="n"/>
      <c r="AV28" s="16" t="n"/>
    </row>
    <row r="29">
      <c r="A29" s="12" t="n"/>
      <c r="B29">
        <f>IF(ISBLANK(X29),0,IF(X29&gt;=0.65, "BB", "AMZ"))</f>
        <v/>
      </c>
      <c r="C29">
        <f>IF(AND(L29&lt;N29,L29&lt;P29), MIN(L29,K29), IFERROR(SUM(IFERROR(L29*$B$2,0), IFERROR(N29*$C$2,0), IFERROR(P29*$D$2,0))/SUM(IF(L29&gt;0,$B$2,0), IF(N29&gt;0,$C$2,0), IF(P29&gt;0,$D$2,0)), 0))</f>
        <v/>
      </c>
      <c r="D29">
        <f>IF(AND(S29&lt;U29,S29&lt;W29), MIN(S29,R29), IFERROR(SUM(IFERROR(S29*$B$2,0), IFERROR(U29*$C$2,0), IFERROR(W29*$D$2,0))/SUM(IF(S29&gt;0,$B$2,0), IF(U29&gt;0,$C$2,0), IF(W29&gt;0,$D$2,0)), 0))</f>
        <v/>
      </c>
      <c r="E29">
        <f>IF(B29="BB",C29,MIN(C29,D29*(1-$F$2)))</f>
        <v/>
      </c>
      <c r="F29">
        <f>IF(ISBLANK(AL29),1,LEN(AL29)-LEN(SUBSTITUTE(AL29,",",""))+1)</f>
        <v/>
      </c>
      <c r="G29">
        <f>IF(F29=1,1,IF(OR(ISBLANK(AN29),AN29=0),"Manual",AN29/MAX(SUMIF($AK:$AK,AM29,$AL:$AL),1)))</f>
        <v/>
      </c>
      <c r="H29">
        <f>IF(F29=1, 1, 0)</f>
        <v/>
      </c>
      <c r="I29" s="12" t="n"/>
      <c r="J29" s="12" t="n"/>
      <c r="M29" s="16" t="n"/>
      <c r="O29" s="16" t="n"/>
      <c r="T29" s="16" t="n"/>
      <c r="V29" s="16" t="n"/>
      <c r="X29" s="16" t="n"/>
      <c r="Y29" s="14" t="n"/>
      <c r="Z29" s="14" t="n"/>
      <c r="AA29" s="16" t="n"/>
      <c r="AB29" s="14" t="n"/>
      <c r="AC29" s="16" t="n"/>
      <c r="AD29" s="14" t="n"/>
      <c r="AE29" s="14" t="n"/>
      <c r="AF29" s="14" t="n"/>
      <c r="AG29" s="14" t="n"/>
      <c r="AH29" s="14" t="n"/>
      <c r="AL29" s="12" t="n"/>
      <c r="AM29" s="12" t="n"/>
      <c r="AP29" s="14" t="n"/>
      <c r="AR29" s="14" t="n"/>
      <c r="AT29" s="15" t="n"/>
      <c r="AU29" s="15" t="n"/>
      <c r="AV29" s="16" t="n"/>
    </row>
    <row r="30">
      <c r="A30" s="12" t="n"/>
      <c r="B30">
        <f>IF(ISBLANK(X30),0,IF(X30&gt;=0.65, "BB", "AMZ"))</f>
        <v/>
      </c>
      <c r="C30">
        <f>IF(AND(L30&lt;N30,L30&lt;P30), MIN(L30,K30), IFERROR(SUM(IFERROR(L30*$B$2,0), IFERROR(N30*$C$2,0), IFERROR(P30*$D$2,0))/SUM(IF(L30&gt;0,$B$2,0), IF(N30&gt;0,$C$2,0), IF(P30&gt;0,$D$2,0)), 0))</f>
        <v/>
      </c>
      <c r="D30">
        <f>IF(AND(S30&lt;U30,S30&lt;W30), MIN(S30,R30), IFERROR(SUM(IFERROR(S30*$B$2,0), IFERROR(U30*$C$2,0), IFERROR(W30*$D$2,0))/SUM(IF(S30&gt;0,$B$2,0), IF(U30&gt;0,$C$2,0), IF(W30&gt;0,$D$2,0)), 0))</f>
        <v/>
      </c>
      <c r="E30">
        <f>IF(B30="BB",C30,MIN(C30,D30*(1-$F$2)))</f>
        <v/>
      </c>
      <c r="F30">
        <f>IF(ISBLANK(AL30),1,LEN(AL30)-LEN(SUBSTITUTE(AL30,",",""))+1)</f>
        <v/>
      </c>
      <c r="G30">
        <f>IF(F30=1,1,IF(OR(ISBLANK(AN30),AN30=0),"Manual",AN30/MAX(SUMIF($AK:$AK,AM30,$AL:$AL),1)))</f>
        <v/>
      </c>
      <c r="H30">
        <f>IF(F30=1, 1, 0)</f>
        <v/>
      </c>
      <c r="I30" s="12" t="n"/>
      <c r="J30" s="12" t="n"/>
      <c r="M30" s="16" t="n"/>
      <c r="O30" s="16" t="n"/>
      <c r="T30" s="16" t="n"/>
      <c r="V30" s="16" t="n"/>
      <c r="X30" s="16" t="n"/>
      <c r="Y30" s="14" t="n"/>
      <c r="Z30" s="14" t="n"/>
      <c r="AA30" s="16" t="n"/>
      <c r="AB30" s="14" t="n"/>
      <c r="AC30" s="16" t="n"/>
      <c r="AD30" s="14" t="n"/>
      <c r="AE30" s="14" t="n"/>
      <c r="AF30" s="14" t="n"/>
      <c r="AG30" s="14" t="n"/>
      <c r="AH30" s="14" t="n"/>
      <c r="AL30" s="12" t="n"/>
      <c r="AM30" s="12" t="n"/>
      <c r="AP30" s="14" t="n"/>
      <c r="AR30" s="14" t="n"/>
      <c r="AT30" s="15" t="n"/>
      <c r="AU30" s="15" t="n"/>
      <c r="AV30" s="16" t="n"/>
    </row>
    <row r="31">
      <c r="A31" s="12" t="n"/>
      <c r="B31">
        <f>IF(ISBLANK(X31),0,IF(X31&gt;=0.65, "BB", "AMZ"))</f>
        <v/>
      </c>
      <c r="C31">
        <f>IF(AND(L31&lt;N31,L31&lt;P31), MIN(L31,K31), IFERROR(SUM(IFERROR(L31*$B$2,0), IFERROR(N31*$C$2,0), IFERROR(P31*$D$2,0))/SUM(IF(L31&gt;0,$B$2,0), IF(N31&gt;0,$C$2,0), IF(P31&gt;0,$D$2,0)), 0))</f>
        <v/>
      </c>
      <c r="D31">
        <f>IF(AND(S31&lt;U31,S31&lt;W31), MIN(S31,R31), IFERROR(SUM(IFERROR(S31*$B$2,0), IFERROR(U31*$C$2,0), IFERROR(W31*$D$2,0))/SUM(IF(S31&gt;0,$B$2,0), IF(U31&gt;0,$C$2,0), IF(W31&gt;0,$D$2,0)), 0))</f>
        <v/>
      </c>
      <c r="E31">
        <f>IF(B31="BB",C31,MIN(C31,D31*(1-$F$2)))</f>
        <v/>
      </c>
      <c r="F31">
        <f>IF(ISBLANK(AL31),1,LEN(AL31)-LEN(SUBSTITUTE(AL31,",",""))+1)</f>
        <v/>
      </c>
      <c r="G31">
        <f>IF(F31=1,1,IF(OR(ISBLANK(AN31),AN31=0),"Manual",AN31/MAX(SUMIF($AK:$AK,AM31,$AL:$AL),1)))</f>
        <v/>
      </c>
      <c r="H31">
        <f>IF(F31=1, 1, 0)</f>
        <v/>
      </c>
      <c r="I31" s="12" t="n"/>
      <c r="J31" s="12" t="n"/>
      <c r="M31" s="16" t="n"/>
      <c r="O31" s="16" t="n"/>
      <c r="T31" s="16" t="n"/>
      <c r="V31" s="16" t="n"/>
      <c r="X31" s="16" t="n"/>
      <c r="Y31" s="14" t="n"/>
      <c r="Z31" s="14" t="n"/>
      <c r="AA31" s="16" t="n"/>
      <c r="AB31" s="14" t="n"/>
      <c r="AC31" s="16" t="n"/>
      <c r="AD31" s="14" t="n"/>
      <c r="AE31" s="14" t="n"/>
      <c r="AF31" s="14" t="n"/>
      <c r="AG31" s="14" t="n"/>
      <c r="AH31" s="14" t="n"/>
      <c r="AL31" s="12" t="n"/>
      <c r="AM31" s="12" t="n"/>
      <c r="AP31" s="14" t="n"/>
      <c r="AR31" s="14" t="n"/>
      <c r="AT31" s="15" t="n"/>
      <c r="AU31" s="15" t="n"/>
      <c r="AV31" s="16" t="n"/>
    </row>
    <row r="32">
      <c r="A32" s="12" t="n"/>
      <c r="B32">
        <f>IF(ISBLANK(X32),0,IF(X32&gt;=0.65, "BB", "AMZ"))</f>
        <v/>
      </c>
      <c r="C32">
        <f>IF(AND(L32&lt;N32,L32&lt;P32), MIN(L32,K32), IFERROR(SUM(IFERROR(L32*$B$2,0), IFERROR(N32*$C$2,0), IFERROR(P32*$D$2,0))/SUM(IF(L32&gt;0,$B$2,0), IF(N32&gt;0,$C$2,0), IF(P32&gt;0,$D$2,0)), 0))</f>
        <v/>
      </c>
      <c r="D32">
        <f>IF(AND(S32&lt;U32,S32&lt;W32), MIN(S32,R32), IFERROR(SUM(IFERROR(S32*$B$2,0), IFERROR(U32*$C$2,0), IFERROR(W32*$D$2,0))/SUM(IF(S32&gt;0,$B$2,0), IF(U32&gt;0,$C$2,0), IF(W32&gt;0,$D$2,0)), 0))</f>
        <v/>
      </c>
      <c r="E32">
        <f>IF(B32="BB",C32,MIN(C32,D32*(1-$F$2)))</f>
        <v/>
      </c>
      <c r="F32">
        <f>IF(ISBLANK(AL32),1,LEN(AL32)-LEN(SUBSTITUTE(AL32,",",""))+1)</f>
        <v/>
      </c>
      <c r="G32">
        <f>IF(F32=1,1,IF(OR(ISBLANK(AN32),AN32=0),"Manual",AN32/MAX(SUMIF($AK:$AK,AM32,$AL:$AL),1)))</f>
        <v/>
      </c>
      <c r="H32">
        <f>IF(F32=1, 1, 0)</f>
        <v/>
      </c>
      <c r="I32" s="12" t="n"/>
      <c r="J32" s="12" t="n"/>
      <c r="M32" s="16" t="n"/>
      <c r="O32" s="16" t="n"/>
      <c r="T32" s="16" t="n"/>
      <c r="V32" s="16" t="n"/>
      <c r="X32" s="16" t="n"/>
      <c r="Y32" s="14" t="n"/>
      <c r="Z32" s="14" t="n"/>
      <c r="AA32" s="16" t="n"/>
      <c r="AB32" s="14" t="n"/>
      <c r="AC32" s="16" t="n"/>
      <c r="AD32" s="14" t="n"/>
      <c r="AE32" s="14" t="n"/>
      <c r="AF32" s="14" t="n"/>
      <c r="AG32" s="14" t="n"/>
      <c r="AH32" s="14" t="n"/>
      <c r="AL32" s="12" t="n"/>
      <c r="AM32" s="12" t="n"/>
      <c r="AP32" s="14" t="n"/>
      <c r="AR32" s="14" t="n"/>
      <c r="AT32" s="15" t="n"/>
      <c r="AU32" s="15" t="n"/>
      <c r="AV32" s="16" t="n"/>
    </row>
    <row r="33">
      <c r="A33" s="12" t="n"/>
      <c r="B33">
        <f>IF(ISBLANK(X33),0,IF(X33&gt;=0.65, "BB", "AMZ"))</f>
        <v/>
      </c>
      <c r="C33">
        <f>IF(AND(L33&lt;N33,L33&lt;P33), MIN(L33,K33), IFERROR(SUM(IFERROR(L33*$B$2,0), IFERROR(N33*$C$2,0), IFERROR(P33*$D$2,0))/SUM(IF(L33&gt;0,$B$2,0), IF(N33&gt;0,$C$2,0), IF(P33&gt;0,$D$2,0)), 0))</f>
        <v/>
      </c>
      <c r="D33">
        <f>IF(AND(S33&lt;U33,S33&lt;W33), MIN(S33,R33), IFERROR(SUM(IFERROR(S33*$B$2,0), IFERROR(U33*$C$2,0), IFERROR(W33*$D$2,0))/SUM(IF(S33&gt;0,$B$2,0), IF(U33&gt;0,$C$2,0), IF(W33&gt;0,$D$2,0)), 0))</f>
        <v/>
      </c>
      <c r="E33">
        <f>IF(B33="BB",C33,MIN(C33,D33*(1-$F$2)))</f>
        <v/>
      </c>
      <c r="F33">
        <f>IF(ISBLANK(AL33),1,LEN(AL33)-LEN(SUBSTITUTE(AL33,",",""))+1)</f>
        <v/>
      </c>
      <c r="G33">
        <f>IF(F33=1,1,IF(OR(ISBLANK(AN33),AN33=0),"Manual",AN33/MAX(SUMIF($AK:$AK,AM33,$AL:$AL),1)))</f>
        <v/>
      </c>
      <c r="H33">
        <f>IF(F33=1, 1, 0)</f>
        <v/>
      </c>
      <c r="I33" s="12" t="n"/>
      <c r="J33" s="12" t="n"/>
      <c r="M33" s="16" t="n"/>
      <c r="O33" s="16" t="n"/>
      <c r="T33" s="16" t="n"/>
      <c r="V33" s="16" t="n"/>
      <c r="X33" s="16" t="n"/>
      <c r="Y33" s="14" t="n"/>
      <c r="Z33" s="14" t="n"/>
      <c r="AA33" s="16" t="n"/>
      <c r="AB33" s="14" t="n"/>
      <c r="AC33" s="16" t="n"/>
      <c r="AD33" s="14" t="n"/>
      <c r="AE33" s="14" t="n"/>
      <c r="AF33" s="14" t="n"/>
      <c r="AG33" s="14" t="n"/>
      <c r="AH33" s="14" t="n"/>
      <c r="AL33" s="12" t="n"/>
      <c r="AM33" s="12" t="n"/>
      <c r="AP33" s="14" t="n"/>
      <c r="AR33" s="14" t="n"/>
      <c r="AT33" s="15" t="n"/>
      <c r="AU33" s="15" t="n"/>
      <c r="AV33" s="16" t="n"/>
    </row>
    <row r="34">
      <c r="A34" s="12" t="n"/>
      <c r="B34">
        <f>IF(ISBLANK(X34),0,IF(X34&gt;=0.65, "BB", "AMZ"))</f>
        <v/>
      </c>
      <c r="C34">
        <f>IF(AND(L34&lt;N34,L34&lt;P34), MIN(L34,K34), IFERROR(SUM(IFERROR(L34*$B$2,0), IFERROR(N34*$C$2,0), IFERROR(P34*$D$2,0))/SUM(IF(L34&gt;0,$B$2,0), IF(N34&gt;0,$C$2,0), IF(P34&gt;0,$D$2,0)), 0))</f>
        <v/>
      </c>
      <c r="D34">
        <f>IF(AND(S34&lt;U34,S34&lt;W34), MIN(S34,R34), IFERROR(SUM(IFERROR(S34*$B$2,0), IFERROR(U34*$C$2,0), IFERROR(W34*$D$2,0))/SUM(IF(S34&gt;0,$B$2,0), IF(U34&gt;0,$C$2,0), IF(W34&gt;0,$D$2,0)), 0))</f>
        <v/>
      </c>
      <c r="E34">
        <f>IF(B34="BB",C34,MIN(C34,D34*(1-$F$2)))</f>
        <v/>
      </c>
      <c r="F34">
        <f>IF(ISBLANK(AL34),1,LEN(AL34)-LEN(SUBSTITUTE(AL34,",",""))+1)</f>
        <v/>
      </c>
      <c r="G34">
        <f>IF(F34=1,1,IF(OR(ISBLANK(AN34),AN34=0),"Manual",AN34/MAX(SUMIF($AK:$AK,AM34,$AL:$AL),1)))</f>
        <v/>
      </c>
      <c r="H34">
        <f>IF(F34=1, 1, 0)</f>
        <v/>
      </c>
      <c r="I34" s="12" t="n"/>
      <c r="J34" s="12" t="n"/>
      <c r="M34" s="16" t="n"/>
      <c r="O34" s="16" t="n"/>
      <c r="T34" s="16" t="n"/>
      <c r="V34" s="16" t="n"/>
      <c r="X34" s="16" t="n"/>
      <c r="Y34" s="14" t="n"/>
      <c r="Z34" s="14" t="n"/>
      <c r="AA34" s="16" t="n"/>
      <c r="AB34" s="14" t="n"/>
      <c r="AC34" s="16" t="n"/>
      <c r="AD34" s="14" t="n"/>
      <c r="AE34" s="14" t="n"/>
      <c r="AF34" s="14" t="n"/>
      <c r="AG34" s="14" t="n"/>
      <c r="AH34" s="14" t="n"/>
      <c r="AL34" s="12" t="n"/>
      <c r="AM34" s="12" t="n"/>
      <c r="AP34" s="14" t="n"/>
      <c r="AR34" s="14" t="n"/>
      <c r="AT34" s="15" t="n"/>
      <c r="AU34" s="15" t="n"/>
      <c r="AV34" s="16" t="n"/>
    </row>
    <row r="35">
      <c r="A35" s="12" t="n"/>
      <c r="B35">
        <f>IF(ISBLANK(X35),0,IF(X35&gt;=0.65, "BB", "AMZ"))</f>
        <v/>
      </c>
      <c r="C35">
        <f>IF(AND(L35&lt;N35,L35&lt;P35), MIN(L35,K35), IFERROR(SUM(IFERROR(L35*$B$2,0), IFERROR(N35*$C$2,0), IFERROR(P35*$D$2,0))/SUM(IF(L35&gt;0,$B$2,0), IF(N35&gt;0,$C$2,0), IF(P35&gt;0,$D$2,0)), 0))</f>
        <v/>
      </c>
      <c r="D35">
        <f>IF(AND(S35&lt;U35,S35&lt;W35), MIN(S35,R35), IFERROR(SUM(IFERROR(S35*$B$2,0), IFERROR(U35*$C$2,0), IFERROR(W35*$D$2,0))/SUM(IF(S35&gt;0,$B$2,0), IF(U35&gt;0,$C$2,0), IF(W35&gt;0,$D$2,0)), 0))</f>
        <v/>
      </c>
      <c r="E35">
        <f>IF(B35="BB",C35,MIN(C35,D35*(1-$F$2)))</f>
        <v/>
      </c>
      <c r="F35">
        <f>IF(ISBLANK(AL35),1,LEN(AL35)-LEN(SUBSTITUTE(AL35,",",""))+1)</f>
        <v/>
      </c>
      <c r="G35">
        <f>IF(F35=1,1,IF(OR(ISBLANK(AN35),AN35=0),"Manual",AN35/MAX(SUMIF($AK:$AK,AM35,$AL:$AL),1)))</f>
        <v/>
      </c>
      <c r="H35">
        <f>IF(F35=1, 1, 0)</f>
        <v/>
      </c>
      <c r="I35" s="12" t="n"/>
      <c r="J35" s="12" t="n"/>
      <c r="M35" s="16" t="n"/>
      <c r="O35" s="16" t="n"/>
      <c r="T35" s="16" t="n"/>
      <c r="V35" s="16" t="n"/>
      <c r="X35" s="16" t="n"/>
      <c r="Y35" s="14" t="n"/>
      <c r="Z35" s="14" t="n"/>
      <c r="AA35" s="16" t="n"/>
      <c r="AB35" s="14" t="n"/>
      <c r="AC35" s="16" t="n"/>
      <c r="AD35" s="14" t="n"/>
      <c r="AE35" s="14" t="n"/>
      <c r="AF35" s="14" t="n"/>
      <c r="AG35" s="14" t="n"/>
      <c r="AH35" s="14" t="n"/>
      <c r="AL35" s="12" t="n"/>
      <c r="AM35" s="12" t="n"/>
      <c r="AP35" s="14" t="n"/>
      <c r="AR35" s="14" t="n"/>
      <c r="AT35" s="15" t="n"/>
      <c r="AU35" s="15" t="n"/>
      <c r="AV35" s="16" t="n"/>
    </row>
    <row r="36">
      <c r="A36" s="12" t="n"/>
      <c r="B36">
        <f>IF(ISBLANK(X36),0,IF(X36&gt;=0.65, "BB", "AMZ"))</f>
        <v/>
      </c>
      <c r="C36">
        <f>IF(AND(L36&lt;N36,L36&lt;P36), MIN(L36,K36), IFERROR(SUM(IFERROR(L36*$B$2,0), IFERROR(N36*$C$2,0), IFERROR(P36*$D$2,0))/SUM(IF(L36&gt;0,$B$2,0), IF(N36&gt;0,$C$2,0), IF(P36&gt;0,$D$2,0)), 0))</f>
        <v/>
      </c>
      <c r="D36">
        <f>IF(AND(S36&lt;U36,S36&lt;W36), MIN(S36,R36), IFERROR(SUM(IFERROR(S36*$B$2,0), IFERROR(U36*$C$2,0), IFERROR(W36*$D$2,0))/SUM(IF(S36&gt;0,$B$2,0), IF(U36&gt;0,$C$2,0), IF(W36&gt;0,$D$2,0)), 0))</f>
        <v/>
      </c>
      <c r="E36">
        <f>IF(B36="BB",C36,MIN(C36,D36*(1-$F$2)))</f>
        <v/>
      </c>
      <c r="F36">
        <f>IF(ISBLANK(AL36),1,LEN(AL36)-LEN(SUBSTITUTE(AL36,",",""))+1)</f>
        <v/>
      </c>
      <c r="G36">
        <f>IF(F36=1,1,IF(OR(ISBLANK(AN36),AN36=0),"Manual",AN36/MAX(SUMIF($AK:$AK,AM36,$AL:$AL),1)))</f>
        <v/>
      </c>
      <c r="H36">
        <f>IF(F36=1, 1, 0)</f>
        <v/>
      </c>
      <c r="I36" s="12" t="n"/>
      <c r="J36" s="12" t="n"/>
      <c r="M36" s="16" t="n"/>
      <c r="O36" s="16" t="n"/>
      <c r="T36" s="16" t="n"/>
      <c r="V36" s="16" t="n"/>
      <c r="X36" s="16" t="n"/>
      <c r="Y36" s="14" t="n"/>
      <c r="Z36" s="14" t="n"/>
      <c r="AA36" s="16" t="n"/>
      <c r="AB36" s="14" t="n"/>
      <c r="AC36" s="16" t="n"/>
      <c r="AD36" s="14" t="n"/>
      <c r="AE36" s="14" t="n"/>
      <c r="AF36" s="14" t="n"/>
      <c r="AG36" s="14" t="n"/>
      <c r="AH36" s="14" t="n"/>
      <c r="AL36" s="12" t="n"/>
      <c r="AM36" s="12" t="n"/>
      <c r="AP36" s="14" t="n"/>
      <c r="AR36" s="14" t="n"/>
      <c r="AT36" s="15" t="n"/>
      <c r="AU36" s="15" t="n"/>
      <c r="AV36" s="16" t="n"/>
    </row>
    <row r="37">
      <c r="A37" s="12" t="n"/>
      <c r="B37">
        <f>IF(ISBLANK(X37),0,IF(X37&gt;=0.65, "BB", "AMZ"))</f>
        <v/>
      </c>
      <c r="C37">
        <f>IF(AND(L37&lt;N37,L37&lt;P37), MIN(L37,K37), IFERROR(SUM(IFERROR(L37*$B$2,0), IFERROR(N37*$C$2,0), IFERROR(P37*$D$2,0))/SUM(IF(L37&gt;0,$B$2,0), IF(N37&gt;0,$C$2,0), IF(P37&gt;0,$D$2,0)), 0))</f>
        <v/>
      </c>
      <c r="D37">
        <f>IF(AND(S37&lt;U37,S37&lt;W37), MIN(S37,R37), IFERROR(SUM(IFERROR(S37*$B$2,0), IFERROR(U37*$C$2,0), IFERROR(W37*$D$2,0))/SUM(IF(S37&gt;0,$B$2,0), IF(U37&gt;0,$C$2,0), IF(W37&gt;0,$D$2,0)), 0))</f>
        <v/>
      </c>
      <c r="E37">
        <f>IF(B37="BB",C37,MIN(C37,D37*(1-$F$2)))</f>
        <v/>
      </c>
      <c r="F37">
        <f>IF(ISBLANK(AL37),1,LEN(AL37)-LEN(SUBSTITUTE(AL37,",",""))+1)</f>
        <v/>
      </c>
      <c r="G37">
        <f>IF(F37=1,1,IF(OR(ISBLANK(AN37),AN37=0),"Manual",AN37/MAX(SUMIF($AK:$AK,AM37,$AL:$AL),1)))</f>
        <v/>
      </c>
      <c r="H37">
        <f>IF(F37=1, 1, 0)</f>
        <v/>
      </c>
      <c r="I37" s="12" t="n"/>
      <c r="J37" s="12" t="n"/>
      <c r="M37" s="16" t="n"/>
      <c r="O37" s="16" t="n"/>
      <c r="T37" s="16" t="n"/>
      <c r="V37" s="16" t="n"/>
      <c r="X37" s="16" t="n"/>
      <c r="Y37" s="14" t="n"/>
      <c r="Z37" s="14" t="n"/>
      <c r="AA37" s="16" t="n"/>
      <c r="AB37" s="14" t="n"/>
      <c r="AC37" s="16" t="n"/>
      <c r="AD37" s="14" t="n"/>
      <c r="AE37" s="14" t="n"/>
      <c r="AF37" s="14" t="n"/>
      <c r="AG37" s="14" t="n"/>
      <c r="AH37" s="14" t="n"/>
      <c r="AL37" s="12" t="n"/>
      <c r="AM37" s="12" t="n"/>
      <c r="AP37" s="14" t="n"/>
      <c r="AR37" s="14" t="n"/>
      <c r="AT37" s="15" t="n"/>
      <c r="AU37" s="15" t="n"/>
      <c r="AV37" s="16" t="n"/>
    </row>
    <row r="38">
      <c r="A38" s="12" t="n"/>
      <c r="B38">
        <f>IF(ISBLANK(X38),0,IF(X38&gt;=0.65, "BB", "AMZ"))</f>
        <v/>
      </c>
      <c r="C38">
        <f>IF(AND(L38&lt;N38,L38&lt;P38), MIN(L38,K38), IFERROR(SUM(IFERROR(L38*$B$2,0), IFERROR(N38*$C$2,0), IFERROR(P38*$D$2,0))/SUM(IF(L38&gt;0,$B$2,0), IF(N38&gt;0,$C$2,0), IF(P38&gt;0,$D$2,0)), 0))</f>
        <v/>
      </c>
      <c r="D38">
        <f>IF(AND(S38&lt;U38,S38&lt;W38), MIN(S38,R38), IFERROR(SUM(IFERROR(S38*$B$2,0), IFERROR(U38*$C$2,0), IFERROR(W38*$D$2,0))/SUM(IF(S38&gt;0,$B$2,0), IF(U38&gt;0,$C$2,0), IF(W38&gt;0,$D$2,0)), 0))</f>
        <v/>
      </c>
      <c r="E38">
        <f>IF(B38="BB",C38,MIN(C38,D38*(1-$F$2)))</f>
        <v/>
      </c>
      <c r="F38">
        <f>IF(ISBLANK(AL38),1,LEN(AL38)-LEN(SUBSTITUTE(AL38,",",""))+1)</f>
        <v/>
      </c>
      <c r="G38">
        <f>IF(F38=1,1,IF(OR(ISBLANK(AN38),AN38=0),"Manual",AN38/MAX(SUMIF($AK:$AK,AM38,$AL:$AL),1)))</f>
        <v/>
      </c>
      <c r="H38">
        <f>IF(F38=1, 1, 0)</f>
        <v/>
      </c>
      <c r="I38" s="12" t="n"/>
      <c r="J38" s="12" t="n"/>
      <c r="M38" s="16" t="n"/>
      <c r="O38" s="16" t="n"/>
      <c r="T38" s="16" t="n"/>
      <c r="V38" s="16" t="n"/>
      <c r="X38" s="16" t="n"/>
      <c r="Y38" s="14" t="n"/>
      <c r="Z38" s="14" t="n"/>
      <c r="AA38" s="16" t="n"/>
      <c r="AB38" s="14" t="n"/>
      <c r="AC38" s="16" t="n"/>
      <c r="AD38" s="14" t="n"/>
      <c r="AE38" s="14" t="n"/>
      <c r="AF38" s="14" t="n"/>
      <c r="AG38" s="14" t="n"/>
      <c r="AH38" s="14" t="n"/>
      <c r="AL38" s="12" t="n"/>
      <c r="AM38" s="12" t="n"/>
      <c r="AP38" s="14" t="n"/>
      <c r="AR38" s="14" t="n"/>
      <c r="AT38" s="15" t="n"/>
      <c r="AU38" s="15" t="n"/>
      <c r="AV38" s="16" t="n"/>
    </row>
    <row r="39">
      <c r="A39" s="12" t="n"/>
      <c r="B39">
        <f>IF(ISBLANK(X39),0,IF(X39&gt;=0.65, "BB", "AMZ"))</f>
        <v/>
      </c>
      <c r="C39">
        <f>IF(AND(L39&lt;N39,L39&lt;P39), MIN(L39,K39), IFERROR(SUM(IFERROR(L39*$B$2,0), IFERROR(N39*$C$2,0), IFERROR(P39*$D$2,0))/SUM(IF(L39&gt;0,$B$2,0), IF(N39&gt;0,$C$2,0), IF(P39&gt;0,$D$2,0)), 0))</f>
        <v/>
      </c>
      <c r="D39">
        <f>IF(AND(S39&lt;U39,S39&lt;W39), MIN(S39,R39), IFERROR(SUM(IFERROR(S39*$B$2,0), IFERROR(U39*$C$2,0), IFERROR(W39*$D$2,0))/SUM(IF(S39&gt;0,$B$2,0), IF(U39&gt;0,$C$2,0), IF(W39&gt;0,$D$2,0)), 0))</f>
        <v/>
      </c>
      <c r="E39">
        <f>IF(B39="BB",C39,MIN(C39,D39*(1-$F$2)))</f>
        <v/>
      </c>
      <c r="F39">
        <f>IF(ISBLANK(AL39),1,LEN(AL39)-LEN(SUBSTITUTE(AL39,",",""))+1)</f>
        <v/>
      </c>
      <c r="G39">
        <f>IF(F39=1,1,IF(OR(ISBLANK(AN39),AN39=0),"Manual",AN39/MAX(SUMIF($AK:$AK,AM39,$AL:$AL),1)))</f>
        <v/>
      </c>
      <c r="H39">
        <f>IF(F39=1, 1, 0)</f>
        <v/>
      </c>
      <c r="I39" s="12" t="n"/>
      <c r="J39" s="12" t="n"/>
      <c r="M39" s="16" t="n"/>
      <c r="O39" s="16" t="n"/>
      <c r="T39" s="16" t="n"/>
      <c r="V39" s="16" t="n"/>
      <c r="X39" s="16" t="n"/>
      <c r="Y39" s="14" t="n"/>
      <c r="Z39" s="14" t="n"/>
      <c r="AA39" s="16" t="n"/>
      <c r="AB39" s="14" t="n"/>
      <c r="AC39" s="16" t="n"/>
      <c r="AD39" s="14" t="n"/>
      <c r="AE39" s="14" t="n"/>
      <c r="AF39" s="14" t="n"/>
      <c r="AG39" s="14" t="n"/>
      <c r="AH39" s="14" t="n"/>
      <c r="AL39" s="12" t="n"/>
      <c r="AM39" s="12" t="n"/>
      <c r="AP39" s="14" t="n"/>
      <c r="AR39" s="14" t="n"/>
      <c r="AT39" s="15" t="n"/>
      <c r="AU39" s="15" t="n"/>
      <c r="AV39" s="16" t="n"/>
    </row>
    <row r="40">
      <c r="A40" s="12" t="n"/>
      <c r="B40">
        <f>IF(ISBLANK(X40),0,IF(X40&gt;=0.65, "BB", "AMZ"))</f>
        <v/>
      </c>
      <c r="C40">
        <f>IF(AND(L40&lt;N40,L40&lt;P40), MIN(L40,K40), IFERROR(SUM(IFERROR(L40*$B$2,0), IFERROR(N40*$C$2,0), IFERROR(P40*$D$2,0))/SUM(IF(L40&gt;0,$B$2,0), IF(N40&gt;0,$C$2,0), IF(P40&gt;0,$D$2,0)), 0))</f>
        <v/>
      </c>
      <c r="D40">
        <f>IF(AND(S40&lt;U40,S40&lt;W40), MIN(S40,R40), IFERROR(SUM(IFERROR(S40*$B$2,0), IFERROR(U40*$C$2,0), IFERROR(W40*$D$2,0))/SUM(IF(S40&gt;0,$B$2,0), IF(U40&gt;0,$C$2,0), IF(W40&gt;0,$D$2,0)), 0))</f>
        <v/>
      </c>
      <c r="E40">
        <f>IF(B40="BB",C40,MIN(C40,D40*(1-$F$2)))</f>
        <v/>
      </c>
      <c r="F40">
        <f>IF(ISBLANK(AL40),1,LEN(AL40)-LEN(SUBSTITUTE(AL40,",",""))+1)</f>
        <v/>
      </c>
      <c r="G40">
        <f>IF(F40=1,1,IF(OR(ISBLANK(AN40),AN40=0),"Manual",AN40/MAX(SUMIF($AK:$AK,AM40,$AL:$AL),1)))</f>
        <v/>
      </c>
      <c r="H40">
        <f>IF(F40=1, 1, 0)</f>
        <v/>
      </c>
      <c r="I40" s="12" t="n"/>
      <c r="J40" s="12" t="n"/>
      <c r="M40" s="16" t="n"/>
      <c r="O40" s="16" t="n"/>
      <c r="T40" s="16" t="n"/>
      <c r="V40" s="16" t="n"/>
      <c r="X40" s="16" t="n"/>
      <c r="Y40" s="14" t="n"/>
      <c r="Z40" s="14" t="n"/>
      <c r="AA40" s="16" t="n"/>
      <c r="AB40" s="14" t="n"/>
      <c r="AC40" s="16" t="n"/>
      <c r="AD40" s="14" t="n"/>
      <c r="AE40" s="14" t="n"/>
      <c r="AF40" s="14" t="n"/>
      <c r="AG40" s="14" t="n"/>
      <c r="AH40" s="14" t="n"/>
      <c r="AL40" s="12" t="n"/>
      <c r="AM40" s="12" t="n"/>
      <c r="AP40" s="14" t="n"/>
      <c r="AR40" s="14" t="n"/>
      <c r="AT40" s="15" t="n"/>
      <c r="AU40" s="15" t="n"/>
      <c r="AV40" s="16" t="n"/>
    </row>
    <row r="41">
      <c r="A41" s="12" t="n"/>
      <c r="B41">
        <f>IF(ISBLANK(X41),0,IF(X41&gt;=0.65, "BB", "AMZ"))</f>
        <v/>
      </c>
      <c r="C41">
        <f>IF(AND(L41&lt;N41,L41&lt;P41), MIN(L41,K41), IFERROR(SUM(IFERROR(L41*$B$2,0), IFERROR(N41*$C$2,0), IFERROR(P41*$D$2,0))/SUM(IF(L41&gt;0,$B$2,0), IF(N41&gt;0,$C$2,0), IF(P41&gt;0,$D$2,0)), 0))</f>
        <v/>
      </c>
      <c r="D41">
        <f>IF(AND(S41&lt;U41,S41&lt;W41), MIN(S41,R41), IFERROR(SUM(IFERROR(S41*$B$2,0), IFERROR(U41*$C$2,0), IFERROR(W41*$D$2,0))/SUM(IF(S41&gt;0,$B$2,0), IF(U41&gt;0,$C$2,0), IF(W41&gt;0,$D$2,0)), 0))</f>
        <v/>
      </c>
      <c r="E41">
        <f>IF(B41="BB",C41,MIN(C41,D41*(1-$F$2)))</f>
        <v/>
      </c>
      <c r="F41">
        <f>IF(ISBLANK(AL41),1,LEN(AL41)-LEN(SUBSTITUTE(AL41,",",""))+1)</f>
        <v/>
      </c>
      <c r="G41">
        <f>IF(F41=1,1,IF(OR(ISBLANK(AN41),AN41=0),"Manual",AN41/MAX(SUMIF($AK:$AK,AM41,$AL:$AL),1)))</f>
        <v/>
      </c>
      <c r="H41">
        <f>IF(F41=1, 1, 0)</f>
        <v/>
      </c>
      <c r="I41" s="12" t="n"/>
      <c r="J41" s="12" t="n"/>
      <c r="M41" s="16" t="n"/>
      <c r="O41" s="16" t="n"/>
      <c r="T41" s="16" t="n"/>
      <c r="V41" s="16" t="n"/>
      <c r="X41" s="16" t="n"/>
      <c r="Y41" s="14" t="n"/>
      <c r="Z41" s="14" t="n"/>
      <c r="AA41" s="16" t="n"/>
      <c r="AB41" s="14" t="n"/>
      <c r="AC41" s="16" t="n"/>
      <c r="AD41" s="14" t="n"/>
      <c r="AE41" s="14" t="n"/>
      <c r="AF41" s="14" t="n"/>
      <c r="AG41" s="14" t="n"/>
      <c r="AH41" s="14" t="n"/>
      <c r="AL41" s="12" t="n"/>
      <c r="AM41" s="12" t="n"/>
      <c r="AP41" s="14" t="n"/>
      <c r="AR41" s="14" t="n"/>
      <c r="AT41" s="15" t="n"/>
      <c r="AU41" s="15" t="n"/>
      <c r="AV41" s="16" t="n"/>
    </row>
    <row r="42">
      <c r="A42" s="12" t="n"/>
      <c r="B42">
        <f>IF(ISBLANK(X42),0,IF(X42&gt;=0.65, "BB", "AMZ"))</f>
        <v/>
      </c>
      <c r="C42">
        <f>IF(AND(L42&lt;N42,L42&lt;P42), MIN(L42,K42), IFERROR(SUM(IFERROR(L42*$B$2,0), IFERROR(N42*$C$2,0), IFERROR(P42*$D$2,0))/SUM(IF(L42&gt;0,$B$2,0), IF(N42&gt;0,$C$2,0), IF(P42&gt;0,$D$2,0)), 0))</f>
        <v/>
      </c>
      <c r="D42">
        <f>IF(AND(S42&lt;U42,S42&lt;W42), MIN(S42,R42), IFERROR(SUM(IFERROR(S42*$B$2,0), IFERROR(U42*$C$2,0), IFERROR(W42*$D$2,0))/SUM(IF(S42&gt;0,$B$2,0), IF(U42&gt;0,$C$2,0), IF(W42&gt;0,$D$2,0)), 0))</f>
        <v/>
      </c>
      <c r="E42">
        <f>IF(B42="BB",C42,MIN(C42,D42*(1-$F$2)))</f>
        <v/>
      </c>
      <c r="F42">
        <f>IF(ISBLANK(AL42),1,LEN(AL42)-LEN(SUBSTITUTE(AL42,",",""))+1)</f>
        <v/>
      </c>
      <c r="G42">
        <f>IF(F42=1,1,IF(OR(ISBLANK(AN42),AN42=0),"Manual",AN42/MAX(SUMIF($AK:$AK,AM42,$AL:$AL),1)))</f>
        <v/>
      </c>
      <c r="H42">
        <f>IF(F42=1, 1, 0)</f>
        <v/>
      </c>
      <c r="I42" s="12" t="n"/>
      <c r="J42" s="12" t="n"/>
      <c r="M42" s="16" t="n"/>
      <c r="O42" s="16" t="n"/>
      <c r="T42" s="16" t="n"/>
      <c r="V42" s="16" t="n"/>
      <c r="X42" s="16" t="n"/>
      <c r="Y42" s="14" t="n"/>
      <c r="Z42" s="14" t="n"/>
      <c r="AA42" s="16" t="n"/>
      <c r="AB42" s="14" t="n"/>
      <c r="AC42" s="16" t="n"/>
      <c r="AD42" s="14" t="n"/>
      <c r="AE42" s="14" t="n"/>
      <c r="AF42" s="14" t="n"/>
      <c r="AG42" s="14" t="n"/>
      <c r="AH42" s="14" t="n"/>
      <c r="AL42" s="12" t="n"/>
      <c r="AM42" s="12" t="n"/>
      <c r="AP42" s="14" t="n"/>
      <c r="AR42" s="14" t="n"/>
      <c r="AT42" s="15" t="n"/>
      <c r="AU42" s="15" t="n"/>
      <c r="AV42" s="16" t="n"/>
    </row>
    <row r="43">
      <c r="A43" s="12" t="n"/>
      <c r="B43">
        <f>IF(ISBLANK(X43),0,IF(X43&gt;=0.65, "BB", "AMZ"))</f>
        <v/>
      </c>
      <c r="C43">
        <f>IF(AND(L43&lt;N43,L43&lt;P43), MIN(L43,K43), IFERROR(SUM(IFERROR(L43*$B$2,0), IFERROR(N43*$C$2,0), IFERROR(P43*$D$2,0))/SUM(IF(L43&gt;0,$B$2,0), IF(N43&gt;0,$C$2,0), IF(P43&gt;0,$D$2,0)), 0))</f>
        <v/>
      </c>
      <c r="D43">
        <f>IF(AND(S43&lt;U43,S43&lt;W43), MIN(S43,R43), IFERROR(SUM(IFERROR(S43*$B$2,0), IFERROR(U43*$C$2,0), IFERROR(W43*$D$2,0))/SUM(IF(S43&gt;0,$B$2,0), IF(U43&gt;0,$C$2,0), IF(W43&gt;0,$D$2,0)), 0))</f>
        <v/>
      </c>
      <c r="E43">
        <f>IF(B43="BB",C43,MIN(C43,D43*(1-$F$2)))</f>
        <v/>
      </c>
      <c r="F43">
        <f>IF(ISBLANK(AL43),1,LEN(AL43)-LEN(SUBSTITUTE(AL43,",",""))+1)</f>
        <v/>
      </c>
      <c r="G43">
        <f>IF(F43=1,1,IF(OR(ISBLANK(AN43),AN43=0),"Manual",AN43/MAX(SUMIF($AK:$AK,AM43,$AL:$AL),1)))</f>
        <v/>
      </c>
      <c r="H43">
        <f>IF(F43=1, 1, 0)</f>
        <v/>
      </c>
      <c r="I43" s="12" t="n"/>
      <c r="J43" s="12" t="n"/>
      <c r="M43" s="16" t="n"/>
      <c r="O43" s="16" t="n"/>
      <c r="T43" s="16" t="n"/>
      <c r="V43" s="16" t="n"/>
      <c r="X43" s="16" t="n"/>
      <c r="Y43" s="14" t="n"/>
      <c r="Z43" s="14" t="n"/>
      <c r="AA43" s="16" t="n"/>
      <c r="AB43" s="14" t="n"/>
      <c r="AC43" s="16" t="n"/>
      <c r="AD43" s="14" t="n"/>
      <c r="AE43" s="14" t="n"/>
      <c r="AF43" s="14" t="n"/>
      <c r="AG43" s="14" t="n"/>
      <c r="AH43" s="14" t="n"/>
      <c r="AL43" s="12" t="n"/>
      <c r="AM43" s="12" t="n"/>
      <c r="AP43" s="14" t="n"/>
      <c r="AR43" s="14" t="n"/>
      <c r="AT43" s="15" t="n"/>
      <c r="AU43" s="15" t="n"/>
      <c r="AV43" s="16" t="n"/>
    </row>
    <row r="44">
      <c r="A44" s="12" t="n"/>
      <c r="B44">
        <f>IF(ISBLANK(X44),0,IF(X44&gt;=0.65, "BB", "AMZ"))</f>
        <v/>
      </c>
      <c r="C44">
        <f>IF(AND(L44&lt;N44,L44&lt;P44), MIN(L44,K44), IFERROR(SUM(IFERROR(L44*$B$2,0), IFERROR(N44*$C$2,0), IFERROR(P44*$D$2,0))/SUM(IF(L44&gt;0,$B$2,0), IF(N44&gt;0,$C$2,0), IF(P44&gt;0,$D$2,0)), 0))</f>
        <v/>
      </c>
      <c r="D44">
        <f>IF(AND(S44&lt;U44,S44&lt;W44), MIN(S44,R44), IFERROR(SUM(IFERROR(S44*$B$2,0), IFERROR(U44*$C$2,0), IFERROR(W44*$D$2,0))/SUM(IF(S44&gt;0,$B$2,0), IF(U44&gt;0,$C$2,0), IF(W44&gt;0,$D$2,0)), 0))</f>
        <v/>
      </c>
      <c r="E44">
        <f>IF(B44="BB",C44,MIN(C44,D44*(1-$F$2)))</f>
        <v/>
      </c>
      <c r="F44">
        <f>IF(ISBLANK(AL44),1,LEN(AL44)-LEN(SUBSTITUTE(AL44,",",""))+1)</f>
        <v/>
      </c>
      <c r="G44">
        <f>IF(F44=1,1,IF(OR(ISBLANK(AN44),AN44=0),"Manual",AN44/MAX(SUMIF($AK:$AK,AM44,$AL:$AL),1)))</f>
        <v/>
      </c>
      <c r="H44">
        <f>IF(F44=1, 1, 0)</f>
        <v/>
      </c>
      <c r="I44" s="12" t="n"/>
      <c r="J44" s="12" t="n"/>
      <c r="M44" s="16" t="n"/>
      <c r="O44" s="16" t="n"/>
      <c r="T44" s="16" t="n"/>
      <c r="V44" s="16" t="n"/>
      <c r="X44" s="16" t="n"/>
      <c r="Y44" s="14" t="n"/>
      <c r="Z44" s="14" t="n"/>
      <c r="AA44" s="16" t="n"/>
      <c r="AB44" s="14" t="n"/>
      <c r="AC44" s="16" t="n"/>
      <c r="AD44" s="14" t="n"/>
      <c r="AE44" s="14" t="n"/>
      <c r="AF44" s="14" t="n"/>
      <c r="AG44" s="14" t="n"/>
      <c r="AH44" s="14" t="n"/>
      <c r="AL44" s="12" t="n"/>
      <c r="AM44" s="12" t="n"/>
      <c r="AP44" s="14" t="n"/>
      <c r="AR44" s="14" t="n"/>
      <c r="AT44" s="15" t="n"/>
      <c r="AU44" s="15" t="n"/>
      <c r="AV44" s="16" t="n"/>
    </row>
    <row r="45">
      <c r="A45" s="12" t="n"/>
      <c r="B45">
        <f>IF(ISBLANK(X45),0,IF(X45&gt;=0.65, "BB", "AMZ"))</f>
        <v/>
      </c>
      <c r="C45">
        <f>IF(AND(L45&lt;N45,L45&lt;P45), MIN(L45,K45), IFERROR(SUM(IFERROR(L45*$B$2,0), IFERROR(N45*$C$2,0), IFERROR(P45*$D$2,0))/SUM(IF(L45&gt;0,$B$2,0), IF(N45&gt;0,$C$2,0), IF(P45&gt;0,$D$2,0)), 0))</f>
        <v/>
      </c>
      <c r="D45">
        <f>IF(AND(S45&lt;U45,S45&lt;W45), MIN(S45,R45), IFERROR(SUM(IFERROR(S45*$B$2,0), IFERROR(U45*$C$2,0), IFERROR(W45*$D$2,0))/SUM(IF(S45&gt;0,$B$2,0), IF(U45&gt;0,$C$2,0), IF(W45&gt;0,$D$2,0)), 0))</f>
        <v/>
      </c>
      <c r="E45">
        <f>IF(B45="BB",C45,MIN(C45,D45*(1-$F$2)))</f>
        <v/>
      </c>
      <c r="F45">
        <f>IF(ISBLANK(AL45),1,LEN(AL45)-LEN(SUBSTITUTE(AL45,",",""))+1)</f>
        <v/>
      </c>
      <c r="G45">
        <f>IF(F45=1,1,IF(OR(ISBLANK(AN45),AN45=0),"Manual",AN45/MAX(SUMIF($AK:$AK,AM45,$AL:$AL),1)))</f>
        <v/>
      </c>
      <c r="H45">
        <f>IF(F45=1, 1, 0)</f>
        <v/>
      </c>
      <c r="I45" s="12" t="n"/>
      <c r="J45" s="12" t="n"/>
      <c r="M45" s="16" t="n"/>
      <c r="O45" s="16" t="n"/>
      <c r="T45" s="16" t="n"/>
      <c r="V45" s="16" t="n"/>
      <c r="X45" s="16" t="n"/>
      <c r="Y45" s="14" t="n"/>
      <c r="Z45" s="14" t="n"/>
      <c r="AA45" s="16" t="n"/>
      <c r="AB45" s="14" t="n"/>
      <c r="AC45" s="16" t="n"/>
      <c r="AD45" s="14" t="n"/>
      <c r="AE45" s="14" t="n"/>
      <c r="AF45" s="14" t="n"/>
      <c r="AG45" s="14" t="n"/>
      <c r="AH45" s="14" t="n"/>
      <c r="AL45" s="12" t="n"/>
      <c r="AM45" s="12" t="n"/>
      <c r="AP45" s="14" t="n"/>
      <c r="AR45" s="14" t="n"/>
      <c r="AT45" s="15" t="n"/>
      <c r="AU45" s="15" t="n"/>
      <c r="AV45" s="16" t="n"/>
    </row>
    <row r="46">
      <c r="A46" s="12" t="n"/>
      <c r="B46">
        <f>IF(ISBLANK(X46),0,IF(X46&gt;=0.65, "BB", "AMZ"))</f>
        <v/>
      </c>
      <c r="C46">
        <f>IF(AND(L46&lt;N46,L46&lt;P46), MIN(L46,K46), IFERROR(SUM(IFERROR(L46*$B$2,0), IFERROR(N46*$C$2,0), IFERROR(P46*$D$2,0))/SUM(IF(L46&gt;0,$B$2,0), IF(N46&gt;0,$C$2,0), IF(P46&gt;0,$D$2,0)), 0))</f>
        <v/>
      </c>
      <c r="D46">
        <f>IF(AND(S46&lt;U46,S46&lt;W46), MIN(S46,R46), IFERROR(SUM(IFERROR(S46*$B$2,0), IFERROR(U46*$C$2,0), IFERROR(W46*$D$2,0))/SUM(IF(S46&gt;0,$B$2,0), IF(U46&gt;0,$C$2,0), IF(W46&gt;0,$D$2,0)), 0))</f>
        <v/>
      </c>
      <c r="E46">
        <f>IF(B46="BB",C46,MIN(C46,D46*(1-$F$2)))</f>
        <v/>
      </c>
      <c r="F46">
        <f>IF(ISBLANK(AL46),1,LEN(AL46)-LEN(SUBSTITUTE(AL46,",",""))+1)</f>
        <v/>
      </c>
      <c r="G46">
        <f>IF(F46=1,1,IF(OR(ISBLANK(AN46),AN46=0),"Manual",AN46/MAX(SUMIF($AK:$AK,AM46,$AL:$AL),1)))</f>
        <v/>
      </c>
      <c r="H46">
        <f>IF(F46=1, 1, 0)</f>
        <v/>
      </c>
      <c r="I46" s="12" t="n"/>
      <c r="J46" s="12" t="n"/>
      <c r="M46" s="16" t="n"/>
      <c r="O46" s="16" t="n"/>
      <c r="T46" s="16" t="n"/>
      <c r="V46" s="16" t="n"/>
      <c r="X46" s="16" t="n"/>
      <c r="Y46" s="14" t="n"/>
      <c r="Z46" s="14" t="n"/>
      <c r="AA46" s="16" t="n"/>
      <c r="AB46" s="14" t="n"/>
      <c r="AC46" s="16" t="n"/>
      <c r="AD46" s="14" t="n"/>
      <c r="AE46" s="14" t="n"/>
      <c r="AF46" s="14" t="n"/>
      <c r="AG46" s="14" t="n"/>
      <c r="AH46" s="14" t="n"/>
      <c r="AL46" s="12" t="n"/>
      <c r="AM46" s="12" t="n"/>
      <c r="AP46" s="14" t="n"/>
      <c r="AR46" s="14" t="n"/>
      <c r="AT46" s="15" t="n"/>
      <c r="AU46" s="15" t="n"/>
      <c r="AV46" s="16" t="n"/>
    </row>
    <row r="47">
      <c r="A47" s="12" t="n"/>
      <c r="B47">
        <f>IF(ISBLANK(X47),0,IF(X47&gt;=0.65, "BB", "AMZ"))</f>
        <v/>
      </c>
      <c r="C47">
        <f>IF(AND(L47&lt;N47,L47&lt;P47), MIN(L47,K47), IFERROR(SUM(IFERROR(L47*$B$2,0), IFERROR(N47*$C$2,0), IFERROR(P47*$D$2,0))/SUM(IF(L47&gt;0,$B$2,0), IF(N47&gt;0,$C$2,0), IF(P47&gt;0,$D$2,0)), 0))</f>
        <v/>
      </c>
      <c r="D47">
        <f>IF(AND(S47&lt;U47,S47&lt;W47), MIN(S47,R47), IFERROR(SUM(IFERROR(S47*$B$2,0), IFERROR(U47*$C$2,0), IFERROR(W47*$D$2,0))/SUM(IF(S47&gt;0,$B$2,0), IF(U47&gt;0,$C$2,0), IF(W47&gt;0,$D$2,0)), 0))</f>
        <v/>
      </c>
      <c r="E47">
        <f>IF(B47="BB",C47,MIN(C47,D47*(1-$F$2)))</f>
        <v/>
      </c>
      <c r="F47">
        <f>IF(ISBLANK(AL47),1,LEN(AL47)-LEN(SUBSTITUTE(AL47,",",""))+1)</f>
        <v/>
      </c>
      <c r="G47">
        <f>IF(F47=1,1,IF(OR(ISBLANK(AN47),AN47=0),"Manual",AN47/MAX(SUMIF($AK:$AK,AM47,$AL:$AL),1)))</f>
        <v/>
      </c>
      <c r="H47">
        <f>IF(F47=1, 1, 0)</f>
        <v/>
      </c>
      <c r="I47" s="12" t="n"/>
      <c r="J47" s="12" t="n"/>
      <c r="M47" s="16" t="n"/>
      <c r="O47" s="16" t="n"/>
      <c r="T47" s="16" t="n"/>
      <c r="V47" s="16" t="n"/>
      <c r="X47" s="16" t="n"/>
      <c r="Y47" s="14" t="n"/>
      <c r="Z47" s="14" t="n"/>
      <c r="AA47" s="16" t="n"/>
      <c r="AB47" s="14" t="n"/>
      <c r="AC47" s="16" t="n"/>
      <c r="AD47" s="14" t="n"/>
      <c r="AE47" s="14" t="n"/>
      <c r="AF47" s="14" t="n"/>
      <c r="AG47" s="14" t="n"/>
      <c r="AH47" s="14" t="n"/>
      <c r="AL47" s="12" t="n"/>
      <c r="AM47" s="12" t="n"/>
      <c r="AP47" s="14" t="n"/>
      <c r="AR47" s="14" t="n"/>
      <c r="AT47" s="15" t="n"/>
      <c r="AU47" s="15" t="n"/>
      <c r="AV47" s="16" t="n"/>
    </row>
    <row r="48">
      <c r="A48" s="12" t="n"/>
      <c r="B48">
        <f>IF(ISBLANK(X48),0,IF(X48&gt;=0.65, "BB", "AMZ"))</f>
        <v/>
      </c>
      <c r="C48">
        <f>IF(AND(L48&lt;N48,L48&lt;P48), MIN(L48,K48), IFERROR(SUM(IFERROR(L48*$B$2,0), IFERROR(N48*$C$2,0), IFERROR(P48*$D$2,0))/SUM(IF(L48&gt;0,$B$2,0), IF(N48&gt;0,$C$2,0), IF(P48&gt;0,$D$2,0)), 0))</f>
        <v/>
      </c>
      <c r="D48">
        <f>IF(AND(S48&lt;U48,S48&lt;W48), MIN(S48,R48), IFERROR(SUM(IFERROR(S48*$B$2,0), IFERROR(U48*$C$2,0), IFERROR(W48*$D$2,0))/SUM(IF(S48&gt;0,$B$2,0), IF(U48&gt;0,$C$2,0), IF(W48&gt;0,$D$2,0)), 0))</f>
        <v/>
      </c>
      <c r="E48">
        <f>IF(B48="BB",C48,MIN(C48,D48*(1-$F$2)))</f>
        <v/>
      </c>
      <c r="F48">
        <f>IF(ISBLANK(AL48),1,LEN(AL48)-LEN(SUBSTITUTE(AL48,",",""))+1)</f>
        <v/>
      </c>
      <c r="G48">
        <f>IF(F48=1,1,IF(OR(ISBLANK(AN48),AN48=0),"Manual",AN48/MAX(SUMIF($AK:$AK,AM48,$AL:$AL),1)))</f>
        <v/>
      </c>
      <c r="H48">
        <f>IF(F48=1, 1, 0)</f>
        <v/>
      </c>
      <c r="I48" s="12" t="n"/>
      <c r="J48" s="12" t="n"/>
      <c r="M48" s="16" t="n"/>
      <c r="O48" s="16" t="n"/>
      <c r="T48" s="16" t="n"/>
      <c r="V48" s="16" t="n"/>
      <c r="X48" s="16" t="n"/>
      <c r="Y48" s="14" t="n"/>
      <c r="Z48" s="14" t="n"/>
      <c r="AA48" s="16" t="n"/>
      <c r="AB48" s="14" t="n"/>
      <c r="AC48" s="16" t="n"/>
      <c r="AD48" s="14" t="n"/>
      <c r="AE48" s="14" t="n"/>
      <c r="AF48" s="14" t="n"/>
      <c r="AG48" s="14" t="n"/>
      <c r="AH48" s="14" t="n"/>
      <c r="AL48" s="12" t="n"/>
      <c r="AM48" s="12" t="n"/>
      <c r="AP48" s="14" t="n"/>
      <c r="AR48" s="14" t="n"/>
      <c r="AT48" s="15" t="n"/>
      <c r="AU48" s="15" t="n"/>
      <c r="AV48" s="16" t="n"/>
    </row>
    <row r="49">
      <c r="A49" s="12" t="n"/>
      <c r="B49">
        <f>IF(ISBLANK(X49),0,IF(X49&gt;=0.65, "BB", "AMZ"))</f>
        <v/>
      </c>
      <c r="C49">
        <f>IF(AND(L49&lt;N49,L49&lt;P49), MIN(L49,K49), IFERROR(SUM(IFERROR(L49*$B$2,0), IFERROR(N49*$C$2,0), IFERROR(P49*$D$2,0))/SUM(IF(L49&gt;0,$B$2,0), IF(N49&gt;0,$C$2,0), IF(P49&gt;0,$D$2,0)), 0))</f>
        <v/>
      </c>
      <c r="D49">
        <f>IF(AND(S49&lt;U49,S49&lt;W49), MIN(S49,R49), IFERROR(SUM(IFERROR(S49*$B$2,0), IFERROR(U49*$C$2,0), IFERROR(W49*$D$2,0))/SUM(IF(S49&gt;0,$B$2,0), IF(U49&gt;0,$C$2,0), IF(W49&gt;0,$D$2,0)), 0))</f>
        <v/>
      </c>
      <c r="E49">
        <f>IF(B49="BB",C49,MIN(C49,D49*(1-$F$2)))</f>
        <v/>
      </c>
      <c r="F49">
        <f>IF(ISBLANK(AL49),1,LEN(AL49)-LEN(SUBSTITUTE(AL49,",",""))+1)</f>
        <v/>
      </c>
      <c r="G49">
        <f>IF(F49=1,1,IF(OR(ISBLANK(AN49),AN49=0),"Manual",AN49/MAX(SUMIF($AK:$AK,AM49,$AL:$AL),1)))</f>
        <v/>
      </c>
      <c r="H49">
        <f>IF(F49=1, 1, 0)</f>
        <v/>
      </c>
      <c r="I49" s="12" t="n"/>
      <c r="J49" s="12" t="n"/>
      <c r="M49" s="16" t="n"/>
      <c r="O49" s="16" t="n"/>
      <c r="T49" s="16" t="n"/>
      <c r="V49" s="16" t="n"/>
      <c r="X49" s="16" t="n"/>
      <c r="Y49" s="14" t="n"/>
      <c r="Z49" s="14" t="n"/>
      <c r="AA49" s="16" t="n"/>
      <c r="AB49" s="14" t="n"/>
      <c r="AC49" s="16" t="n"/>
      <c r="AD49" s="14" t="n"/>
      <c r="AE49" s="14" t="n"/>
      <c r="AF49" s="14" t="n"/>
      <c r="AG49" s="14" t="n"/>
      <c r="AH49" s="14" t="n"/>
      <c r="AL49" s="12" t="n"/>
      <c r="AM49" s="12" t="n"/>
      <c r="AP49" s="14" t="n"/>
      <c r="AR49" s="14" t="n"/>
      <c r="AT49" s="15" t="n"/>
      <c r="AU49" s="15" t="n"/>
      <c r="AV49" s="16" t="n"/>
    </row>
    <row r="50">
      <c r="A50" s="12" t="n"/>
      <c r="B50">
        <f>IF(ISBLANK(X50),0,IF(X50&gt;=0.65, "BB", "AMZ"))</f>
        <v/>
      </c>
      <c r="C50">
        <f>IF(AND(L50&lt;N50,L50&lt;P50), MIN(L50,K50), IFERROR(SUM(IFERROR(L50*$B$2,0), IFERROR(N50*$C$2,0), IFERROR(P50*$D$2,0))/SUM(IF(L50&gt;0,$B$2,0), IF(N50&gt;0,$C$2,0), IF(P50&gt;0,$D$2,0)), 0))</f>
        <v/>
      </c>
      <c r="D50">
        <f>IF(AND(S50&lt;U50,S50&lt;W50), MIN(S50,R50), IFERROR(SUM(IFERROR(S50*$B$2,0), IFERROR(U50*$C$2,0), IFERROR(W50*$D$2,0))/SUM(IF(S50&gt;0,$B$2,0), IF(U50&gt;0,$C$2,0), IF(W50&gt;0,$D$2,0)), 0))</f>
        <v/>
      </c>
      <c r="E50">
        <f>IF(B50="BB",C50,MIN(C50,D50*(1-$F$2)))</f>
        <v/>
      </c>
      <c r="F50">
        <f>IF(ISBLANK(AL50),1,LEN(AL50)-LEN(SUBSTITUTE(AL50,",",""))+1)</f>
        <v/>
      </c>
      <c r="G50">
        <f>IF(F50=1,1,IF(OR(ISBLANK(AN50),AN50=0),"Manual",AN50/MAX(SUMIF($AK:$AK,AM50,$AL:$AL),1)))</f>
        <v/>
      </c>
      <c r="H50">
        <f>IF(F50=1, 1, 0)</f>
        <v/>
      </c>
      <c r="I50" s="12" t="n"/>
      <c r="J50" s="12" t="n"/>
      <c r="M50" s="16" t="n"/>
      <c r="O50" s="16" t="n"/>
      <c r="T50" s="16" t="n"/>
      <c r="V50" s="16" t="n"/>
      <c r="X50" s="16" t="n"/>
      <c r="Y50" s="14" t="n"/>
      <c r="Z50" s="14" t="n"/>
      <c r="AA50" s="16" t="n"/>
      <c r="AB50" s="14" t="n"/>
      <c r="AC50" s="16" t="n"/>
      <c r="AD50" s="14" t="n"/>
      <c r="AE50" s="14" t="n"/>
      <c r="AF50" s="14" t="n"/>
      <c r="AG50" s="14" t="n"/>
      <c r="AH50" s="14" t="n"/>
      <c r="AL50" s="12" t="n"/>
      <c r="AM50" s="12" t="n"/>
      <c r="AP50" s="14" t="n"/>
      <c r="AR50" s="14" t="n"/>
      <c r="AT50" s="15" t="n"/>
      <c r="AU50" s="15" t="n"/>
      <c r="AV50" s="16" t="n"/>
    </row>
    <row r="51">
      <c r="A51" s="12" t="n"/>
      <c r="B51">
        <f>IF(ISBLANK(X51),0,IF(X51&gt;=0.65, "BB", "AMZ"))</f>
        <v/>
      </c>
      <c r="C51">
        <f>IF(AND(L51&lt;N51,L51&lt;P51), MIN(L51,K51), IFERROR(SUM(IFERROR(L51*$B$2,0), IFERROR(N51*$C$2,0), IFERROR(P51*$D$2,0))/SUM(IF(L51&gt;0,$B$2,0), IF(N51&gt;0,$C$2,0), IF(P51&gt;0,$D$2,0)), 0))</f>
        <v/>
      </c>
      <c r="D51">
        <f>IF(AND(S51&lt;U51,S51&lt;W51), MIN(S51,R51), IFERROR(SUM(IFERROR(S51*$B$2,0), IFERROR(U51*$C$2,0), IFERROR(W51*$D$2,0))/SUM(IF(S51&gt;0,$B$2,0), IF(U51&gt;0,$C$2,0), IF(W51&gt;0,$D$2,0)), 0))</f>
        <v/>
      </c>
      <c r="E51">
        <f>IF(B51="BB",C51,MIN(C51,D51*(1-$F$2)))</f>
        <v/>
      </c>
      <c r="F51">
        <f>IF(ISBLANK(AL51),1,LEN(AL51)-LEN(SUBSTITUTE(AL51,",",""))+1)</f>
        <v/>
      </c>
      <c r="G51">
        <f>IF(F51=1,1,IF(OR(ISBLANK(AN51),AN51=0),"Manual",AN51/MAX(SUMIF($AK:$AK,AM51,$AL:$AL),1)))</f>
        <v/>
      </c>
      <c r="H51">
        <f>IF(F51=1, 1, 0)</f>
        <v/>
      </c>
      <c r="I51" s="12" t="n"/>
      <c r="J51" s="12" t="n"/>
      <c r="M51" s="16" t="n"/>
      <c r="O51" s="16" t="n"/>
      <c r="T51" s="16" t="n"/>
      <c r="V51" s="16" t="n"/>
      <c r="X51" s="16" t="n"/>
      <c r="Y51" s="14" t="n"/>
      <c r="Z51" s="14" t="n"/>
      <c r="AA51" s="16" t="n"/>
      <c r="AB51" s="14" t="n"/>
      <c r="AC51" s="16" t="n"/>
      <c r="AD51" s="14" t="n"/>
      <c r="AE51" s="14" t="n"/>
      <c r="AF51" s="14" t="n"/>
      <c r="AG51" s="14" t="n"/>
      <c r="AH51" s="14" t="n"/>
      <c r="AL51" s="12" t="n"/>
      <c r="AM51" s="12" t="n"/>
      <c r="AP51" s="14" t="n"/>
      <c r="AR51" s="14" t="n"/>
      <c r="AT51" s="15" t="n"/>
      <c r="AU51" s="15" t="n"/>
      <c r="AV51" s="16" t="n"/>
    </row>
    <row r="52">
      <c r="A52" s="12" t="n"/>
      <c r="B52">
        <f>IF(ISBLANK(X52),0,IF(X52&gt;=0.65, "BB", "AMZ"))</f>
        <v/>
      </c>
      <c r="C52">
        <f>IF(AND(L52&lt;N52,L52&lt;P52), MIN(L52,K52), IFERROR(SUM(IFERROR(L52*$B$2,0), IFERROR(N52*$C$2,0), IFERROR(P52*$D$2,0))/SUM(IF(L52&gt;0,$B$2,0), IF(N52&gt;0,$C$2,0), IF(P52&gt;0,$D$2,0)), 0))</f>
        <v/>
      </c>
      <c r="D52">
        <f>IF(AND(S52&lt;U52,S52&lt;W52), MIN(S52,R52), IFERROR(SUM(IFERROR(S52*$B$2,0), IFERROR(U52*$C$2,0), IFERROR(W52*$D$2,0))/SUM(IF(S52&gt;0,$B$2,0), IF(U52&gt;0,$C$2,0), IF(W52&gt;0,$D$2,0)), 0))</f>
        <v/>
      </c>
      <c r="E52">
        <f>IF(B52="BB",C52,MIN(C52,D52*(1-$F$2)))</f>
        <v/>
      </c>
      <c r="F52">
        <f>IF(ISBLANK(AL52),1,LEN(AL52)-LEN(SUBSTITUTE(AL52,",",""))+1)</f>
        <v/>
      </c>
      <c r="G52">
        <f>IF(F52=1,1,IF(OR(ISBLANK(AN52),AN52=0),"Manual",AN52/MAX(SUMIF($AK:$AK,AM52,$AL:$AL),1)))</f>
        <v/>
      </c>
      <c r="H52">
        <f>IF(F52=1, 1, 0)</f>
        <v/>
      </c>
      <c r="I52" s="12" t="n"/>
      <c r="J52" s="12" t="n"/>
      <c r="M52" s="16" t="n"/>
      <c r="O52" s="16" t="n"/>
      <c r="T52" s="16" t="n"/>
      <c r="V52" s="16" t="n"/>
      <c r="X52" s="16" t="n"/>
      <c r="Y52" s="14" t="n"/>
      <c r="Z52" s="14" t="n"/>
      <c r="AA52" s="16" t="n"/>
      <c r="AB52" s="14" t="n"/>
      <c r="AC52" s="16" t="n"/>
      <c r="AD52" s="14" t="n"/>
      <c r="AE52" s="14" t="n"/>
      <c r="AF52" s="14" t="n"/>
      <c r="AG52" s="14" t="n"/>
      <c r="AH52" s="14" t="n"/>
      <c r="AL52" s="12" t="n"/>
      <c r="AM52" s="12" t="n"/>
      <c r="AP52" s="14" t="n"/>
      <c r="AR52" s="14" t="n"/>
      <c r="AT52" s="15" t="n"/>
      <c r="AU52" s="15" t="n"/>
      <c r="AV52" s="16" t="n"/>
    </row>
    <row r="53">
      <c r="A53" s="12" t="n"/>
      <c r="B53">
        <f>IF(ISBLANK(X53),0,IF(X53&gt;=0.65, "BB", "AMZ"))</f>
        <v/>
      </c>
      <c r="C53">
        <f>IF(AND(L53&lt;N53,L53&lt;P53), MIN(L53,K53), IFERROR(SUM(IFERROR(L53*$B$2,0), IFERROR(N53*$C$2,0), IFERROR(P53*$D$2,0))/SUM(IF(L53&gt;0,$B$2,0), IF(N53&gt;0,$C$2,0), IF(P53&gt;0,$D$2,0)), 0))</f>
        <v/>
      </c>
      <c r="D53">
        <f>IF(AND(S53&lt;U53,S53&lt;W53), MIN(S53,R53), IFERROR(SUM(IFERROR(S53*$B$2,0), IFERROR(U53*$C$2,0), IFERROR(W53*$D$2,0))/SUM(IF(S53&gt;0,$B$2,0), IF(U53&gt;0,$C$2,0), IF(W53&gt;0,$D$2,0)), 0))</f>
        <v/>
      </c>
      <c r="E53">
        <f>IF(B53="BB",C53,MIN(C53,D53*(1-$F$2)))</f>
        <v/>
      </c>
      <c r="F53">
        <f>IF(ISBLANK(AL53),1,LEN(AL53)-LEN(SUBSTITUTE(AL53,",",""))+1)</f>
        <v/>
      </c>
      <c r="G53">
        <f>IF(F53=1,1,IF(OR(ISBLANK(AN53),AN53=0),"Manual",AN53/MAX(SUMIF($AK:$AK,AM53,$AL:$AL),1)))</f>
        <v/>
      </c>
      <c r="H53">
        <f>IF(F53=1, 1, 0)</f>
        <v/>
      </c>
      <c r="I53" s="12" t="n"/>
      <c r="J53" s="12" t="n"/>
      <c r="M53" s="16" t="n"/>
      <c r="O53" s="16" t="n"/>
      <c r="T53" s="16" t="n"/>
      <c r="V53" s="16" t="n"/>
      <c r="X53" s="16" t="n"/>
      <c r="Y53" s="14" t="n"/>
      <c r="Z53" s="14" t="n"/>
      <c r="AA53" s="16" t="n"/>
      <c r="AB53" s="14" t="n"/>
      <c r="AC53" s="16" t="n"/>
      <c r="AD53" s="14" t="n"/>
      <c r="AE53" s="14" t="n"/>
      <c r="AF53" s="14" t="n"/>
      <c r="AG53" s="14" t="n"/>
      <c r="AH53" s="14" t="n"/>
      <c r="AL53" s="12" t="n"/>
      <c r="AM53" s="12" t="n"/>
      <c r="AP53" s="14" t="n"/>
      <c r="AR53" s="14" t="n"/>
      <c r="AT53" s="15" t="n"/>
      <c r="AU53" s="15" t="n"/>
      <c r="AV53" s="16" t="n"/>
    </row>
    <row r="54">
      <c r="A54" s="12" t="n"/>
      <c r="B54">
        <f>IF(ISBLANK(X54),0,IF(X54&gt;=0.65, "BB", "AMZ"))</f>
        <v/>
      </c>
      <c r="C54">
        <f>IF(AND(L54&lt;N54,L54&lt;P54), MIN(L54,K54), IFERROR(SUM(IFERROR(L54*$B$2,0), IFERROR(N54*$C$2,0), IFERROR(P54*$D$2,0))/SUM(IF(L54&gt;0,$B$2,0), IF(N54&gt;0,$C$2,0), IF(P54&gt;0,$D$2,0)), 0))</f>
        <v/>
      </c>
      <c r="D54">
        <f>IF(AND(S54&lt;U54,S54&lt;W54), MIN(S54,R54), IFERROR(SUM(IFERROR(S54*$B$2,0), IFERROR(U54*$C$2,0), IFERROR(W54*$D$2,0))/SUM(IF(S54&gt;0,$B$2,0), IF(U54&gt;0,$C$2,0), IF(W54&gt;0,$D$2,0)), 0))</f>
        <v/>
      </c>
      <c r="E54">
        <f>IF(B54="BB",C54,MIN(C54,D54*(1-$F$2)))</f>
        <v/>
      </c>
      <c r="F54">
        <f>IF(ISBLANK(AL54),1,LEN(AL54)-LEN(SUBSTITUTE(AL54,",",""))+1)</f>
        <v/>
      </c>
      <c r="G54">
        <f>IF(F54=1,1,IF(OR(ISBLANK(AN54),AN54=0),"Manual",AN54/MAX(SUMIF($AK:$AK,AM54,$AL:$AL),1)))</f>
        <v/>
      </c>
      <c r="H54">
        <f>IF(F54=1, 1, 0)</f>
        <v/>
      </c>
      <c r="I54" s="12" t="n"/>
      <c r="J54" s="12" t="n"/>
      <c r="M54" s="16" t="n"/>
      <c r="O54" s="16" t="n"/>
      <c r="T54" s="16" t="n"/>
      <c r="V54" s="16" t="n"/>
      <c r="X54" s="16" t="n"/>
      <c r="Y54" s="14" t="n"/>
      <c r="Z54" s="14" t="n"/>
      <c r="AA54" s="16" t="n"/>
      <c r="AB54" s="14" t="n"/>
      <c r="AC54" s="16" t="n"/>
      <c r="AD54" s="14" t="n"/>
      <c r="AE54" s="14" t="n"/>
      <c r="AF54" s="14" t="n"/>
      <c r="AG54" s="14" t="n"/>
      <c r="AH54" s="14" t="n"/>
      <c r="AL54" s="12" t="n"/>
      <c r="AM54" s="12" t="n"/>
      <c r="AP54" s="14" t="n"/>
      <c r="AR54" s="14" t="n"/>
      <c r="AT54" s="15" t="n"/>
      <c r="AU54" s="15" t="n"/>
      <c r="AV54" s="16" t="n"/>
    </row>
    <row r="55">
      <c r="A55" s="12" t="n"/>
      <c r="B55">
        <f>IF(ISBLANK(X55),0,IF(X55&gt;=0.65, "BB", "AMZ"))</f>
        <v/>
      </c>
      <c r="C55">
        <f>IF(AND(L55&lt;N55,L55&lt;P55), MIN(L55,K55), IFERROR(SUM(IFERROR(L55*$B$2,0), IFERROR(N55*$C$2,0), IFERROR(P55*$D$2,0))/SUM(IF(L55&gt;0,$B$2,0), IF(N55&gt;0,$C$2,0), IF(P55&gt;0,$D$2,0)), 0))</f>
        <v/>
      </c>
      <c r="D55">
        <f>IF(AND(S55&lt;U55,S55&lt;W55), MIN(S55,R55), IFERROR(SUM(IFERROR(S55*$B$2,0), IFERROR(U55*$C$2,0), IFERROR(W55*$D$2,0))/SUM(IF(S55&gt;0,$B$2,0), IF(U55&gt;0,$C$2,0), IF(W55&gt;0,$D$2,0)), 0))</f>
        <v/>
      </c>
      <c r="E55">
        <f>IF(B55="BB",C55,MIN(C55,D55*(1-$F$2)))</f>
        <v/>
      </c>
      <c r="F55">
        <f>IF(ISBLANK(AL55),1,LEN(AL55)-LEN(SUBSTITUTE(AL55,",",""))+1)</f>
        <v/>
      </c>
      <c r="G55">
        <f>IF(F55=1,1,IF(OR(ISBLANK(AN55),AN55=0),"Manual",AN55/MAX(SUMIF($AK:$AK,AM55,$AL:$AL),1)))</f>
        <v/>
      </c>
      <c r="H55">
        <f>IF(F55=1, 1, 0)</f>
        <v/>
      </c>
      <c r="I55" s="12" t="n"/>
      <c r="J55" s="12" t="n"/>
      <c r="M55" s="16" t="n"/>
      <c r="O55" s="16" t="n"/>
      <c r="T55" s="16" t="n"/>
      <c r="V55" s="16" t="n"/>
      <c r="X55" s="16" t="n"/>
      <c r="Y55" s="14" t="n"/>
      <c r="Z55" s="14" t="n"/>
      <c r="AA55" s="16" t="n"/>
      <c r="AB55" s="14" t="n"/>
      <c r="AC55" s="16" t="n"/>
      <c r="AD55" s="14" t="n"/>
      <c r="AE55" s="14" t="n"/>
      <c r="AF55" s="14" t="n"/>
      <c r="AG55" s="14" t="n"/>
      <c r="AH55" s="14" t="n"/>
      <c r="AL55" s="12" t="n"/>
      <c r="AM55" s="12" t="n"/>
      <c r="AP55" s="14" t="n"/>
      <c r="AR55" s="14" t="n"/>
      <c r="AT55" s="15" t="n"/>
      <c r="AU55" s="15" t="n"/>
      <c r="AV55" s="16" t="n"/>
    </row>
    <row r="56">
      <c r="A56" s="12" t="n"/>
      <c r="B56">
        <f>IF(ISBLANK(X56),0,IF(X56&gt;=0.65, "BB", "AMZ"))</f>
        <v/>
      </c>
      <c r="C56">
        <f>IF(AND(L56&lt;N56,L56&lt;P56), MIN(L56,K56), IFERROR(SUM(IFERROR(L56*$B$2,0), IFERROR(N56*$C$2,0), IFERROR(P56*$D$2,0))/SUM(IF(L56&gt;0,$B$2,0), IF(N56&gt;0,$C$2,0), IF(P56&gt;0,$D$2,0)), 0))</f>
        <v/>
      </c>
      <c r="D56">
        <f>IF(AND(S56&lt;U56,S56&lt;W56), MIN(S56,R56), IFERROR(SUM(IFERROR(S56*$B$2,0), IFERROR(U56*$C$2,0), IFERROR(W56*$D$2,0))/SUM(IF(S56&gt;0,$B$2,0), IF(U56&gt;0,$C$2,0), IF(W56&gt;0,$D$2,0)), 0))</f>
        <v/>
      </c>
      <c r="E56">
        <f>IF(B56="BB",C56,MIN(C56,D56*(1-$F$2)))</f>
        <v/>
      </c>
      <c r="F56">
        <f>IF(ISBLANK(AL56),1,LEN(AL56)-LEN(SUBSTITUTE(AL56,",",""))+1)</f>
        <v/>
      </c>
      <c r="G56">
        <f>IF(F56=1,1,IF(OR(ISBLANK(AN56),AN56=0),"Manual",AN56/MAX(SUMIF($AK:$AK,AM56,$AL:$AL),1)))</f>
        <v/>
      </c>
      <c r="H56">
        <f>IF(F56=1, 1, 0)</f>
        <v/>
      </c>
      <c r="I56" s="12" t="n"/>
      <c r="J56" s="12" t="n"/>
      <c r="M56" s="16" t="n"/>
      <c r="O56" s="16" t="n"/>
      <c r="T56" s="16" t="n"/>
      <c r="V56" s="16" t="n"/>
      <c r="X56" s="16" t="n"/>
      <c r="Y56" s="14" t="n"/>
      <c r="Z56" s="14" t="n"/>
      <c r="AA56" s="16" t="n"/>
      <c r="AB56" s="14" t="n"/>
      <c r="AC56" s="16" t="n"/>
      <c r="AD56" s="14" t="n"/>
      <c r="AE56" s="14" t="n"/>
      <c r="AF56" s="14" t="n"/>
      <c r="AG56" s="14" t="n"/>
      <c r="AH56" s="14" t="n"/>
      <c r="AL56" s="12" t="n"/>
      <c r="AM56" s="12" t="n"/>
      <c r="AP56" s="14" t="n"/>
      <c r="AR56" s="14" t="n"/>
      <c r="AT56" s="15" t="n"/>
      <c r="AU56" s="15" t="n"/>
      <c r="AV56" s="16" t="n"/>
    </row>
    <row r="57">
      <c r="A57" s="12" t="n"/>
      <c r="B57">
        <f>IF(ISBLANK(X57),0,IF(X57&gt;=0.65, "BB", "AMZ"))</f>
        <v/>
      </c>
      <c r="C57">
        <f>IF(AND(L57&lt;N57,L57&lt;P57), MIN(L57,K57), IFERROR(SUM(IFERROR(L57*$B$2,0), IFERROR(N57*$C$2,0), IFERROR(P57*$D$2,0))/SUM(IF(L57&gt;0,$B$2,0), IF(N57&gt;0,$C$2,0), IF(P57&gt;0,$D$2,0)), 0))</f>
        <v/>
      </c>
      <c r="D57">
        <f>IF(AND(S57&lt;U57,S57&lt;W57), MIN(S57,R57), IFERROR(SUM(IFERROR(S57*$B$2,0), IFERROR(U57*$C$2,0), IFERROR(W57*$D$2,0))/SUM(IF(S57&gt;0,$B$2,0), IF(U57&gt;0,$C$2,0), IF(W57&gt;0,$D$2,0)), 0))</f>
        <v/>
      </c>
      <c r="E57">
        <f>IF(B57="BB",C57,MIN(C57,D57*(1-$F$2)))</f>
        <v/>
      </c>
      <c r="F57">
        <f>IF(ISBLANK(AL57),1,LEN(AL57)-LEN(SUBSTITUTE(AL57,",",""))+1)</f>
        <v/>
      </c>
      <c r="G57">
        <f>IF(F57=1,1,IF(OR(ISBLANK(AN57),AN57=0),"Manual",AN57/MAX(SUMIF($AK:$AK,AM57,$AL:$AL),1)))</f>
        <v/>
      </c>
      <c r="H57">
        <f>IF(F57=1, 1, 0)</f>
        <v/>
      </c>
      <c r="I57" s="12" t="n"/>
      <c r="J57" s="12" t="n"/>
      <c r="M57" s="16" t="n"/>
      <c r="O57" s="16" t="n"/>
      <c r="T57" s="16" t="n"/>
      <c r="V57" s="16" t="n"/>
      <c r="X57" s="16" t="n"/>
      <c r="Y57" s="14" t="n"/>
      <c r="Z57" s="14" t="n"/>
      <c r="AA57" s="16" t="n"/>
      <c r="AB57" s="14" t="n"/>
      <c r="AC57" s="16" t="n"/>
      <c r="AD57" s="14" t="n"/>
      <c r="AE57" s="14" t="n"/>
      <c r="AF57" s="14" t="n"/>
      <c r="AG57" s="14" t="n"/>
      <c r="AH57" s="14" t="n"/>
      <c r="AL57" s="12" t="n"/>
      <c r="AM57" s="12" t="n"/>
      <c r="AP57" s="14" t="n"/>
      <c r="AR57" s="14" t="n"/>
      <c r="AT57" s="15" t="n"/>
      <c r="AU57" s="15" t="n"/>
      <c r="AV57" s="16" t="n"/>
    </row>
    <row r="58">
      <c r="A58" s="12" t="n"/>
      <c r="B58">
        <f>IF(ISBLANK(X58),0,IF(X58&gt;=0.65, "BB", "AMZ"))</f>
        <v/>
      </c>
      <c r="C58">
        <f>IF(AND(L58&lt;N58,L58&lt;P58), MIN(L58,K58), IFERROR(SUM(IFERROR(L58*$B$2,0), IFERROR(N58*$C$2,0), IFERROR(P58*$D$2,0))/SUM(IF(L58&gt;0,$B$2,0), IF(N58&gt;0,$C$2,0), IF(P58&gt;0,$D$2,0)), 0))</f>
        <v/>
      </c>
      <c r="D58">
        <f>IF(AND(S58&lt;U58,S58&lt;W58), MIN(S58,R58), IFERROR(SUM(IFERROR(S58*$B$2,0), IFERROR(U58*$C$2,0), IFERROR(W58*$D$2,0))/SUM(IF(S58&gt;0,$B$2,0), IF(U58&gt;0,$C$2,0), IF(W58&gt;0,$D$2,0)), 0))</f>
        <v/>
      </c>
      <c r="E58">
        <f>IF(B58="BB",C58,MIN(C58,D58*(1-$F$2)))</f>
        <v/>
      </c>
      <c r="F58">
        <f>IF(ISBLANK(AL58),1,LEN(AL58)-LEN(SUBSTITUTE(AL58,",",""))+1)</f>
        <v/>
      </c>
      <c r="G58">
        <f>IF(F58=1,1,IF(OR(ISBLANK(AN58),AN58=0),"Manual",AN58/MAX(SUMIF($AK:$AK,AM58,$AL:$AL),1)))</f>
        <v/>
      </c>
      <c r="H58">
        <f>IF(F58=1, 1, 0)</f>
        <v/>
      </c>
      <c r="I58" s="12" t="n"/>
      <c r="J58" s="12" t="n"/>
      <c r="M58" s="16" t="n"/>
      <c r="O58" s="16" t="n"/>
      <c r="T58" s="16" t="n"/>
      <c r="V58" s="16" t="n"/>
      <c r="X58" s="16" t="n"/>
      <c r="Y58" s="14" t="n"/>
      <c r="Z58" s="14" t="n"/>
      <c r="AA58" s="16" t="n"/>
      <c r="AB58" s="14" t="n"/>
      <c r="AC58" s="16" t="n"/>
      <c r="AD58" s="14" t="n"/>
      <c r="AE58" s="14" t="n"/>
      <c r="AF58" s="14" t="n"/>
      <c r="AG58" s="14" t="n"/>
      <c r="AH58" s="14" t="n"/>
      <c r="AL58" s="12" t="n"/>
      <c r="AM58" s="12" t="n"/>
      <c r="AP58" s="14" t="n"/>
      <c r="AR58" s="14" t="n"/>
      <c r="AT58" s="15" t="n"/>
      <c r="AU58" s="15" t="n"/>
      <c r="AV58" s="16" t="n"/>
    </row>
    <row r="59">
      <c r="A59" s="12" t="n"/>
      <c r="B59">
        <f>IF(ISBLANK(X59),0,IF(X59&gt;=0.65, "BB", "AMZ"))</f>
        <v/>
      </c>
      <c r="C59">
        <f>IF(AND(L59&lt;N59,L59&lt;P59), MIN(L59,K59), IFERROR(SUM(IFERROR(L59*$B$2,0), IFERROR(N59*$C$2,0), IFERROR(P59*$D$2,0))/SUM(IF(L59&gt;0,$B$2,0), IF(N59&gt;0,$C$2,0), IF(P59&gt;0,$D$2,0)), 0))</f>
        <v/>
      </c>
      <c r="D59">
        <f>IF(AND(S59&lt;U59,S59&lt;W59), MIN(S59,R59), IFERROR(SUM(IFERROR(S59*$B$2,0), IFERROR(U59*$C$2,0), IFERROR(W59*$D$2,0))/SUM(IF(S59&gt;0,$B$2,0), IF(U59&gt;0,$C$2,0), IF(W59&gt;0,$D$2,0)), 0))</f>
        <v/>
      </c>
      <c r="E59">
        <f>IF(B59="BB",C59,MIN(C59,D59*(1-$F$2)))</f>
        <v/>
      </c>
      <c r="F59">
        <f>IF(ISBLANK(AL59),1,LEN(AL59)-LEN(SUBSTITUTE(AL59,",",""))+1)</f>
        <v/>
      </c>
      <c r="G59">
        <f>IF(F59=1,1,IF(OR(ISBLANK(AN59),AN59=0),"Manual",AN59/MAX(SUMIF($AK:$AK,AM59,$AL:$AL),1)))</f>
        <v/>
      </c>
      <c r="H59">
        <f>IF(F59=1, 1, 0)</f>
        <v/>
      </c>
      <c r="I59" s="12" t="n"/>
      <c r="J59" s="12" t="n"/>
      <c r="M59" s="16" t="n"/>
      <c r="O59" s="16" t="n"/>
      <c r="T59" s="16" t="n"/>
      <c r="V59" s="16" t="n"/>
      <c r="X59" s="16" t="n"/>
      <c r="Y59" s="14" t="n"/>
      <c r="Z59" s="14" t="n"/>
      <c r="AA59" s="16" t="n"/>
      <c r="AB59" s="14" t="n"/>
      <c r="AC59" s="16" t="n"/>
      <c r="AD59" s="14" t="n"/>
      <c r="AE59" s="14" t="n"/>
      <c r="AF59" s="14" t="n"/>
      <c r="AG59" s="14" t="n"/>
      <c r="AH59" s="14" t="n"/>
      <c r="AL59" s="12" t="n"/>
      <c r="AM59" s="12" t="n"/>
      <c r="AP59" s="14" t="n"/>
      <c r="AR59" s="14" t="n"/>
      <c r="AT59" s="15" t="n"/>
      <c r="AU59" s="15" t="n"/>
      <c r="AV59" s="16" t="n"/>
    </row>
    <row r="60">
      <c r="A60" s="12" t="n"/>
      <c r="B60">
        <f>IF(ISBLANK(X60),0,IF(X60&gt;=0.65, "BB", "AMZ"))</f>
        <v/>
      </c>
      <c r="C60">
        <f>IF(AND(L60&lt;N60,L60&lt;P60), MIN(L60,K60), IFERROR(SUM(IFERROR(L60*$B$2,0), IFERROR(N60*$C$2,0), IFERROR(P60*$D$2,0))/SUM(IF(L60&gt;0,$B$2,0), IF(N60&gt;0,$C$2,0), IF(P60&gt;0,$D$2,0)), 0))</f>
        <v/>
      </c>
      <c r="D60">
        <f>IF(AND(S60&lt;U60,S60&lt;W60), MIN(S60,R60), IFERROR(SUM(IFERROR(S60*$B$2,0), IFERROR(U60*$C$2,0), IFERROR(W60*$D$2,0))/SUM(IF(S60&gt;0,$B$2,0), IF(U60&gt;0,$C$2,0), IF(W60&gt;0,$D$2,0)), 0))</f>
        <v/>
      </c>
      <c r="E60">
        <f>IF(B60="BB",C60,MIN(C60,D60*(1-$F$2)))</f>
        <v/>
      </c>
      <c r="F60">
        <f>IF(ISBLANK(AL60),1,LEN(AL60)-LEN(SUBSTITUTE(AL60,",",""))+1)</f>
        <v/>
      </c>
      <c r="G60">
        <f>IF(F60=1,1,IF(OR(ISBLANK(AN60),AN60=0),"Manual",AN60/MAX(SUMIF($AK:$AK,AM60,$AL:$AL),1)))</f>
        <v/>
      </c>
      <c r="H60">
        <f>IF(F60=1, 1, 0)</f>
        <v/>
      </c>
      <c r="I60" s="12" t="n"/>
      <c r="J60" s="12" t="n"/>
      <c r="M60" s="16" t="n"/>
      <c r="O60" s="16" t="n"/>
      <c r="T60" s="16" t="n"/>
      <c r="V60" s="16" t="n"/>
      <c r="X60" s="16" t="n"/>
      <c r="Y60" s="14" t="n"/>
      <c r="Z60" s="14" t="n"/>
      <c r="AA60" s="16" t="n"/>
      <c r="AB60" s="14" t="n"/>
      <c r="AC60" s="16" t="n"/>
      <c r="AD60" s="14" t="n"/>
      <c r="AE60" s="14" t="n"/>
      <c r="AF60" s="14" t="n"/>
      <c r="AG60" s="14" t="n"/>
      <c r="AH60" s="14" t="n"/>
      <c r="AL60" s="12" t="n"/>
      <c r="AM60" s="12" t="n"/>
      <c r="AP60" s="14" t="n"/>
      <c r="AR60" s="14" t="n"/>
      <c r="AT60" s="15" t="n"/>
      <c r="AU60" s="15" t="n"/>
      <c r="AV60" s="16" t="n"/>
    </row>
    <row r="61">
      <c r="A61" s="12" t="n"/>
      <c r="B61">
        <f>IF(ISBLANK(X61),0,IF(X61&gt;=0.65, "BB", "AMZ"))</f>
        <v/>
      </c>
      <c r="C61">
        <f>IF(AND(L61&lt;N61,L61&lt;P61), MIN(L61,K61), IFERROR(SUM(IFERROR(L61*$B$2,0), IFERROR(N61*$C$2,0), IFERROR(P61*$D$2,0))/SUM(IF(L61&gt;0,$B$2,0), IF(N61&gt;0,$C$2,0), IF(P61&gt;0,$D$2,0)), 0))</f>
        <v/>
      </c>
      <c r="D61">
        <f>IF(AND(S61&lt;U61,S61&lt;W61), MIN(S61,R61), IFERROR(SUM(IFERROR(S61*$B$2,0), IFERROR(U61*$C$2,0), IFERROR(W61*$D$2,0))/SUM(IF(S61&gt;0,$B$2,0), IF(U61&gt;0,$C$2,0), IF(W61&gt;0,$D$2,0)), 0))</f>
        <v/>
      </c>
      <c r="E61">
        <f>IF(B61="BB",C61,MIN(C61,D61*(1-$F$2)))</f>
        <v/>
      </c>
      <c r="F61">
        <f>IF(ISBLANK(AL61),1,LEN(AL61)-LEN(SUBSTITUTE(AL61,",",""))+1)</f>
        <v/>
      </c>
      <c r="G61">
        <f>IF(F61=1,1,IF(OR(ISBLANK(AN61),AN61=0),"Manual",AN61/MAX(SUMIF($AK:$AK,AM61,$AL:$AL),1)))</f>
        <v/>
      </c>
      <c r="H61">
        <f>IF(F61=1, 1, 0)</f>
        <v/>
      </c>
      <c r="I61" s="12" t="n"/>
      <c r="J61" s="12" t="n"/>
      <c r="M61" s="16" t="n"/>
      <c r="O61" s="16" t="n"/>
      <c r="T61" s="16" t="n"/>
      <c r="V61" s="16" t="n"/>
      <c r="X61" s="16" t="n"/>
      <c r="Y61" s="14" t="n"/>
      <c r="Z61" s="14" t="n"/>
      <c r="AA61" s="16" t="n"/>
      <c r="AB61" s="14" t="n"/>
      <c r="AC61" s="16" t="n"/>
      <c r="AD61" s="14" t="n"/>
      <c r="AE61" s="14" t="n"/>
      <c r="AF61" s="14" t="n"/>
      <c r="AG61" s="14" t="n"/>
      <c r="AH61" s="14" t="n"/>
      <c r="AL61" s="12" t="n"/>
      <c r="AM61" s="12" t="n"/>
      <c r="AP61" s="14" t="n"/>
      <c r="AR61" s="14" t="n"/>
      <c r="AT61" s="15" t="n"/>
      <c r="AU61" s="15" t="n"/>
      <c r="AV61" s="16" t="n"/>
    </row>
    <row r="62">
      <c r="A62" s="12" t="n"/>
      <c r="B62">
        <f>IF(ISBLANK(X62),0,IF(X62&gt;=0.65, "BB", "AMZ"))</f>
        <v/>
      </c>
      <c r="C62">
        <f>IF(AND(L62&lt;N62,L62&lt;P62), MIN(L62,K62), IFERROR(SUM(IFERROR(L62*$B$2,0), IFERROR(N62*$C$2,0), IFERROR(P62*$D$2,0))/SUM(IF(L62&gt;0,$B$2,0), IF(N62&gt;0,$C$2,0), IF(P62&gt;0,$D$2,0)), 0))</f>
        <v/>
      </c>
      <c r="D62">
        <f>IF(AND(S62&lt;U62,S62&lt;W62), MIN(S62,R62), IFERROR(SUM(IFERROR(S62*$B$2,0), IFERROR(U62*$C$2,0), IFERROR(W62*$D$2,0))/SUM(IF(S62&gt;0,$B$2,0), IF(U62&gt;0,$C$2,0), IF(W62&gt;0,$D$2,0)), 0))</f>
        <v/>
      </c>
      <c r="E62">
        <f>IF(B62="BB",C62,MIN(C62,D62*(1-$F$2)))</f>
        <v/>
      </c>
      <c r="F62">
        <f>IF(ISBLANK(AL62),1,LEN(AL62)-LEN(SUBSTITUTE(AL62,",",""))+1)</f>
        <v/>
      </c>
      <c r="G62">
        <f>IF(F62=1,1,IF(OR(ISBLANK(AN62),AN62=0),"Manual",AN62/MAX(SUMIF($AK:$AK,AM62,$AL:$AL),1)))</f>
        <v/>
      </c>
      <c r="H62">
        <f>IF(F62=1, 1, 0)</f>
        <v/>
      </c>
      <c r="I62" s="12" t="n"/>
      <c r="J62" s="12" t="n"/>
      <c r="M62" s="16" t="n"/>
      <c r="O62" s="16" t="n"/>
      <c r="T62" s="16" t="n"/>
      <c r="V62" s="16" t="n"/>
      <c r="X62" s="16" t="n"/>
      <c r="Y62" s="14" t="n"/>
      <c r="Z62" s="14" t="n"/>
      <c r="AA62" s="16" t="n"/>
      <c r="AB62" s="14" t="n"/>
      <c r="AC62" s="16" t="n"/>
      <c r="AD62" s="14" t="n"/>
      <c r="AE62" s="14" t="n"/>
      <c r="AF62" s="14" t="n"/>
      <c r="AG62" s="14" t="n"/>
      <c r="AH62" s="14" t="n"/>
      <c r="AL62" s="12" t="n"/>
      <c r="AM62" s="12" t="n"/>
      <c r="AP62" s="14" t="n"/>
      <c r="AR62" s="14" t="n"/>
      <c r="AT62" s="15" t="n"/>
      <c r="AU62" s="15" t="n"/>
      <c r="AV62" s="16" t="n"/>
    </row>
    <row r="63">
      <c r="A63" s="12" t="n"/>
      <c r="B63">
        <f>IF(ISBLANK(X63),0,IF(X63&gt;=0.65, "BB", "AMZ"))</f>
        <v/>
      </c>
      <c r="C63">
        <f>IF(AND(L63&lt;N63,L63&lt;P63), MIN(L63,K63), IFERROR(SUM(IFERROR(L63*$B$2,0), IFERROR(N63*$C$2,0), IFERROR(P63*$D$2,0))/SUM(IF(L63&gt;0,$B$2,0), IF(N63&gt;0,$C$2,0), IF(P63&gt;0,$D$2,0)), 0))</f>
        <v/>
      </c>
      <c r="D63">
        <f>IF(AND(S63&lt;U63,S63&lt;W63), MIN(S63,R63), IFERROR(SUM(IFERROR(S63*$B$2,0), IFERROR(U63*$C$2,0), IFERROR(W63*$D$2,0))/SUM(IF(S63&gt;0,$B$2,0), IF(U63&gt;0,$C$2,0), IF(W63&gt;0,$D$2,0)), 0))</f>
        <v/>
      </c>
      <c r="E63">
        <f>IF(B63="BB",C63,MIN(C63,D63*(1-$F$2)))</f>
        <v/>
      </c>
      <c r="F63">
        <f>IF(ISBLANK(AL63),1,LEN(AL63)-LEN(SUBSTITUTE(AL63,",",""))+1)</f>
        <v/>
      </c>
      <c r="G63">
        <f>IF(F63=1,1,IF(OR(ISBLANK(AN63),AN63=0),"Manual",AN63/MAX(SUMIF($AK:$AK,AM63,$AL:$AL),1)))</f>
        <v/>
      </c>
      <c r="H63">
        <f>IF(F63=1, 1, 0)</f>
        <v/>
      </c>
      <c r="I63" s="12" t="n"/>
      <c r="J63" s="12" t="n"/>
      <c r="M63" s="16" t="n"/>
      <c r="O63" s="16" t="n"/>
      <c r="T63" s="16" t="n"/>
      <c r="V63" s="16" t="n"/>
      <c r="X63" s="16" t="n"/>
      <c r="Y63" s="14" t="n"/>
      <c r="Z63" s="14" t="n"/>
      <c r="AA63" s="16" t="n"/>
      <c r="AB63" s="14" t="n"/>
      <c r="AC63" s="16" t="n"/>
      <c r="AD63" s="14" t="n"/>
      <c r="AE63" s="14" t="n"/>
      <c r="AF63" s="14" t="n"/>
      <c r="AG63" s="14" t="n"/>
      <c r="AH63" s="14" t="n"/>
      <c r="AL63" s="12" t="n"/>
      <c r="AM63" s="12" t="n"/>
      <c r="AP63" s="14" t="n"/>
      <c r="AR63" s="14" t="n"/>
      <c r="AT63" s="15" t="n"/>
      <c r="AU63" s="15" t="n"/>
      <c r="AV63" s="16" t="n"/>
    </row>
    <row r="64">
      <c r="A64" s="12" t="n"/>
      <c r="B64">
        <f>IF(ISBLANK(X64),0,IF(X64&gt;=0.65, "BB", "AMZ"))</f>
        <v/>
      </c>
      <c r="C64">
        <f>IF(AND(L64&lt;N64,L64&lt;P64), MIN(L64,K64), IFERROR(SUM(IFERROR(L64*$B$2,0), IFERROR(N64*$C$2,0), IFERROR(P64*$D$2,0))/SUM(IF(L64&gt;0,$B$2,0), IF(N64&gt;0,$C$2,0), IF(P64&gt;0,$D$2,0)), 0))</f>
        <v/>
      </c>
      <c r="D64">
        <f>IF(AND(S64&lt;U64,S64&lt;W64), MIN(S64,R64), IFERROR(SUM(IFERROR(S64*$B$2,0), IFERROR(U64*$C$2,0), IFERROR(W64*$D$2,0))/SUM(IF(S64&gt;0,$B$2,0), IF(U64&gt;0,$C$2,0), IF(W64&gt;0,$D$2,0)), 0))</f>
        <v/>
      </c>
      <c r="E64">
        <f>IF(B64="BB",C64,MIN(C64,D64*(1-$F$2)))</f>
        <v/>
      </c>
      <c r="F64">
        <f>IF(ISBLANK(AL64),1,LEN(AL64)-LEN(SUBSTITUTE(AL64,",",""))+1)</f>
        <v/>
      </c>
      <c r="G64">
        <f>IF(F64=1,1,IF(OR(ISBLANK(AN64),AN64=0),"Manual",AN64/MAX(SUMIF($AK:$AK,AM64,$AL:$AL),1)))</f>
        <v/>
      </c>
      <c r="H64">
        <f>IF(F64=1, 1, 0)</f>
        <v/>
      </c>
      <c r="I64" s="12" t="n"/>
      <c r="J64" s="12" t="n"/>
      <c r="M64" s="16" t="n"/>
      <c r="O64" s="16" t="n"/>
      <c r="T64" s="16" t="n"/>
      <c r="V64" s="16" t="n"/>
      <c r="X64" s="16" t="n"/>
      <c r="Y64" s="14" t="n"/>
      <c r="Z64" s="14" t="n"/>
      <c r="AA64" s="16" t="n"/>
      <c r="AB64" s="14" t="n"/>
      <c r="AC64" s="16" t="n"/>
      <c r="AD64" s="14" t="n"/>
      <c r="AE64" s="14" t="n"/>
      <c r="AF64" s="14" t="n"/>
      <c r="AG64" s="14" t="n"/>
      <c r="AH64" s="14" t="n"/>
      <c r="AL64" s="12" t="n"/>
      <c r="AM64" s="12" t="n"/>
      <c r="AP64" s="14" t="n"/>
      <c r="AR64" s="14" t="n"/>
      <c r="AT64" s="15" t="n"/>
      <c r="AU64" s="15" t="n"/>
      <c r="AV64" s="16" t="n"/>
    </row>
    <row r="65">
      <c r="A65" s="12" t="n"/>
      <c r="B65">
        <f>IF(ISBLANK(X65),0,IF(X65&gt;=0.65, "BB", "AMZ"))</f>
        <v/>
      </c>
      <c r="C65">
        <f>IF(AND(L65&lt;N65,L65&lt;P65), MIN(L65,K65), IFERROR(SUM(IFERROR(L65*$B$2,0), IFERROR(N65*$C$2,0), IFERROR(P65*$D$2,0))/SUM(IF(L65&gt;0,$B$2,0), IF(N65&gt;0,$C$2,0), IF(P65&gt;0,$D$2,0)), 0))</f>
        <v/>
      </c>
      <c r="D65">
        <f>IF(AND(S65&lt;U65,S65&lt;W65), MIN(S65,R65), IFERROR(SUM(IFERROR(S65*$B$2,0), IFERROR(U65*$C$2,0), IFERROR(W65*$D$2,0))/SUM(IF(S65&gt;0,$B$2,0), IF(U65&gt;0,$C$2,0), IF(W65&gt;0,$D$2,0)), 0))</f>
        <v/>
      </c>
      <c r="E65">
        <f>IF(B65="BB",C65,MIN(C65,D65*(1-$F$2)))</f>
        <v/>
      </c>
      <c r="F65">
        <f>IF(ISBLANK(AL65),1,LEN(AL65)-LEN(SUBSTITUTE(AL65,",",""))+1)</f>
        <v/>
      </c>
      <c r="G65">
        <f>IF(F65=1,1,IF(OR(ISBLANK(AN65),AN65=0),"Manual",AN65/MAX(SUMIF($AK:$AK,AM65,$AL:$AL),1)))</f>
        <v/>
      </c>
      <c r="H65">
        <f>IF(F65=1, 1, 0)</f>
        <v/>
      </c>
      <c r="I65" s="12" t="n"/>
      <c r="J65" s="12" t="n"/>
      <c r="M65" s="16" t="n"/>
      <c r="O65" s="16" t="n"/>
      <c r="T65" s="16" t="n"/>
      <c r="V65" s="16" t="n"/>
      <c r="X65" s="16" t="n"/>
      <c r="Y65" s="14" t="n"/>
      <c r="Z65" s="14" t="n"/>
      <c r="AA65" s="16" t="n"/>
      <c r="AB65" s="14" t="n"/>
      <c r="AC65" s="16" t="n"/>
      <c r="AD65" s="14" t="n"/>
      <c r="AE65" s="14" t="n"/>
      <c r="AF65" s="14" t="n"/>
      <c r="AG65" s="14" t="n"/>
      <c r="AH65" s="14" t="n"/>
      <c r="AL65" s="12" t="n"/>
      <c r="AM65" s="12" t="n"/>
      <c r="AP65" s="14" t="n"/>
      <c r="AR65" s="14" t="n"/>
      <c r="AT65" s="15" t="n"/>
      <c r="AU65" s="15" t="n"/>
      <c r="AV65" s="16" t="n"/>
    </row>
    <row r="66">
      <c r="A66" s="12" t="n"/>
      <c r="B66">
        <f>IF(ISBLANK(X66),0,IF(X66&gt;=0.65, "BB", "AMZ"))</f>
        <v/>
      </c>
      <c r="C66">
        <f>IF(AND(L66&lt;N66,L66&lt;P66), MIN(L66,K66), IFERROR(SUM(IFERROR(L66*$B$2,0), IFERROR(N66*$C$2,0), IFERROR(P66*$D$2,0))/SUM(IF(L66&gt;0,$B$2,0), IF(N66&gt;0,$C$2,0), IF(P66&gt;0,$D$2,0)), 0))</f>
        <v/>
      </c>
      <c r="D66">
        <f>IF(AND(S66&lt;U66,S66&lt;W66), MIN(S66,R66), IFERROR(SUM(IFERROR(S66*$B$2,0), IFERROR(U66*$C$2,0), IFERROR(W66*$D$2,0))/SUM(IF(S66&gt;0,$B$2,0), IF(U66&gt;0,$C$2,0), IF(W66&gt;0,$D$2,0)), 0))</f>
        <v/>
      </c>
      <c r="E66">
        <f>IF(B66="BB",C66,MIN(C66,D66*(1-$F$2)))</f>
        <v/>
      </c>
      <c r="F66">
        <f>IF(ISBLANK(AL66),1,LEN(AL66)-LEN(SUBSTITUTE(AL66,",",""))+1)</f>
        <v/>
      </c>
      <c r="G66">
        <f>IF(F66=1,1,IF(OR(ISBLANK(AN66),AN66=0),"Manual",AN66/MAX(SUMIF($AK:$AK,AM66,$AL:$AL),1)))</f>
        <v/>
      </c>
      <c r="H66">
        <f>IF(F66=1, 1, 0)</f>
        <v/>
      </c>
      <c r="I66" s="12" t="n"/>
      <c r="J66" s="12" t="n"/>
      <c r="M66" s="16" t="n"/>
      <c r="O66" s="16" t="n"/>
      <c r="T66" s="16" t="n"/>
      <c r="V66" s="16" t="n"/>
      <c r="X66" s="16" t="n"/>
      <c r="Y66" s="14" t="n"/>
      <c r="Z66" s="14" t="n"/>
      <c r="AA66" s="16" t="n"/>
      <c r="AB66" s="14" t="n"/>
      <c r="AC66" s="16" t="n"/>
      <c r="AD66" s="14" t="n"/>
      <c r="AE66" s="14" t="n"/>
      <c r="AF66" s="14" t="n"/>
      <c r="AG66" s="14" t="n"/>
      <c r="AH66" s="14" t="n"/>
      <c r="AL66" s="12" t="n"/>
      <c r="AM66" s="12" t="n"/>
      <c r="AP66" s="14" t="n"/>
      <c r="AR66" s="14" t="n"/>
      <c r="AT66" s="15" t="n"/>
      <c r="AU66" s="15" t="n"/>
      <c r="AV66" s="16" t="n"/>
    </row>
    <row r="67">
      <c r="A67" s="12" t="n"/>
      <c r="B67">
        <f>IF(ISBLANK(X67),0,IF(X67&gt;=0.65, "BB", "AMZ"))</f>
        <v/>
      </c>
      <c r="C67">
        <f>IF(AND(L67&lt;N67,L67&lt;P67), MIN(L67,K67), IFERROR(SUM(IFERROR(L67*$B$2,0), IFERROR(N67*$C$2,0), IFERROR(P67*$D$2,0))/SUM(IF(L67&gt;0,$B$2,0), IF(N67&gt;0,$C$2,0), IF(P67&gt;0,$D$2,0)), 0))</f>
        <v/>
      </c>
      <c r="D67">
        <f>IF(AND(S67&lt;U67,S67&lt;W67), MIN(S67,R67), IFERROR(SUM(IFERROR(S67*$B$2,0), IFERROR(U67*$C$2,0), IFERROR(W67*$D$2,0))/SUM(IF(S67&gt;0,$B$2,0), IF(U67&gt;0,$C$2,0), IF(W67&gt;0,$D$2,0)), 0))</f>
        <v/>
      </c>
      <c r="E67">
        <f>IF(B67="BB",C67,MIN(C67,D67*(1-$F$2)))</f>
        <v/>
      </c>
      <c r="F67">
        <f>IF(ISBLANK(AL67),1,LEN(AL67)-LEN(SUBSTITUTE(AL67,",",""))+1)</f>
        <v/>
      </c>
      <c r="G67">
        <f>IF(F67=1,1,IF(OR(ISBLANK(AN67),AN67=0),"Manual",AN67/MAX(SUMIF($AK:$AK,AM67,$AL:$AL),1)))</f>
        <v/>
      </c>
      <c r="H67">
        <f>IF(F67=1, 1, 0)</f>
        <v/>
      </c>
      <c r="I67" s="12" t="n"/>
      <c r="J67" s="12" t="n"/>
      <c r="M67" s="16" t="n"/>
      <c r="O67" s="16" t="n"/>
      <c r="T67" s="16" t="n"/>
      <c r="V67" s="16" t="n"/>
      <c r="X67" s="16" t="n"/>
      <c r="Y67" s="14" t="n"/>
      <c r="Z67" s="14" t="n"/>
      <c r="AA67" s="16" t="n"/>
      <c r="AB67" s="14" t="n"/>
      <c r="AC67" s="16" t="n"/>
      <c r="AD67" s="14" t="n"/>
      <c r="AE67" s="14" t="n"/>
      <c r="AF67" s="14" t="n"/>
      <c r="AG67" s="14" t="n"/>
      <c r="AH67" s="14" t="n"/>
      <c r="AL67" s="12" t="n"/>
      <c r="AM67" s="12" t="n"/>
      <c r="AP67" s="14" t="n"/>
      <c r="AR67" s="14" t="n"/>
      <c r="AT67" s="15" t="n"/>
      <c r="AU67" s="15" t="n"/>
      <c r="AV67" s="16" t="n"/>
    </row>
    <row r="68">
      <c r="A68" s="12" t="n"/>
      <c r="B68">
        <f>IF(ISBLANK(X68),0,IF(X68&gt;=0.65, "BB", "AMZ"))</f>
        <v/>
      </c>
      <c r="C68">
        <f>IF(AND(L68&lt;N68,L68&lt;P68), MIN(L68,K68), IFERROR(SUM(IFERROR(L68*$B$2,0), IFERROR(N68*$C$2,0), IFERROR(P68*$D$2,0))/SUM(IF(L68&gt;0,$B$2,0), IF(N68&gt;0,$C$2,0), IF(P68&gt;0,$D$2,0)), 0))</f>
        <v/>
      </c>
      <c r="D68">
        <f>IF(AND(S68&lt;U68,S68&lt;W68), MIN(S68,R68), IFERROR(SUM(IFERROR(S68*$B$2,0), IFERROR(U68*$C$2,0), IFERROR(W68*$D$2,0))/SUM(IF(S68&gt;0,$B$2,0), IF(U68&gt;0,$C$2,0), IF(W68&gt;0,$D$2,0)), 0))</f>
        <v/>
      </c>
      <c r="E68">
        <f>IF(B68="BB",C68,MIN(C68,D68*(1-$F$2)))</f>
        <v/>
      </c>
      <c r="F68">
        <f>IF(ISBLANK(AL68),1,LEN(AL68)-LEN(SUBSTITUTE(AL68,",",""))+1)</f>
        <v/>
      </c>
      <c r="G68">
        <f>IF(F68=1,1,IF(OR(ISBLANK(AN68),AN68=0),"Manual",AN68/MAX(SUMIF($AK:$AK,AM68,$AL:$AL),1)))</f>
        <v/>
      </c>
      <c r="H68">
        <f>IF(F68=1, 1, 0)</f>
        <v/>
      </c>
      <c r="I68" s="12" t="n"/>
      <c r="J68" s="12" t="n"/>
      <c r="M68" s="16" t="n"/>
      <c r="O68" s="16" t="n"/>
      <c r="T68" s="16" t="n"/>
      <c r="V68" s="16" t="n"/>
      <c r="X68" s="16" t="n"/>
      <c r="Y68" s="14" t="n"/>
      <c r="Z68" s="14" t="n"/>
      <c r="AA68" s="16" t="n"/>
      <c r="AB68" s="14" t="n"/>
      <c r="AC68" s="16" t="n"/>
      <c r="AD68" s="14" t="n"/>
      <c r="AE68" s="14" t="n"/>
      <c r="AF68" s="14" t="n"/>
      <c r="AG68" s="14" t="n"/>
      <c r="AH68" s="14" t="n"/>
      <c r="AL68" s="12" t="n"/>
      <c r="AM68" s="12" t="n"/>
      <c r="AP68" s="14" t="n"/>
      <c r="AR68" s="14" t="n"/>
      <c r="AT68" s="15" t="n"/>
      <c r="AU68" s="15" t="n"/>
      <c r="AV68" s="16" t="n"/>
    </row>
    <row r="69">
      <c r="A69" s="12" t="n"/>
      <c r="B69">
        <f>IF(ISBLANK(X69),0,IF(X69&gt;=0.65, "BB", "AMZ"))</f>
        <v/>
      </c>
      <c r="C69">
        <f>IF(AND(L69&lt;N69,L69&lt;P69), MIN(L69,K69), IFERROR(SUM(IFERROR(L69*$B$2,0), IFERROR(N69*$C$2,0), IFERROR(P69*$D$2,0))/SUM(IF(L69&gt;0,$B$2,0), IF(N69&gt;0,$C$2,0), IF(P69&gt;0,$D$2,0)), 0))</f>
        <v/>
      </c>
      <c r="D69">
        <f>IF(AND(S69&lt;U69,S69&lt;W69), MIN(S69,R69), IFERROR(SUM(IFERROR(S69*$B$2,0), IFERROR(U69*$C$2,0), IFERROR(W69*$D$2,0))/SUM(IF(S69&gt;0,$B$2,0), IF(U69&gt;0,$C$2,0), IF(W69&gt;0,$D$2,0)), 0))</f>
        <v/>
      </c>
      <c r="E69">
        <f>IF(B69="BB",C69,MIN(C69,D69*(1-$F$2)))</f>
        <v/>
      </c>
      <c r="F69">
        <f>IF(ISBLANK(AL69),1,LEN(AL69)-LEN(SUBSTITUTE(AL69,",",""))+1)</f>
        <v/>
      </c>
      <c r="G69">
        <f>IF(F69=1,1,IF(OR(ISBLANK(AN69),AN69=0),"Manual",AN69/MAX(SUMIF($AK:$AK,AM69,$AL:$AL),1)))</f>
        <v/>
      </c>
      <c r="H69">
        <f>IF(F69=1, 1, 0)</f>
        <v/>
      </c>
      <c r="I69" s="12" t="n"/>
      <c r="J69" s="12" t="n"/>
      <c r="M69" s="16" t="n"/>
      <c r="O69" s="16" t="n"/>
      <c r="T69" s="16" t="n"/>
      <c r="V69" s="16" t="n"/>
      <c r="X69" s="16" t="n"/>
      <c r="Y69" s="14" t="n"/>
      <c r="Z69" s="14" t="n"/>
      <c r="AA69" s="16" t="n"/>
      <c r="AB69" s="14" t="n"/>
      <c r="AC69" s="16" t="n"/>
      <c r="AD69" s="14" t="n"/>
      <c r="AE69" s="14" t="n"/>
      <c r="AF69" s="14" t="n"/>
      <c r="AG69" s="14" t="n"/>
      <c r="AH69" s="14" t="n"/>
      <c r="AL69" s="12" t="n"/>
      <c r="AM69" s="12" t="n"/>
      <c r="AP69" s="14" t="n"/>
      <c r="AR69" s="14" t="n"/>
      <c r="AT69" s="15" t="n"/>
      <c r="AU69" s="15" t="n"/>
      <c r="AV69" s="16" t="n"/>
    </row>
    <row r="70">
      <c r="A70" s="12" t="n"/>
      <c r="B70">
        <f>IF(ISBLANK(X70),0,IF(X70&gt;=0.65, "BB", "AMZ"))</f>
        <v/>
      </c>
      <c r="C70">
        <f>IF(AND(L70&lt;N70,L70&lt;P70), MIN(L70,K70), IFERROR(SUM(IFERROR(L70*$B$2,0), IFERROR(N70*$C$2,0), IFERROR(P70*$D$2,0))/SUM(IF(L70&gt;0,$B$2,0), IF(N70&gt;0,$C$2,0), IF(P70&gt;0,$D$2,0)), 0))</f>
        <v/>
      </c>
      <c r="D70">
        <f>IF(AND(S70&lt;U70,S70&lt;W70), MIN(S70,R70), IFERROR(SUM(IFERROR(S70*$B$2,0), IFERROR(U70*$C$2,0), IFERROR(W70*$D$2,0))/SUM(IF(S70&gt;0,$B$2,0), IF(U70&gt;0,$C$2,0), IF(W70&gt;0,$D$2,0)), 0))</f>
        <v/>
      </c>
      <c r="E70">
        <f>IF(B70="BB",C70,MIN(C70,D70*(1-$F$2)))</f>
        <v/>
      </c>
      <c r="F70">
        <f>IF(ISBLANK(AL70),1,LEN(AL70)-LEN(SUBSTITUTE(AL70,",",""))+1)</f>
        <v/>
      </c>
      <c r="G70">
        <f>IF(F70=1,1,IF(OR(ISBLANK(AN70),AN70=0),"Manual",AN70/MAX(SUMIF($AK:$AK,AM70,$AL:$AL),1)))</f>
        <v/>
      </c>
      <c r="H70">
        <f>IF(F70=1, 1, 0)</f>
        <v/>
      </c>
      <c r="I70" s="12" t="n"/>
      <c r="J70" s="12" t="n"/>
      <c r="M70" s="16" t="n"/>
      <c r="O70" s="16" t="n"/>
      <c r="T70" s="16" t="n"/>
      <c r="V70" s="16" t="n"/>
      <c r="X70" s="16" t="n"/>
      <c r="Y70" s="14" t="n"/>
      <c r="Z70" s="14" t="n"/>
      <c r="AA70" s="16" t="n"/>
      <c r="AB70" s="14" t="n"/>
      <c r="AC70" s="16" t="n"/>
      <c r="AD70" s="14" t="n"/>
      <c r="AE70" s="14" t="n"/>
      <c r="AF70" s="14" t="n"/>
      <c r="AG70" s="14" t="n"/>
      <c r="AH70" s="14" t="n"/>
      <c r="AL70" s="12" t="n"/>
      <c r="AM70" s="12" t="n"/>
      <c r="AP70" s="14" t="n"/>
      <c r="AR70" s="14" t="n"/>
      <c r="AT70" s="15" t="n"/>
      <c r="AU70" s="15" t="n"/>
      <c r="AV70" s="16" t="n"/>
    </row>
    <row r="71">
      <c r="A71" s="12" t="n"/>
      <c r="B71">
        <f>IF(ISBLANK(X71),0,IF(X71&gt;=0.65, "BB", "AMZ"))</f>
        <v/>
      </c>
      <c r="C71">
        <f>IF(AND(L71&lt;N71,L71&lt;P71), MIN(L71,K71), IFERROR(SUM(IFERROR(L71*$B$2,0), IFERROR(N71*$C$2,0), IFERROR(P71*$D$2,0))/SUM(IF(L71&gt;0,$B$2,0), IF(N71&gt;0,$C$2,0), IF(P71&gt;0,$D$2,0)), 0))</f>
        <v/>
      </c>
      <c r="D71">
        <f>IF(AND(S71&lt;U71,S71&lt;W71), MIN(S71,R71), IFERROR(SUM(IFERROR(S71*$B$2,0), IFERROR(U71*$C$2,0), IFERROR(W71*$D$2,0))/SUM(IF(S71&gt;0,$B$2,0), IF(U71&gt;0,$C$2,0), IF(W71&gt;0,$D$2,0)), 0))</f>
        <v/>
      </c>
      <c r="E71">
        <f>IF(B71="BB",C71,MIN(C71,D71*(1-$F$2)))</f>
        <v/>
      </c>
      <c r="F71">
        <f>IF(ISBLANK(AL71),1,LEN(AL71)-LEN(SUBSTITUTE(AL71,",",""))+1)</f>
        <v/>
      </c>
      <c r="G71">
        <f>IF(F71=1,1,IF(OR(ISBLANK(AN71),AN71=0),"Manual",AN71/MAX(SUMIF($AK:$AK,AM71,$AL:$AL),1)))</f>
        <v/>
      </c>
      <c r="H71">
        <f>IF(F71=1, 1, 0)</f>
        <v/>
      </c>
      <c r="I71" s="12" t="n"/>
      <c r="J71" s="12" t="n"/>
      <c r="M71" s="16" t="n"/>
      <c r="O71" s="16" t="n"/>
      <c r="T71" s="16" t="n"/>
      <c r="V71" s="16" t="n"/>
      <c r="X71" s="16" t="n"/>
      <c r="Y71" s="14" t="n"/>
      <c r="Z71" s="14" t="n"/>
      <c r="AA71" s="16" t="n"/>
      <c r="AB71" s="14" t="n"/>
      <c r="AC71" s="16" t="n"/>
      <c r="AD71" s="14" t="n"/>
      <c r="AE71" s="14" t="n"/>
      <c r="AF71" s="14" t="n"/>
      <c r="AG71" s="14" t="n"/>
      <c r="AH71" s="14" t="n"/>
      <c r="AL71" s="12" t="n"/>
      <c r="AM71" s="12" t="n"/>
      <c r="AP71" s="14" t="n"/>
      <c r="AR71" s="14" t="n"/>
      <c r="AT71" s="15" t="n"/>
      <c r="AU71" s="15" t="n"/>
      <c r="AV71" s="16" t="n"/>
    </row>
    <row r="72">
      <c r="A72" s="12" t="n"/>
      <c r="B72">
        <f>IF(ISBLANK(X72),0,IF(X72&gt;=0.65, "BB", "AMZ"))</f>
        <v/>
      </c>
      <c r="C72">
        <f>IF(AND(L72&lt;N72,L72&lt;P72), MIN(L72,K72), IFERROR(SUM(IFERROR(L72*$B$2,0), IFERROR(N72*$C$2,0), IFERROR(P72*$D$2,0))/SUM(IF(L72&gt;0,$B$2,0), IF(N72&gt;0,$C$2,0), IF(P72&gt;0,$D$2,0)), 0))</f>
        <v/>
      </c>
      <c r="D72">
        <f>IF(AND(S72&lt;U72,S72&lt;W72), MIN(S72,R72), IFERROR(SUM(IFERROR(S72*$B$2,0), IFERROR(U72*$C$2,0), IFERROR(W72*$D$2,0))/SUM(IF(S72&gt;0,$B$2,0), IF(U72&gt;0,$C$2,0), IF(W72&gt;0,$D$2,0)), 0))</f>
        <v/>
      </c>
      <c r="E72">
        <f>IF(B72="BB",C72,MIN(C72,D72*(1-$F$2)))</f>
        <v/>
      </c>
      <c r="F72">
        <f>IF(ISBLANK(AL72),1,LEN(AL72)-LEN(SUBSTITUTE(AL72,",",""))+1)</f>
        <v/>
      </c>
      <c r="G72">
        <f>IF(F72=1,1,IF(OR(ISBLANK(AN72),AN72=0),"Manual",AN72/MAX(SUMIF($AK:$AK,AM72,$AL:$AL),1)))</f>
        <v/>
      </c>
      <c r="H72">
        <f>IF(F72=1, 1, 0)</f>
        <v/>
      </c>
      <c r="I72" s="12" t="n"/>
      <c r="J72" s="12" t="n"/>
      <c r="M72" s="16" t="n"/>
      <c r="O72" s="16" t="n"/>
      <c r="T72" s="16" t="n"/>
      <c r="V72" s="16" t="n"/>
      <c r="X72" s="16" t="n"/>
      <c r="Y72" s="14" t="n"/>
      <c r="Z72" s="14" t="n"/>
      <c r="AA72" s="16" t="n"/>
      <c r="AB72" s="14" t="n"/>
      <c r="AC72" s="16" t="n"/>
      <c r="AD72" s="14" t="n"/>
      <c r="AE72" s="14" t="n"/>
      <c r="AF72" s="14" t="n"/>
      <c r="AG72" s="14" t="n"/>
      <c r="AH72" s="14" t="n"/>
      <c r="AL72" s="12" t="n"/>
      <c r="AM72" s="12" t="n"/>
      <c r="AP72" s="14" t="n"/>
      <c r="AR72" s="14" t="n"/>
      <c r="AT72" s="15" t="n"/>
      <c r="AU72" s="15" t="n"/>
      <c r="AV72" s="16" t="n"/>
    </row>
    <row r="73">
      <c r="A73" s="12" t="n"/>
      <c r="B73">
        <f>IF(ISBLANK(X73),0,IF(X73&gt;=0.65, "BB", "AMZ"))</f>
        <v/>
      </c>
      <c r="C73">
        <f>IF(AND(L73&lt;N73,L73&lt;P73), MIN(L73,K73), IFERROR(SUM(IFERROR(L73*$B$2,0), IFERROR(N73*$C$2,0), IFERROR(P73*$D$2,0))/SUM(IF(L73&gt;0,$B$2,0), IF(N73&gt;0,$C$2,0), IF(P73&gt;0,$D$2,0)), 0))</f>
        <v/>
      </c>
      <c r="D73">
        <f>IF(AND(S73&lt;U73,S73&lt;W73), MIN(S73,R73), IFERROR(SUM(IFERROR(S73*$B$2,0), IFERROR(U73*$C$2,0), IFERROR(W73*$D$2,0))/SUM(IF(S73&gt;0,$B$2,0), IF(U73&gt;0,$C$2,0), IF(W73&gt;0,$D$2,0)), 0))</f>
        <v/>
      </c>
      <c r="E73">
        <f>IF(B73="BB",C73,MIN(C73,D73*(1-$F$2)))</f>
        <v/>
      </c>
      <c r="F73">
        <f>IF(ISBLANK(AL73),1,LEN(AL73)-LEN(SUBSTITUTE(AL73,",",""))+1)</f>
        <v/>
      </c>
      <c r="G73">
        <f>IF(F73=1,1,IF(OR(ISBLANK(AN73),AN73=0),"Manual",AN73/MAX(SUMIF($AK:$AK,AM73,$AL:$AL),1)))</f>
        <v/>
      </c>
      <c r="H73">
        <f>IF(F73=1, 1, 0)</f>
        <v/>
      </c>
      <c r="I73" s="12" t="n"/>
      <c r="J73" s="12" t="n"/>
      <c r="M73" s="16" t="n"/>
      <c r="O73" s="16" t="n"/>
      <c r="T73" s="16" t="n"/>
      <c r="V73" s="16" t="n"/>
      <c r="X73" s="16" t="n"/>
      <c r="Y73" s="14" t="n"/>
      <c r="Z73" s="14" t="n"/>
      <c r="AA73" s="16" t="n"/>
      <c r="AB73" s="14" t="n"/>
      <c r="AC73" s="16" t="n"/>
      <c r="AD73" s="14" t="n"/>
      <c r="AE73" s="14" t="n"/>
      <c r="AF73" s="14" t="n"/>
      <c r="AG73" s="14" t="n"/>
      <c r="AH73" s="14" t="n"/>
      <c r="AL73" s="12" t="n"/>
      <c r="AM73" s="12" t="n"/>
      <c r="AP73" s="14" t="n"/>
      <c r="AR73" s="14" t="n"/>
      <c r="AT73" s="15" t="n"/>
      <c r="AU73" s="15" t="n"/>
      <c r="AV73" s="16" t="n"/>
    </row>
    <row r="74">
      <c r="A74" s="12" t="n"/>
      <c r="B74">
        <f>IF(ISBLANK(X74),0,IF(X74&gt;=0.65, "BB", "AMZ"))</f>
        <v/>
      </c>
      <c r="C74">
        <f>IF(AND(L74&lt;N74,L74&lt;P74), MIN(L74,K74), IFERROR(SUM(IFERROR(L74*$B$2,0), IFERROR(N74*$C$2,0), IFERROR(P74*$D$2,0))/SUM(IF(L74&gt;0,$B$2,0), IF(N74&gt;0,$C$2,0), IF(P74&gt;0,$D$2,0)), 0))</f>
        <v/>
      </c>
      <c r="D74">
        <f>IF(AND(S74&lt;U74,S74&lt;W74), MIN(S74,R74), IFERROR(SUM(IFERROR(S74*$B$2,0), IFERROR(U74*$C$2,0), IFERROR(W74*$D$2,0))/SUM(IF(S74&gt;0,$B$2,0), IF(U74&gt;0,$C$2,0), IF(W74&gt;0,$D$2,0)), 0))</f>
        <v/>
      </c>
      <c r="E74">
        <f>IF(B74="BB",C74,MIN(C74,D74*(1-$F$2)))</f>
        <v/>
      </c>
      <c r="F74">
        <f>IF(ISBLANK(AL74),1,LEN(AL74)-LEN(SUBSTITUTE(AL74,",",""))+1)</f>
        <v/>
      </c>
      <c r="G74">
        <f>IF(F74=1,1,IF(OR(ISBLANK(AN74),AN74=0),"Manual",AN74/MAX(SUMIF($AK:$AK,AM74,$AL:$AL),1)))</f>
        <v/>
      </c>
      <c r="H74">
        <f>IF(F74=1, 1, 0)</f>
        <v/>
      </c>
      <c r="I74" s="12" t="n"/>
      <c r="J74" s="12" t="n"/>
      <c r="M74" s="16" t="n"/>
      <c r="O74" s="16" t="n"/>
      <c r="T74" s="16" t="n"/>
      <c r="V74" s="16" t="n"/>
      <c r="X74" s="16" t="n"/>
      <c r="Y74" s="14" t="n"/>
      <c r="Z74" s="14" t="n"/>
      <c r="AA74" s="16" t="n"/>
      <c r="AB74" s="14" t="n"/>
      <c r="AC74" s="16" t="n"/>
      <c r="AD74" s="14" t="n"/>
      <c r="AE74" s="14" t="n"/>
      <c r="AF74" s="14" t="n"/>
      <c r="AG74" s="14" t="n"/>
      <c r="AH74" s="14" t="n"/>
      <c r="AL74" s="12" t="n"/>
      <c r="AM74" s="12" t="n"/>
      <c r="AP74" s="14" t="n"/>
      <c r="AR74" s="14" t="n"/>
      <c r="AT74" s="15" t="n"/>
      <c r="AU74" s="15" t="n"/>
      <c r="AV74" s="16" t="n"/>
    </row>
    <row r="75">
      <c r="A75" s="12" t="n"/>
      <c r="B75">
        <f>IF(ISBLANK(X75),0,IF(X75&gt;=0.65, "BB", "AMZ"))</f>
        <v/>
      </c>
      <c r="C75">
        <f>IF(AND(L75&lt;N75,L75&lt;P75), MIN(L75,K75), IFERROR(SUM(IFERROR(L75*$B$2,0), IFERROR(N75*$C$2,0), IFERROR(P75*$D$2,0))/SUM(IF(L75&gt;0,$B$2,0), IF(N75&gt;0,$C$2,0), IF(P75&gt;0,$D$2,0)), 0))</f>
        <v/>
      </c>
      <c r="D75">
        <f>IF(AND(S75&lt;U75,S75&lt;W75), MIN(S75,R75), IFERROR(SUM(IFERROR(S75*$B$2,0), IFERROR(U75*$C$2,0), IFERROR(W75*$D$2,0))/SUM(IF(S75&gt;0,$B$2,0), IF(U75&gt;0,$C$2,0), IF(W75&gt;0,$D$2,0)), 0))</f>
        <v/>
      </c>
      <c r="E75">
        <f>IF(B75="BB",C75,MIN(C75,D75*(1-$F$2)))</f>
        <v/>
      </c>
      <c r="F75">
        <f>IF(ISBLANK(AL75),1,LEN(AL75)-LEN(SUBSTITUTE(AL75,",",""))+1)</f>
        <v/>
      </c>
      <c r="G75">
        <f>IF(F75=1,1,IF(OR(ISBLANK(AN75),AN75=0),"Manual",AN75/MAX(SUMIF($AK:$AK,AM75,$AL:$AL),1)))</f>
        <v/>
      </c>
      <c r="H75">
        <f>IF(F75=1, 1, 0)</f>
        <v/>
      </c>
      <c r="I75" s="12" t="n"/>
      <c r="J75" s="12" t="n"/>
      <c r="M75" s="16" t="n"/>
      <c r="O75" s="16" t="n"/>
      <c r="T75" s="16" t="n"/>
      <c r="V75" s="16" t="n"/>
      <c r="X75" s="16" t="n"/>
      <c r="Y75" s="14" t="n"/>
      <c r="Z75" s="14" t="n"/>
      <c r="AA75" s="16" t="n"/>
      <c r="AB75" s="14" t="n"/>
      <c r="AC75" s="16" t="n"/>
      <c r="AD75" s="14" t="n"/>
      <c r="AE75" s="14" t="n"/>
      <c r="AF75" s="14" t="n"/>
      <c r="AG75" s="14" t="n"/>
      <c r="AH75" s="14" t="n"/>
      <c r="AL75" s="12" t="n"/>
      <c r="AM75" s="12" t="n"/>
      <c r="AP75" s="14" t="n"/>
      <c r="AR75" s="14" t="n"/>
      <c r="AT75" s="15" t="n"/>
      <c r="AU75" s="15" t="n"/>
      <c r="AV75" s="16" t="n"/>
    </row>
    <row r="76">
      <c r="A76" s="12" t="n"/>
      <c r="B76">
        <f>IF(ISBLANK(X76),0,IF(X76&gt;=0.65, "BB", "AMZ"))</f>
        <v/>
      </c>
      <c r="C76">
        <f>IF(AND(L76&lt;N76,L76&lt;P76), MIN(L76,K76), IFERROR(SUM(IFERROR(L76*$B$2,0), IFERROR(N76*$C$2,0), IFERROR(P76*$D$2,0))/SUM(IF(L76&gt;0,$B$2,0), IF(N76&gt;0,$C$2,0), IF(P76&gt;0,$D$2,0)), 0))</f>
        <v/>
      </c>
      <c r="D76">
        <f>IF(AND(S76&lt;U76,S76&lt;W76), MIN(S76,R76), IFERROR(SUM(IFERROR(S76*$B$2,0), IFERROR(U76*$C$2,0), IFERROR(W76*$D$2,0))/SUM(IF(S76&gt;0,$B$2,0), IF(U76&gt;0,$C$2,0), IF(W76&gt;0,$D$2,0)), 0))</f>
        <v/>
      </c>
      <c r="E76">
        <f>IF(B76="BB",C76,MIN(C76,D76*(1-$F$2)))</f>
        <v/>
      </c>
      <c r="F76">
        <f>IF(ISBLANK(AL76),1,LEN(AL76)-LEN(SUBSTITUTE(AL76,",",""))+1)</f>
        <v/>
      </c>
      <c r="G76">
        <f>IF(F76=1,1,IF(OR(ISBLANK(AN76),AN76=0),"Manual",AN76/MAX(SUMIF($AK:$AK,AM76,$AL:$AL),1)))</f>
        <v/>
      </c>
      <c r="H76">
        <f>IF(F76=1, 1, 0)</f>
        <v/>
      </c>
      <c r="I76" s="12" t="n"/>
      <c r="J76" s="12" t="n"/>
      <c r="M76" s="16" t="n"/>
      <c r="O76" s="16" t="n"/>
      <c r="T76" s="16" t="n"/>
      <c r="V76" s="16" t="n"/>
      <c r="X76" s="16" t="n"/>
      <c r="Y76" s="14" t="n"/>
      <c r="Z76" s="14" t="n"/>
      <c r="AA76" s="16" t="n"/>
      <c r="AB76" s="14" t="n"/>
      <c r="AC76" s="16" t="n"/>
      <c r="AD76" s="14" t="n"/>
      <c r="AE76" s="14" t="n"/>
      <c r="AF76" s="14" t="n"/>
      <c r="AG76" s="14" t="n"/>
      <c r="AH76" s="14" t="n"/>
      <c r="AL76" s="12" t="n"/>
      <c r="AM76" s="12" t="n"/>
      <c r="AP76" s="14" t="n"/>
      <c r="AR76" s="14" t="n"/>
      <c r="AT76" s="15" t="n"/>
      <c r="AU76" s="15" t="n"/>
      <c r="AV76" s="16" t="n"/>
    </row>
    <row r="77">
      <c r="A77" s="12" t="n"/>
      <c r="B77">
        <f>IF(ISBLANK(X77),0,IF(X77&gt;=0.65, "BB", "AMZ"))</f>
        <v/>
      </c>
      <c r="C77">
        <f>IF(AND(L77&lt;N77,L77&lt;P77), MIN(L77,K77), IFERROR(SUM(IFERROR(L77*$B$2,0), IFERROR(N77*$C$2,0), IFERROR(P77*$D$2,0))/SUM(IF(L77&gt;0,$B$2,0), IF(N77&gt;0,$C$2,0), IF(P77&gt;0,$D$2,0)), 0))</f>
        <v/>
      </c>
      <c r="D77">
        <f>IF(AND(S77&lt;U77,S77&lt;W77), MIN(S77,R77), IFERROR(SUM(IFERROR(S77*$B$2,0), IFERROR(U77*$C$2,0), IFERROR(W77*$D$2,0))/SUM(IF(S77&gt;0,$B$2,0), IF(U77&gt;0,$C$2,0), IF(W77&gt;0,$D$2,0)), 0))</f>
        <v/>
      </c>
      <c r="E77">
        <f>IF(B77="BB",C77,MIN(C77,D77*(1-$F$2)))</f>
        <v/>
      </c>
      <c r="F77">
        <f>IF(ISBLANK(AL77),1,LEN(AL77)-LEN(SUBSTITUTE(AL77,",",""))+1)</f>
        <v/>
      </c>
      <c r="G77">
        <f>IF(F77=1,1,IF(OR(ISBLANK(AN77),AN77=0),"Manual",AN77/MAX(SUMIF($AK:$AK,AM77,$AL:$AL),1)))</f>
        <v/>
      </c>
      <c r="H77">
        <f>IF(F77=1, 1, 0)</f>
        <v/>
      </c>
      <c r="I77" s="12" t="n"/>
      <c r="J77" s="12" t="n"/>
      <c r="M77" s="16" t="n"/>
      <c r="O77" s="16" t="n"/>
      <c r="T77" s="16" t="n"/>
      <c r="V77" s="16" t="n"/>
      <c r="X77" s="16" t="n"/>
      <c r="Y77" s="14" t="n"/>
      <c r="Z77" s="14" t="n"/>
      <c r="AA77" s="16" t="n"/>
      <c r="AB77" s="14" t="n"/>
      <c r="AC77" s="16" t="n"/>
      <c r="AD77" s="14" t="n"/>
      <c r="AE77" s="14" t="n"/>
      <c r="AF77" s="14" t="n"/>
      <c r="AG77" s="14" t="n"/>
      <c r="AH77" s="14" t="n"/>
      <c r="AL77" s="12" t="n"/>
      <c r="AM77" s="12" t="n"/>
      <c r="AP77" s="14" t="n"/>
      <c r="AR77" s="14" t="n"/>
      <c r="AT77" s="15" t="n"/>
      <c r="AU77" s="15" t="n"/>
      <c r="AV77" s="16" t="n"/>
    </row>
    <row r="78">
      <c r="A78" s="12" t="n"/>
      <c r="B78">
        <f>IF(ISBLANK(X78),0,IF(X78&gt;=0.65, "BB", "AMZ"))</f>
        <v/>
      </c>
      <c r="C78">
        <f>IF(AND(L78&lt;N78,L78&lt;P78), MIN(L78,K78), IFERROR(SUM(IFERROR(L78*$B$2,0), IFERROR(N78*$C$2,0), IFERROR(P78*$D$2,0))/SUM(IF(L78&gt;0,$B$2,0), IF(N78&gt;0,$C$2,0), IF(P78&gt;0,$D$2,0)), 0))</f>
        <v/>
      </c>
      <c r="D78">
        <f>IF(AND(S78&lt;U78,S78&lt;W78), MIN(S78,R78), IFERROR(SUM(IFERROR(S78*$B$2,0), IFERROR(U78*$C$2,0), IFERROR(W78*$D$2,0))/SUM(IF(S78&gt;0,$B$2,0), IF(U78&gt;0,$C$2,0), IF(W78&gt;0,$D$2,0)), 0))</f>
        <v/>
      </c>
      <c r="E78">
        <f>IF(B78="BB",C78,MIN(C78,D78*(1-$F$2)))</f>
        <v/>
      </c>
      <c r="F78">
        <f>IF(ISBLANK(AL78),1,LEN(AL78)-LEN(SUBSTITUTE(AL78,",",""))+1)</f>
        <v/>
      </c>
      <c r="G78">
        <f>IF(F78=1,1,IF(OR(ISBLANK(AN78),AN78=0),"Manual",AN78/MAX(SUMIF($AK:$AK,AM78,$AL:$AL),1)))</f>
        <v/>
      </c>
      <c r="H78">
        <f>IF(F78=1, 1, 0)</f>
        <v/>
      </c>
      <c r="I78" s="12" t="n"/>
      <c r="J78" s="12" t="n"/>
      <c r="M78" s="16" t="n"/>
      <c r="O78" s="16" t="n"/>
      <c r="T78" s="16" t="n"/>
      <c r="V78" s="16" t="n"/>
      <c r="X78" s="16" t="n"/>
      <c r="Y78" s="14" t="n"/>
      <c r="Z78" s="14" t="n"/>
      <c r="AA78" s="16" t="n"/>
      <c r="AB78" s="14" t="n"/>
      <c r="AC78" s="16" t="n"/>
      <c r="AD78" s="14" t="n"/>
      <c r="AE78" s="14" t="n"/>
      <c r="AF78" s="14" t="n"/>
      <c r="AG78" s="14" t="n"/>
      <c r="AH78" s="14" t="n"/>
      <c r="AL78" s="12" t="n"/>
      <c r="AM78" s="12" t="n"/>
      <c r="AP78" s="14" t="n"/>
      <c r="AR78" s="14" t="n"/>
      <c r="AT78" s="15" t="n"/>
      <c r="AU78" s="15" t="n"/>
      <c r="AV78" s="16" t="n"/>
    </row>
    <row r="79">
      <c r="A79" s="12" t="n"/>
      <c r="B79">
        <f>IF(ISBLANK(X79),0,IF(X79&gt;=0.65, "BB", "AMZ"))</f>
        <v/>
      </c>
      <c r="C79">
        <f>IF(AND(L79&lt;N79,L79&lt;P79), MIN(L79,K79), IFERROR(SUM(IFERROR(L79*$B$2,0), IFERROR(N79*$C$2,0), IFERROR(P79*$D$2,0))/SUM(IF(L79&gt;0,$B$2,0), IF(N79&gt;0,$C$2,0), IF(P79&gt;0,$D$2,0)), 0))</f>
        <v/>
      </c>
      <c r="D79">
        <f>IF(AND(S79&lt;U79,S79&lt;W79), MIN(S79,R79), IFERROR(SUM(IFERROR(S79*$B$2,0), IFERROR(U79*$C$2,0), IFERROR(W79*$D$2,0))/SUM(IF(S79&gt;0,$B$2,0), IF(U79&gt;0,$C$2,0), IF(W79&gt;0,$D$2,0)), 0))</f>
        <v/>
      </c>
      <c r="E79">
        <f>IF(B79="BB",C79,MIN(C79,D79*(1-$F$2)))</f>
        <v/>
      </c>
      <c r="F79">
        <f>IF(ISBLANK(AL79),1,LEN(AL79)-LEN(SUBSTITUTE(AL79,",",""))+1)</f>
        <v/>
      </c>
      <c r="G79">
        <f>IF(F79=1,1,IF(OR(ISBLANK(AN79),AN79=0),"Manual",AN79/MAX(SUMIF($AK:$AK,AM79,$AL:$AL),1)))</f>
        <v/>
      </c>
      <c r="H79">
        <f>IF(F79=1, 1, 0)</f>
        <v/>
      </c>
      <c r="I79" s="12" t="n"/>
      <c r="J79" s="12" t="n"/>
      <c r="M79" s="16" t="n"/>
      <c r="O79" s="16" t="n"/>
      <c r="T79" s="16" t="n"/>
      <c r="V79" s="16" t="n"/>
      <c r="X79" s="16" t="n"/>
      <c r="Y79" s="14" t="n"/>
      <c r="Z79" s="14" t="n"/>
      <c r="AA79" s="16" t="n"/>
      <c r="AB79" s="14" t="n"/>
      <c r="AC79" s="16" t="n"/>
      <c r="AD79" s="14" t="n"/>
      <c r="AE79" s="14" t="n"/>
      <c r="AF79" s="14" t="n"/>
      <c r="AG79" s="14" t="n"/>
      <c r="AH79" s="14" t="n"/>
      <c r="AL79" s="12" t="n"/>
      <c r="AM79" s="12" t="n"/>
      <c r="AP79" s="14" t="n"/>
      <c r="AR79" s="14" t="n"/>
      <c r="AT79" s="15" t="n"/>
      <c r="AU79" s="15" t="n"/>
      <c r="AV79" s="16" t="n"/>
    </row>
    <row r="80">
      <c r="A80" s="12" t="n"/>
      <c r="B80">
        <f>IF(ISBLANK(X80),0,IF(X80&gt;=0.65, "BB", "AMZ"))</f>
        <v/>
      </c>
      <c r="C80">
        <f>IF(AND(L80&lt;N80,L80&lt;P80), MIN(L80,K80), IFERROR(SUM(IFERROR(L80*$B$2,0), IFERROR(N80*$C$2,0), IFERROR(P80*$D$2,0))/SUM(IF(L80&gt;0,$B$2,0), IF(N80&gt;0,$C$2,0), IF(P80&gt;0,$D$2,0)), 0))</f>
        <v/>
      </c>
      <c r="D80">
        <f>IF(AND(S80&lt;U80,S80&lt;W80), MIN(S80,R80), IFERROR(SUM(IFERROR(S80*$B$2,0), IFERROR(U80*$C$2,0), IFERROR(W80*$D$2,0))/SUM(IF(S80&gt;0,$B$2,0), IF(U80&gt;0,$C$2,0), IF(W80&gt;0,$D$2,0)), 0))</f>
        <v/>
      </c>
      <c r="E80">
        <f>IF(B80="BB",C80,MIN(C80,D80*(1-$F$2)))</f>
        <v/>
      </c>
      <c r="F80">
        <f>IF(ISBLANK(AL80),1,LEN(AL80)-LEN(SUBSTITUTE(AL80,",",""))+1)</f>
        <v/>
      </c>
      <c r="G80">
        <f>IF(F80=1,1,IF(OR(ISBLANK(AN80),AN80=0),"Manual",AN80/MAX(SUMIF($AK:$AK,AM80,$AL:$AL),1)))</f>
        <v/>
      </c>
      <c r="H80">
        <f>IF(F80=1, 1, 0)</f>
        <v/>
      </c>
      <c r="I80" s="12" t="n"/>
      <c r="J80" s="12" t="n"/>
      <c r="M80" s="16" t="n"/>
      <c r="O80" s="16" t="n"/>
      <c r="T80" s="16" t="n"/>
      <c r="V80" s="16" t="n"/>
      <c r="X80" s="16" t="n"/>
      <c r="Y80" s="14" t="n"/>
      <c r="Z80" s="14" t="n"/>
      <c r="AA80" s="16" t="n"/>
      <c r="AB80" s="14" t="n"/>
      <c r="AC80" s="16" t="n"/>
      <c r="AD80" s="14" t="n"/>
      <c r="AE80" s="14" t="n"/>
      <c r="AF80" s="14" t="n"/>
      <c r="AG80" s="14" t="n"/>
      <c r="AH80" s="14" t="n"/>
      <c r="AL80" s="12" t="n"/>
      <c r="AM80" s="12" t="n"/>
      <c r="AP80" s="14" t="n"/>
      <c r="AR80" s="14" t="n"/>
      <c r="AT80" s="15" t="n"/>
      <c r="AU80" s="15" t="n"/>
      <c r="AV80" s="16" t="n"/>
    </row>
    <row r="81">
      <c r="A81" s="12" t="n"/>
      <c r="B81">
        <f>IF(ISBLANK(X81),0,IF(X81&gt;=0.65, "BB", "AMZ"))</f>
        <v/>
      </c>
      <c r="C81">
        <f>IF(AND(L81&lt;N81,L81&lt;P81), MIN(L81,K81), IFERROR(SUM(IFERROR(L81*$B$2,0), IFERROR(N81*$C$2,0), IFERROR(P81*$D$2,0))/SUM(IF(L81&gt;0,$B$2,0), IF(N81&gt;0,$C$2,0), IF(P81&gt;0,$D$2,0)), 0))</f>
        <v/>
      </c>
      <c r="D81">
        <f>IF(AND(S81&lt;U81,S81&lt;W81), MIN(S81,R81), IFERROR(SUM(IFERROR(S81*$B$2,0), IFERROR(U81*$C$2,0), IFERROR(W81*$D$2,0))/SUM(IF(S81&gt;0,$B$2,0), IF(U81&gt;0,$C$2,0), IF(W81&gt;0,$D$2,0)), 0))</f>
        <v/>
      </c>
      <c r="E81">
        <f>IF(B81="BB",C81,MIN(C81,D81*(1-$F$2)))</f>
        <v/>
      </c>
      <c r="F81">
        <f>IF(ISBLANK(AL81),1,LEN(AL81)-LEN(SUBSTITUTE(AL81,",",""))+1)</f>
        <v/>
      </c>
      <c r="G81">
        <f>IF(F81=1,1,IF(OR(ISBLANK(AN81),AN81=0),"Manual",AN81/MAX(SUMIF($AK:$AK,AM81,$AL:$AL),1)))</f>
        <v/>
      </c>
      <c r="H81">
        <f>IF(F81=1, 1, 0)</f>
        <v/>
      </c>
      <c r="I81" s="12" t="n"/>
      <c r="J81" s="12" t="n"/>
      <c r="M81" s="16" t="n"/>
      <c r="O81" s="16" t="n"/>
      <c r="T81" s="16" t="n"/>
      <c r="V81" s="16" t="n"/>
      <c r="X81" s="16" t="n"/>
      <c r="Y81" s="14" t="n"/>
      <c r="Z81" s="14" t="n"/>
      <c r="AA81" s="16" t="n"/>
      <c r="AB81" s="14" t="n"/>
      <c r="AC81" s="16" t="n"/>
      <c r="AD81" s="14" t="n"/>
      <c r="AE81" s="14" t="n"/>
      <c r="AF81" s="14" t="n"/>
      <c r="AG81" s="14" t="n"/>
      <c r="AH81" s="14" t="n"/>
      <c r="AL81" s="12" t="n"/>
      <c r="AM81" s="12" t="n"/>
      <c r="AP81" s="14" t="n"/>
      <c r="AR81" s="14" t="n"/>
      <c r="AT81" s="15" t="n"/>
      <c r="AU81" s="15" t="n"/>
      <c r="AV81" s="16" t="n"/>
    </row>
    <row r="82">
      <c r="A82" s="12" t="n"/>
      <c r="B82">
        <f>IF(ISBLANK(X82),0,IF(X82&gt;=0.65, "BB", "AMZ"))</f>
        <v/>
      </c>
      <c r="C82">
        <f>IF(AND(L82&lt;N82,L82&lt;P82), MIN(L82,K82), IFERROR(SUM(IFERROR(L82*$B$2,0), IFERROR(N82*$C$2,0), IFERROR(P82*$D$2,0))/SUM(IF(L82&gt;0,$B$2,0), IF(N82&gt;0,$C$2,0), IF(P82&gt;0,$D$2,0)), 0))</f>
        <v/>
      </c>
      <c r="D82">
        <f>IF(AND(S82&lt;U82,S82&lt;W82), MIN(S82,R82), IFERROR(SUM(IFERROR(S82*$B$2,0), IFERROR(U82*$C$2,0), IFERROR(W82*$D$2,0))/SUM(IF(S82&gt;0,$B$2,0), IF(U82&gt;0,$C$2,0), IF(W82&gt;0,$D$2,0)), 0))</f>
        <v/>
      </c>
      <c r="E82">
        <f>IF(B82="BB",C82,MIN(C82,D82*(1-$F$2)))</f>
        <v/>
      </c>
      <c r="F82">
        <f>IF(ISBLANK(AL82),1,LEN(AL82)-LEN(SUBSTITUTE(AL82,",",""))+1)</f>
        <v/>
      </c>
      <c r="G82">
        <f>IF(F82=1,1,IF(OR(ISBLANK(AN82),AN82=0),"Manual",AN82/MAX(SUMIF($AK:$AK,AM82,$AL:$AL),1)))</f>
        <v/>
      </c>
      <c r="H82">
        <f>IF(F82=1, 1, 0)</f>
        <v/>
      </c>
      <c r="I82" s="12" t="n"/>
      <c r="J82" s="12" t="n"/>
      <c r="M82" s="16" t="n"/>
      <c r="O82" s="16" t="n"/>
      <c r="T82" s="16" t="n"/>
      <c r="V82" s="16" t="n"/>
      <c r="X82" s="16" t="n"/>
      <c r="Y82" s="14" t="n"/>
      <c r="Z82" s="14" t="n"/>
      <c r="AA82" s="16" t="n"/>
      <c r="AB82" s="14" t="n"/>
      <c r="AC82" s="16" t="n"/>
      <c r="AD82" s="14" t="n"/>
      <c r="AE82" s="14" t="n"/>
      <c r="AF82" s="14" t="n"/>
      <c r="AG82" s="14" t="n"/>
      <c r="AH82" s="14" t="n"/>
      <c r="AL82" s="12" t="n"/>
      <c r="AM82" s="12" t="n"/>
      <c r="AP82" s="14" t="n"/>
      <c r="AR82" s="14" t="n"/>
      <c r="AT82" s="15" t="n"/>
      <c r="AU82" s="15" t="n"/>
      <c r="AV82" s="16" t="n"/>
    </row>
    <row r="83">
      <c r="A83" s="12" t="n"/>
      <c r="B83">
        <f>IF(ISBLANK(X83),0,IF(X83&gt;=0.65, "BB", "AMZ"))</f>
        <v/>
      </c>
      <c r="C83">
        <f>IF(AND(L83&lt;N83,L83&lt;P83), MIN(L83,K83), IFERROR(SUM(IFERROR(L83*$B$2,0), IFERROR(N83*$C$2,0), IFERROR(P83*$D$2,0))/SUM(IF(L83&gt;0,$B$2,0), IF(N83&gt;0,$C$2,0), IF(P83&gt;0,$D$2,0)), 0))</f>
        <v/>
      </c>
      <c r="D83">
        <f>IF(AND(S83&lt;U83,S83&lt;W83), MIN(S83,R83), IFERROR(SUM(IFERROR(S83*$B$2,0), IFERROR(U83*$C$2,0), IFERROR(W83*$D$2,0))/SUM(IF(S83&gt;0,$B$2,0), IF(U83&gt;0,$C$2,0), IF(W83&gt;0,$D$2,0)), 0))</f>
        <v/>
      </c>
      <c r="E83">
        <f>IF(B83="BB",C83,MIN(C83,D83*(1-$F$2)))</f>
        <v/>
      </c>
      <c r="F83">
        <f>IF(ISBLANK(AL83),1,LEN(AL83)-LEN(SUBSTITUTE(AL83,",",""))+1)</f>
        <v/>
      </c>
      <c r="G83">
        <f>IF(F83=1,1,IF(OR(ISBLANK(AN83),AN83=0),"Manual",AN83/MAX(SUMIF($AK:$AK,AM83,$AL:$AL),1)))</f>
        <v/>
      </c>
      <c r="H83">
        <f>IF(F83=1, 1, 0)</f>
        <v/>
      </c>
      <c r="I83" s="12" t="n"/>
      <c r="J83" s="12" t="n"/>
      <c r="M83" s="16" t="n"/>
      <c r="O83" s="16" t="n"/>
      <c r="T83" s="16" t="n"/>
      <c r="V83" s="16" t="n"/>
      <c r="X83" s="16" t="n"/>
      <c r="Y83" s="14" t="n"/>
      <c r="Z83" s="14" t="n"/>
      <c r="AA83" s="16" t="n"/>
      <c r="AB83" s="14" t="n"/>
      <c r="AC83" s="16" t="n"/>
      <c r="AD83" s="14" t="n"/>
      <c r="AE83" s="14" t="n"/>
      <c r="AF83" s="14" t="n"/>
      <c r="AG83" s="14" t="n"/>
      <c r="AH83" s="14" t="n"/>
      <c r="AL83" s="12" t="n"/>
      <c r="AM83" s="12" t="n"/>
      <c r="AP83" s="14" t="n"/>
      <c r="AR83" s="14" t="n"/>
      <c r="AT83" s="15" t="n"/>
      <c r="AU83" s="15" t="n"/>
      <c r="AV83" s="16" t="n"/>
    </row>
    <row r="84">
      <c r="A84" s="12" t="n"/>
      <c r="B84">
        <f>IF(ISBLANK(X84),0,IF(X84&gt;=0.65, "BB", "AMZ"))</f>
        <v/>
      </c>
      <c r="C84">
        <f>IF(AND(L84&lt;N84,L84&lt;P84), MIN(L84,K84), IFERROR(SUM(IFERROR(L84*$B$2,0), IFERROR(N84*$C$2,0), IFERROR(P84*$D$2,0))/SUM(IF(L84&gt;0,$B$2,0), IF(N84&gt;0,$C$2,0), IF(P84&gt;0,$D$2,0)), 0))</f>
        <v/>
      </c>
      <c r="D84">
        <f>IF(AND(S84&lt;U84,S84&lt;W84), MIN(S84,R84), IFERROR(SUM(IFERROR(S84*$B$2,0), IFERROR(U84*$C$2,0), IFERROR(W84*$D$2,0))/SUM(IF(S84&gt;0,$B$2,0), IF(U84&gt;0,$C$2,0), IF(W84&gt;0,$D$2,0)), 0))</f>
        <v/>
      </c>
      <c r="E84">
        <f>IF(B84="BB",C84,MIN(C84,D84*(1-$F$2)))</f>
        <v/>
      </c>
      <c r="F84">
        <f>IF(ISBLANK(AL84),1,LEN(AL84)-LEN(SUBSTITUTE(AL84,",",""))+1)</f>
        <v/>
      </c>
      <c r="G84">
        <f>IF(F84=1,1,IF(OR(ISBLANK(AN84),AN84=0),"Manual",AN84/MAX(SUMIF($AK:$AK,AM84,$AL:$AL),1)))</f>
        <v/>
      </c>
      <c r="H84">
        <f>IF(F84=1, 1, 0)</f>
        <v/>
      </c>
      <c r="I84" s="12" t="n"/>
      <c r="J84" s="12" t="n"/>
      <c r="M84" s="16" t="n"/>
      <c r="O84" s="16" t="n"/>
      <c r="T84" s="16" t="n"/>
      <c r="V84" s="16" t="n"/>
      <c r="X84" s="16" t="n"/>
      <c r="Y84" s="14" t="n"/>
      <c r="Z84" s="14" t="n"/>
      <c r="AA84" s="16" t="n"/>
      <c r="AB84" s="14" t="n"/>
      <c r="AC84" s="16" t="n"/>
      <c r="AD84" s="14" t="n"/>
      <c r="AE84" s="14" t="n"/>
      <c r="AF84" s="14" t="n"/>
      <c r="AG84" s="14" t="n"/>
      <c r="AH84" s="14" t="n"/>
      <c r="AL84" s="12" t="n"/>
      <c r="AM84" s="12" t="n"/>
      <c r="AP84" s="14" t="n"/>
      <c r="AR84" s="14" t="n"/>
      <c r="AT84" s="15" t="n"/>
      <c r="AU84" s="15" t="n"/>
      <c r="AV84" s="16" t="n"/>
    </row>
    <row r="85">
      <c r="A85" s="12" t="n"/>
      <c r="B85">
        <f>IF(ISBLANK(X85),0,IF(X85&gt;=0.65, "BB", "AMZ"))</f>
        <v/>
      </c>
      <c r="C85">
        <f>IF(AND(L85&lt;N85,L85&lt;P85), MIN(L85,K85), IFERROR(SUM(IFERROR(L85*$B$2,0), IFERROR(N85*$C$2,0), IFERROR(P85*$D$2,0))/SUM(IF(L85&gt;0,$B$2,0), IF(N85&gt;0,$C$2,0), IF(P85&gt;0,$D$2,0)), 0))</f>
        <v/>
      </c>
      <c r="D85">
        <f>IF(AND(S85&lt;U85,S85&lt;W85), MIN(S85,R85), IFERROR(SUM(IFERROR(S85*$B$2,0), IFERROR(U85*$C$2,0), IFERROR(W85*$D$2,0))/SUM(IF(S85&gt;0,$B$2,0), IF(U85&gt;0,$C$2,0), IF(W85&gt;0,$D$2,0)), 0))</f>
        <v/>
      </c>
      <c r="E85">
        <f>IF(B85="BB",C85,MIN(C85,D85*(1-$F$2)))</f>
        <v/>
      </c>
      <c r="F85">
        <f>IF(ISBLANK(AL85),1,LEN(AL85)-LEN(SUBSTITUTE(AL85,",",""))+1)</f>
        <v/>
      </c>
      <c r="G85">
        <f>IF(F85=1,1,IF(OR(ISBLANK(AN85),AN85=0),"Manual",AN85/MAX(SUMIF($AK:$AK,AM85,$AL:$AL),1)))</f>
        <v/>
      </c>
      <c r="H85">
        <f>IF(F85=1, 1, 0)</f>
        <v/>
      </c>
      <c r="I85" s="12" t="n"/>
      <c r="J85" s="12" t="n"/>
      <c r="M85" s="16" t="n"/>
      <c r="O85" s="16" t="n"/>
      <c r="T85" s="16" t="n"/>
      <c r="V85" s="16" t="n"/>
      <c r="X85" s="16" t="n"/>
      <c r="Y85" s="14" t="n"/>
      <c r="Z85" s="14" t="n"/>
      <c r="AA85" s="16" t="n"/>
      <c r="AB85" s="14" t="n"/>
      <c r="AC85" s="16" t="n"/>
      <c r="AD85" s="14" t="n"/>
      <c r="AE85" s="14" t="n"/>
      <c r="AF85" s="14" t="n"/>
      <c r="AG85" s="14" t="n"/>
      <c r="AH85" s="14" t="n"/>
      <c r="AL85" s="12" t="n"/>
      <c r="AM85" s="12" t="n"/>
      <c r="AP85" s="14" t="n"/>
      <c r="AR85" s="14" t="n"/>
      <c r="AT85" s="15" t="n"/>
      <c r="AU85" s="15" t="n"/>
      <c r="AV85" s="16" t="n"/>
    </row>
    <row r="86">
      <c r="A86" s="12" t="n"/>
      <c r="B86">
        <f>IF(ISBLANK(X86),0,IF(X86&gt;=0.65, "BB", "AMZ"))</f>
        <v/>
      </c>
      <c r="C86">
        <f>IF(AND(L86&lt;N86,L86&lt;P86), MIN(L86,K86), IFERROR(SUM(IFERROR(L86*$B$2,0), IFERROR(N86*$C$2,0), IFERROR(P86*$D$2,0))/SUM(IF(L86&gt;0,$B$2,0), IF(N86&gt;0,$C$2,0), IF(P86&gt;0,$D$2,0)), 0))</f>
        <v/>
      </c>
      <c r="D86">
        <f>IF(AND(S86&lt;U86,S86&lt;W86), MIN(S86,R86), IFERROR(SUM(IFERROR(S86*$B$2,0), IFERROR(U86*$C$2,0), IFERROR(W86*$D$2,0))/SUM(IF(S86&gt;0,$B$2,0), IF(U86&gt;0,$C$2,0), IF(W86&gt;0,$D$2,0)), 0))</f>
        <v/>
      </c>
      <c r="E86">
        <f>IF(B86="BB",C86,MIN(C86,D86*(1-$F$2)))</f>
        <v/>
      </c>
      <c r="F86">
        <f>IF(ISBLANK(AL86),1,LEN(AL86)-LEN(SUBSTITUTE(AL86,",",""))+1)</f>
        <v/>
      </c>
      <c r="G86">
        <f>IF(F86=1,1,IF(OR(ISBLANK(AN86),AN86=0),"Manual",AN86/MAX(SUMIF($AK:$AK,AM86,$AL:$AL),1)))</f>
        <v/>
      </c>
      <c r="H86">
        <f>IF(F86=1, 1, 0)</f>
        <v/>
      </c>
      <c r="I86" s="12" t="n"/>
      <c r="J86" s="12" t="n"/>
      <c r="M86" s="16" t="n"/>
      <c r="O86" s="16" t="n"/>
      <c r="T86" s="16" t="n"/>
      <c r="V86" s="16" t="n"/>
      <c r="X86" s="16" t="n"/>
      <c r="Y86" s="14" t="n"/>
      <c r="Z86" s="14" t="n"/>
      <c r="AA86" s="16" t="n"/>
      <c r="AB86" s="14" t="n"/>
      <c r="AC86" s="16" t="n"/>
      <c r="AD86" s="14" t="n"/>
      <c r="AE86" s="14" t="n"/>
      <c r="AF86" s="14" t="n"/>
      <c r="AG86" s="14" t="n"/>
      <c r="AH86" s="14" t="n"/>
      <c r="AL86" s="12" t="n"/>
      <c r="AM86" s="12" t="n"/>
      <c r="AP86" s="14" t="n"/>
      <c r="AR86" s="14" t="n"/>
      <c r="AT86" s="15" t="n"/>
      <c r="AU86" s="15" t="n"/>
      <c r="AV86" s="16" t="n"/>
    </row>
    <row r="87">
      <c r="A87" s="12" t="n"/>
      <c r="B87">
        <f>IF(ISBLANK(X87),0,IF(X87&gt;=0.65, "BB", "AMZ"))</f>
        <v/>
      </c>
      <c r="C87">
        <f>IF(AND(L87&lt;N87,L87&lt;P87), MIN(L87,K87), IFERROR(SUM(IFERROR(L87*$B$2,0), IFERROR(N87*$C$2,0), IFERROR(P87*$D$2,0))/SUM(IF(L87&gt;0,$B$2,0), IF(N87&gt;0,$C$2,0), IF(P87&gt;0,$D$2,0)), 0))</f>
        <v/>
      </c>
      <c r="D87">
        <f>IF(AND(S87&lt;U87,S87&lt;W87), MIN(S87,R87), IFERROR(SUM(IFERROR(S87*$B$2,0), IFERROR(U87*$C$2,0), IFERROR(W87*$D$2,0))/SUM(IF(S87&gt;0,$B$2,0), IF(U87&gt;0,$C$2,0), IF(W87&gt;0,$D$2,0)), 0))</f>
        <v/>
      </c>
      <c r="E87">
        <f>IF(B87="BB",C87,MIN(C87,D87*(1-$F$2)))</f>
        <v/>
      </c>
      <c r="F87">
        <f>IF(ISBLANK(AL87),1,LEN(AL87)-LEN(SUBSTITUTE(AL87,",",""))+1)</f>
        <v/>
      </c>
      <c r="G87">
        <f>IF(F87=1,1,IF(OR(ISBLANK(AN87),AN87=0),"Manual",AN87/MAX(SUMIF($AK:$AK,AM87,$AL:$AL),1)))</f>
        <v/>
      </c>
      <c r="H87">
        <f>IF(F87=1, 1, 0)</f>
        <v/>
      </c>
      <c r="I87" s="12" t="n"/>
      <c r="J87" s="12" t="n"/>
      <c r="M87" s="16" t="n"/>
      <c r="O87" s="16" t="n"/>
      <c r="T87" s="16" t="n"/>
      <c r="V87" s="16" t="n"/>
      <c r="X87" s="16" t="n"/>
      <c r="Y87" s="14" t="n"/>
      <c r="Z87" s="14" t="n"/>
      <c r="AA87" s="16" t="n"/>
      <c r="AB87" s="14" t="n"/>
      <c r="AC87" s="16" t="n"/>
      <c r="AD87" s="14" t="n"/>
      <c r="AE87" s="14" t="n"/>
      <c r="AF87" s="14" t="n"/>
      <c r="AG87" s="14" t="n"/>
      <c r="AH87" s="14" t="n"/>
      <c r="AL87" s="12" t="n"/>
      <c r="AM87" s="12" t="n"/>
      <c r="AP87" s="14" t="n"/>
      <c r="AR87" s="14" t="n"/>
      <c r="AT87" s="15" t="n"/>
      <c r="AU87" s="15" t="n"/>
      <c r="AV87" s="16" t="n"/>
    </row>
    <row r="88">
      <c r="A88" s="12" t="n"/>
      <c r="B88">
        <f>IF(ISBLANK(X88),0,IF(X88&gt;=0.65, "BB", "AMZ"))</f>
        <v/>
      </c>
      <c r="C88">
        <f>IF(AND(L88&lt;N88,L88&lt;P88), MIN(L88,K88), IFERROR(SUM(IFERROR(L88*$B$2,0), IFERROR(N88*$C$2,0), IFERROR(P88*$D$2,0))/SUM(IF(L88&gt;0,$B$2,0), IF(N88&gt;0,$C$2,0), IF(P88&gt;0,$D$2,0)), 0))</f>
        <v/>
      </c>
      <c r="D88">
        <f>IF(AND(S88&lt;U88,S88&lt;W88), MIN(S88,R88), IFERROR(SUM(IFERROR(S88*$B$2,0), IFERROR(U88*$C$2,0), IFERROR(W88*$D$2,0))/SUM(IF(S88&gt;0,$B$2,0), IF(U88&gt;0,$C$2,0), IF(W88&gt;0,$D$2,0)), 0))</f>
        <v/>
      </c>
      <c r="E88">
        <f>IF(B88="BB",C88,MIN(C88,D88*(1-$F$2)))</f>
        <v/>
      </c>
      <c r="F88">
        <f>IF(ISBLANK(AL88),1,LEN(AL88)-LEN(SUBSTITUTE(AL88,",",""))+1)</f>
        <v/>
      </c>
      <c r="G88">
        <f>IF(F88=1,1,IF(OR(ISBLANK(AN88),AN88=0),"Manual",AN88/MAX(SUMIF($AK:$AK,AM88,$AL:$AL),1)))</f>
        <v/>
      </c>
      <c r="H88">
        <f>IF(F88=1, 1, 0)</f>
        <v/>
      </c>
      <c r="I88" s="12" t="n"/>
      <c r="J88" s="12" t="n"/>
      <c r="M88" s="16" t="n"/>
      <c r="O88" s="16" t="n"/>
      <c r="T88" s="16" t="n"/>
      <c r="V88" s="16" t="n"/>
      <c r="X88" s="16" t="n"/>
      <c r="Y88" s="14" t="n"/>
      <c r="Z88" s="14" t="n"/>
      <c r="AA88" s="16" t="n"/>
      <c r="AB88" s="14" t="n"/>
      <c r="AC88" s="16" t="n"/>
      <c r="AD88" s="14" t="n"/>
      <c r="AE88" s="14" t="n"/>
      <c r="AF88" s="14" t="n"/>
      <c r="AG88" s="14" t="n"/>
      <c r="AH88" s="14" t="n"/>
      <c r="AL88" s="12" t="n"/>
      <c r="AM88" s="12" t="n"/>
      <c r="AP88" s="14" t="n"/>
      <c r="AR88" s="14" t="n"/>
      <c r="AT88" s="15" t="n"/>
      <c r="AU88" s="15" t="n"/>
      <c r="AV88" s="16" t="n"/>
    </row>
    <row r="89">
      <c r="A89" s="12" t="n"/>
      <c r="B89">
        <f>IF(ISBLANK(X89),0,IF(X89&gt;=0.65, "BB", "AMZ"))</f>
        <v/>
      </c>
      <c r="C89">
        <f>IF(AND(L89&lt;N89,L89&lt;P89), MIN(L89,K89), IFERROR(SUM(IFERROR(L89*$B$2,0), IFERROR(N89*$C$2,0), IFERROR(P89*$D$2,0))/SUM(IF(L89&gt;0,$B$2,0), IF(N89&gt;0,$C$2,0), IF(P89&gt;0,$D$2,0)), 0))</f>
        <v/>
      </c>
      <c r="D89">
        <f>IF(AND(S89&lt;U89,S89&lt;W89), MIN(S89,R89), IFERROR(SUM(IFERROR(S89*$B$2,0), IFERROR(U89*$C$2,0), IFERROR(W89*$D$2,0))/SUM(IF(S89&gt;0,$B$2,0), IF(U89&gt;0,$C$2,0), IF(W89&gt;0,$D$2,0)), 0))</f>
        <v/>
      </c>
      <c r="E89">
        <f>IF(B89="BB",C89,MIN(C89,D89*(1-$F$2)))</f>
        <v/>
      </c>
      <c r="F89">
        <f>IF(ISBLANK(AL89),1,LEN(AL89)-LEN(SUBSTITUTE(AL89,",",""))+1)</f>
        <v/>
      </c>
      <c r="G89">
        <f>IF(F89=1,1,IF(OR(ISBLANK(AN89),AN89=0),"Manual",AN89/MAX(SUMIF($AK:$AK,AM89,$AL:$AL),1)))</f>
        <v/>
      </c>
      <c r="H89">
        <f>IF(F89=1, 1, 0)</f>
        <v/>
      </c>
      <c r="I89" s="12" t="n"/>
      <c r="J89" s="12" t="n"/>
      <c r="M89" s="16" t="n"/>
      <c r="O89" s="16" t="n"/>
      <c r="T89" s="16" t="n"/>
      <c r="V89" s="16" t="n"/>
      <c r="X89" s="16" t="n"/>
      <c r="Y89" s="14" t="n"/>
      <c r="Z89" s="14" t="n"/>
      <c r="AA89" s="16" t="n"/>
      <c r="AB89" s="14" t="n"/>
      <c r="AC89" s="16" t="n"/>
      <c r="AD89" s="14" t="n"/>
      <c r="AE89" s="14" t="n"/>
      <c r="AF89" s="14" t="n"/>
      <c r="AG89" s="14" t="n"/>
      <c r="AH89" s="14" t="n"/>
      <c r="AL89" s="12" t="n"/>
      <c r="AM89" s="12" t="n"/>
      <c r="AP89" s="14" t="n"/>
      <c r="AR89" s="14" t="n"/>
      <c r="AT89" s="15" t="n"/>
      <c r="AU89" s="15" t="n"/>
      <c r="AV89" s="16" t="n"/>
    </row>
    <row r="90">
      <c r="A90" s="12" t="n"/>
      <c r="B90">
        <f>IF(ISBLANK(X90),0,IF(X90&gt;=0.65, "BB", "AMZ"))</f>
        <v/>
      </c>
      <c r="C90">
        <f>IF(AND(L90&lt;N90,L90&lt;P90), MIN(L90,K90), IFERROR(SUM(IFERROR(L90*$B$2,0), IFERROR(N90*$C$2,0), IFERROR(P90*$D$2,0))/SUM(IF(L90&gt;0,$B$2,0), IF(N90&gt;0,$C$2,0), IF(P90&gt;0,$D$2,0)), 0))</f>
        <v/>
      </c>
      <c r="D90">
        <f>IF(AND(S90&lt;U90,S90&lt;W90), MIN(S90,R90), IFERROR(SUM(IFERROR(S90*$B$2,0), IFERROR(U90*$C$2,0), IFERROR(W90*$D$2,0))/SUM(IF(S90&gt;0,$B$2,0), IF(U90&gt;0,$C$2,0), IF(W90&gt;0,$D$2,0)), 0))</f>
        <v/>
      </c>
      <c r="E90">
        <f>IF(B90="BB",C90,MIN(C90,D90*(1-$F$2)))</f>
        <v/>
      </c>
      <c r="F90">
        <f>IF(ISBLANK(AL90),1,LEN(AL90)-LEN(SUBSTITUTE(AL90,",",""))+1)</f>
        <v/>
      </c>
      <c r="G90">
        <f>IF(F90=1,1,IF(OR(ISBLANK(AN90),AN90=0),"Manual",AN90/MAX(SUMIF($AK:$AK,AM90,$AL:$AL),1)))</f>
        <v/>
      </c>
      <c r="H90">
        <f>IF(F90=1, 1, 0)</f>
        <v/>
      </c>
      <c r="I90" s="12" t="n"/>
      <c r="J90" s="12" t="n"/>
      <c r="M90" s="16" t="n"/>
      <c r="O90" s="16" t="n"/>
      <c r="T90" s="16" t="n"/>
      <c r="V90" s="16" t="n"/>
      <c r="X90" s="16" t="n"/>
      <c r="Y90" s="14" t="n"/>
      <c r="Z90" s="14" t="n"/>
      <c r="AA90" s="16" t="n"/>
      <c r="AB90" s="14" t="n"/>
      <c r="AC90" s="16" t="n"/>
      <c r="AD90" s="14" t="n"/>
      <c r="AE90" s="14" t="n"/>
      <c r="AF90" s="14" t="n"/>
      <c r="AG90" s="14" t="n"/>
      <c r="AH90" s="14" t="n"/>
      <c r="AL90" s="12" t="n"/>
      <c r="AM90" s="12" t="n"/>
      <c r="AP90" s="14" t="n"/>
      <c r="AR90" s="14" t="n"/>
      <c r="AT90" s="15" t="n"/>
      <c r="AU90" s="15" t="n"/>
      <c r="AV90" s="16" t="n"/>
    </row>
    <row r="91">
      <c r="A91" s="12" t="n"/>
      <c r="B91">
        <f>IF(ISBLANK(X91),0,IF(X91&gt;=0.65, "BB", "AMZ"))</f>
        <v/>
      </c>
      <c r="C91">
        <f>IF(AND(L91&lt;N91,L91&lt;P91), MIN(L91,K91), IFERROR(SUM(IFERROR(L91*$B$2,0), IFERROR(N91*$C$2,0), IFERROR(P91*$D$2,0))/SUM(IF(L91&gt;0,$B$2,0), IF(N91&gt;0,$C$2,0), IF(P91&gt;0,$D$2,0)), 0))</f>
        <v/>
      </c>
      <c r="D91">
        <f>IF(AND(S91&lt;U91,S91&lt;W91), MIN(S91,R91), IFERROR(SUM(IFERROR(S91*$B$2,0), IFERROR(U91*$C$2,0), IFERROR(W91*$D$2,0))/SUM(IF(S91&gt;0,$B$2,0), IF(U91&gt;0,$C$2,0), IF(W91&gt;0,$D$2,0)), 0))</f>
        <v/>
      </c>
      <c r="E91">
        <f>IF(B91="BB",C91,MIN(C91,D91*(1-$F$2)))</f>
        <v/>
      </c>
      <c r="F91">
        <f>IF(ISBLANK(AL91),1,LEN(AL91)-LEN(SUBSTITUTE(AL91,",",""))+1)</f>
        <v/>
      </c>
      <c r="G91">
        <f>IF(F91=1,1,IF(OR(ISBLANK(AN91),AN91=0),"Manual",AN91/MAX(SUMIF($AK:$AK,AM91,$AL:$AL),1)))</f>
        <v/>
      </c>
      <c r="H91">
        <f>IF(F91=1, 1, 0)</f>
        <v/>
      </c>
      <c r="I91" s="12" t="n"/>
      <c r="J91" s="12" t="n"/>
      <c r="M91" s="16" t="n"/>
      <c r="O91" s="16" t="n"/>
      <c r="T91" s="16" t="n"/>
      <c r="V91" s="16" t="n"/>
      <c r="X91" s="16" t="n"/>
      <c r="Y91" s="14" t="n"/>
      <c r="Z91" s="14" t="n"/>
      <c r="AA91" s="16" t="n"/>
      <c r="AB91" s="14" t="n"/>
      <c r="AC91" s="16" t="n"/>
      <c r="AD91" s="14" t="n"/>
      <c r="AE91" s="14" t="n"/>
      <c r="AF91" s="14" t="n"/>
      <c r="AG91" s="14" t="n"/>
      <c r="AH91" s="14" t="n"/>
      <c r="AL91" s="12" t="n"/>
      <c r="AM91" s="12" t="n"/>
      <c r="AP91" s="14" t="n"/>
      <c r="AR91" s="14" t="n"/>
      <c r="AT91" s="15" t="n"/>
      <c r="AU91" s="15" t="n"/>
      <c r="AV91" s="16" t="n"/>
    </row>
    <row r="92">
      <c r="A92" s="12" t="n"/>
      <c r="B92">
        <f>IF(ISBLANK(X92),0,IF(X92&gt;=0.65, "BB", "AMZ"))</f>
        <v/>
      </c>
      <c r="C92">
        <f>IF(AND(L92&lt;N92,L92&lt;P92), MIN(L92,K92), IFERROR(SUM(IFERROR(L92*$B$2,0), IFERROR(N92*$C$2,0), IFERROR(P92*$D$2,0))/SUM(IF(L92&gt;0,$B$2,0), IF(N92&gt;0,$C$2,0), IF(P92&gt;0,$D$2,0)), 0))</f>
        <v/>
      </c>
      <c r="D92">
        <f>IF(AND(S92&lt;U92,S92&lt;W92), MIN(S92,R92), IFERROR(SUM(IFERROR(S92*$B$2,0), IFERROR(U92*$C$2,0), IFERROR(W92*$D$2,0))/SUM(IF(S92&gt;0,$B$2,0), IF(U92&gt;0,$C$2,0), IF(W92&gt;0,$D$2,0)), 0))</f>
        <v/>
      </c>
      <c r="E92">
        <f>IF(B92="BB",C92,MIN(C92,D92*(1-$F$2)))</f>
        <v/>
      </c>
      <c r="F92">
        <f>IF(ISBLANK(AL92),1,LEN(AL92)-LEN(SUBSTITUTE(AL92,",",""))+1)</f>
        <v/>
      </c>
      <c r="G92">
        <f>IF(F92=1,1,IF(OR(ISBLANK(AN92),AN92=0),"Manual",AN92/MAX(SUMIF($AK:$AK,AM92,$AL:$AL),1)))</f>
        <v/>
      </c>
      <c r="H92">
        <f>IF(F92=1, 1, 0)</f>
        <v/>
      </c>
      <c r="I92" s="12" t="n"/>
      <c r="J92" s="12" t="n"/>
      <c r="M92" s="16" t="n"/>
      <c r="O92" s="16" t="n"/>
      <c r="T92" s="16" t="n"/>
      <c r="V92" s="16" t="n"/>
      <c r="X92" s="16" t="n"/>
      <c r="Y92" s="14" t="n"/>
      <c r="Z92" s="14" t="n"/>
      <c r="AA92" s="16" t="n"/>
      <c r="AB92" s="14" t="n"/>
      <c r="AC92" s="16" t="n"/>
      <c r="AD92" s="14" t="n"/>
      <c r="AE92" s="14" t="n"/>
      <c r="AF92" s="14" t="n"/>
      <c r="AG92" s="14" t="n"/>
      <c r="AH92" s="14" t="n"/>
      <c r="AL92" s="12" t="n"/>
      <c r="AM92" s="12" t="n"/>
      <c r="AP92" s="14" t="n"/>
      <c r="AR92" s="14" t="n"/>
      <c r="AT92" s="15" t="n"/>
      <c r="AU92" s="15" t="n"/>
      <c r="AV92" s="16" t="n"/>
    </row>
    <row r="93">
      <c r="A93" s="12" t="n"/>
      <c r="B93">
        <f>IF(ISBLANK(X93),0,IF(X93&gt;=0.65, "BB", "AMZ"))</f>
        <v/>
      </c>
      <c r="C93">
        <f>IF(AND(L93&lt;N93,L93&lt;P93), MIN(L93,K93), IFERROR(SUM(IFERROR(L93*$B$2,0), IFERROR(N93*$C$2,0), IFERROR(P93*$D$2,0))/SUM(IF(L93&gt;0,$B$2,0), IF(N93&gt;0,$C$2,0), IF(P93&gt;0,$D$2,0)), 0))</f>
        <v/>
      </c>
      <c r="D93">
        <f>IF(AND(S93&lt;U93,S93&lt;W93), MIN(S93,R93), IFERROR(SUM(IFERROR(S93*$B$2,0), IFERROR(U93*$C$2,0), IFERROR(W93*$D$2,0))/SUM(IF(S93&gt;0,$B$2,0), IF(U93&gt;0,$C$2,0), IF(W93&gt;0,$D$2,0)), 0))</f>
        <v/>
      </c>
      <c r="E93">
        <f>IF(B93="BB",C93,MIN(C93,D93*(1-$F$2)))</f>
        <v/>
      </c>
      <c r="F93">
        <f>IF(ISBLANK(AL93),1,LEN(AL93)-LEN(SUBSTITUTE(AL93,",",""))+1)</f>
        <v/>
      </c>
      <c r="G93">
        <f>IF(F93=1,1,IF(OR(ISBLANK(AN93),AN93=0),"Manual",AN93/MAX(SUMIF($AK:$AK,AM93,$AL:$AL),1)))</f>
        <v/>
      </c>
      <c r="H93">
        <f>IF(F93=1, 1, 0)</f>
        <v/>
      </c>
      <c r="I93" s="12" t="n"/>
      <c r="J93" s="12" t="n"/>
      <c r="M93" s="16" t="n"/>
      <c r="O93" s="16" t="n"/>
      <c r="T93" s="16" t="n"/>
      <c r="V93" s="16" t="n"/>
      <c r="X93" s="16" t="n"/>
      <c r="Y93" s="14" t="n"/>
      <c r="Z93" s="14" t="n"/>
      <c r="AA93" s="16" t="n"/>
      <c r="AB93" s="14" t="n"/>
      <c r="AC93" s="16" t="n"/>
      <c r="AD93" s="14" t="n"/>
      <c r="AE93" s="14" t="n"/>
      <c r="AF93" s="14" t="n"/>
      <c r="AG93" s="14" t="n"/>
      <c r="AH93" s="14" t="n"/>
      <c r="AL93" s="12" t="n"/>
      <c r="AM93" s="12" t="n"/>
      <c r="AP93" s="14" t="n"/>
      <c r="AR93" s="14" t="n"/>
      <c r="AT93" s="15" t="n"/>
      <c r="AU93" s="15" t="n"/>
      <c r="AV93" s="16" t="n"/>
    </row>
    <row r="94">
      <c r="A94" s="12" t="n"/>
      <c r="B94">
        <f>IF(ISBLANK(X94),0,IF(X94&gt;=0.65, "BB", "AMZ"))</f>
        <v/>
      </c>
      <c r="C94">
        <f>IF(AND(L94&lt;N94,L94&lt;P94), MIN(L94,K94), IFERROR(SUM(IFERROR(L94*$B$2,0), IFERROR(N94*$C$2,0), IFERROR(P94*$D$2,0))/SUM(IF(L94&gt;0,$B$2,0), IF(N94&gt;0,$C$2,0), IF(P94&gt;0,$D$2,0)), 0))</f>
        <v/>
      </c>
      <c r="D94">
        <f>IF(AND(S94&lt;U94,S94&lt;W94), MIN(S94,R94), IFERROR(SUM(IFERROR(S94*$B$2,0), IFERROR(U94*$C$2,0), IFERROR(W94*$D$2,0))/SUM(IF(S94&gt;0,$B$2,0), IF(U94&gt;0,$C$2,0), IF(W94&gt;0,$D$2,0)), 0))</f>
        <v/>
      </c>
      <c r="E94">
        <f>IF(B94="BB",C94,MIN(C94,D94*(1-$F$2)))</f>
        <v/>
      </c>
      <c r="F94">
        <f>IF(ISBLANK(AL94),1,LEN(AL94)-LEN(SUBSTITUTE(AL94,",",""))+1)</f>
        <v/>
      </c>
      <c r="G94">
        <f>IF(F94=1,1,IF(OR(ISBLANK(AN94),AN94=0),"Manual",AN94/MAX(SUMIF($AK:$AK,AM94,$AL:$AL),1)))</f>
        <v/>
      </c>
      <c r="H94">
        <f>IF(F94=1, 1, 0)</f>
        <v/>
      </c>
      <c r="I94" s="12" t="n"/>
      <c r="J94" s="12" t="n"/>
      <c r="M94" s="16" t="n"/>
      <c r="O94" s="16" t="n"/>
      <c r="T94" s="16" t="n"/>
      <c r="V94" s="16" t="n"/>
      <c r="X94" s="16" t="n"/>
      <c r="Y94" s="14" t="n"/>
      <c r="Z94" s="14" t="n"/>
      <c r="AA94" s="16" t="n"/>
      <c r="AB94" s="14" t="n"/>
      <c r="AC94" s="16" t="n"/>
      <c r="AD94" s="14" t="n"/>
      <c r="AE94" s="14" t="n"/>
      <c r="AF94" s="14" t="n"/>
      <c r="AG94" s="14" t="n"/>
      <c r="AH94" s="14" t="n"/>
      <c r="AL94" s="12" t="n"/>
      <c r="AM94" s="12" t="n"/>
      <c r="AP94" s="14" t="n"/>
      <c r="AR94" s="14" t="n"/>
      <c r="AT94" s="15" t="n"/>
      <c r="AU94" s="15" t="n"/>
      <c r="AV94" s="16" t="n"/>
    </row>
    <row r="95">
      <c r="A95" s="12" t="n"/>
      <c r="B95">
        <f>IF(ISBLANK(X95),0,IF(X95&gt;=0.65, "BB", "AMZ"))</f>
        <v/>
      </c>
      <c r="C95">
        <f>IF(AND(L95&lt;N95,L95&lt;P95), MIN(L95,K95), IFERROR(SUM(IFERROR(L95*$B$2,0), IFERROR(N95*$C$2,0), IFERROR(P95*$D$2,0))/SUM(IF(L95&gt;0,$B$2,0), IF(N95&gt;0,$C$2,0), IF(P95&gt;0,$D$2,0)), 0))</f>
        <v/>
      </c>
      <c r="D95">
        <f>IF(AND(S95&lt;U95,S95&lt;W95), MIN(S95,R95), IFERROR(SUM(IFERROR(S95*$B$2,0), IFERROR(U95*$C$2,0), IFERROR(W95*$D$2,0))/SUM(IF(S95&gt;0,$B$2,0), IF(U95&gt;0,$C$2,0), IF(W95&gt;0,$D$2,0)), 0))</f>
        <v/>
      </c>
      <c r="E95">
        <f>IF(B95="BB",C95,MIN(C95,D95*(1-$F$2)))</f>
        <v/>
      </c>
      <c r="F95">
        <f>IF(ISBLANK(AL95),1,LEN(AL95)-LEN(SUBSTITUTE(AL95,",",""))+1)</f>
        <v/>
      </c>
      <c r="G95">
        <f>IF(F95=1,1,IF(OR(ISBLANK(AN95),AN95=0),"Manual",AN95/MAX(SUMIF($AK:$AK,AM95,$AL:$AL),1)))</f>
        <v/>
      </c>
      <c r="H95">
        <f>IF(F95=1, 1, 0)</f>
        <v/>
      </c>
      <c r="I95" s="12" t="n"/>
      <c r="J95" s="12" t="n"/>
      <c r="M95" s="16" t="n"/>
      <c r="O95" s="16" t="n"/>
      <c r="T95" s="16" t="n"/>
      <c r="V95" s="16" t="n"/>
      <c r="X95" s="16" t="n"/>
      <c r="Y95" s="14" t="n"/>
      <c r="Z95" s="14" t="n"/>
      <c r="AA95" s="16" t="n"/>
      <c r="AB95" s="14" t="n"/>
      <c r="AC95" s="16" t="n"/>
      <c r="AD95" s="14" t="n"/>
      <c r="AE95" s="14" t="n"/>
      <c r="AF95" s="14" t="n"/>
      <c r="AG95" s="14" t="n"/>
      <c r="AH95" s="14" t="n"/>
      <c r="AL95" s="12" t="n"/>
      <c r="AM95" s="12" t="n"/>
      <c r="AP95" s="14" t="n"/>
      <c r="AR95" s="14" t="n"/>
      <c r="AT95" s="15" t="n"/>
      <c r="AU95" s="15" t="n"/>
      <c r="AV95" s="16" t="n"/>
    </row>
    <row r="96">
      <c r="A96" s="12" t="n"/>
      <c r="B96">
        <f>IF(ISBLANK(X96),0,IF(X96&gt;=0.65, "BB", "AMZ"))</f>
        <v/>
      </c>
      <c r="C96">
        <f>IF(AND(L96&lt;N96,L96&lt;P96), MIN(L96,K96), IFERROR(SUM(IFERROR(L96*$B$2,0), IFERROR(N96*$C$2,0), IFERROR(P96*$D$2,0))/SUM(IF(L96&gt;0,$B$2,0), IF(N96&gt;0,$C$2,0), IF(P96&gt;0,$D$2,0)), 0))</f>
        <v/>
      </c>
      <c r="D96">
        <f>IF(AND(S96&lt;U96,S96&lt;W96), MIN(S96,R96), IFERROR(SUM(IFERROR(S96*$B$2,0), IFERROR(U96*$C$2,0), IFERROR(W96*$D$2,0))/SUM(IF(S96&gt;0,$B$2,0), IF(U96&gt;0,$C$2,0), IF(W96&gt;0,$D$2,0)), 0))</f>
        <v/>
      </c>
      <c r="E96">
        <f>IF(B96="BB",C96,MIN(C96,D96*(1-$F$2)))</f>
        <v/>
      </c>
      <c r="F96">
        <f>IF(ISBLANK(AL96),1,LEN(AL96)-LEN(SUBSTITUTE(AL96,",",""))+1)</f>
        <v/>
      </c>
      <c r="G96">
        <f>IF(F96=1,1,IF(OR(ISBLANK(AN96),AN96=0),"Manual",AN96/MAX(SUMIF($AK:$AK,AM96,$AL:$AL),1)))</f>
        <v/>
      </c>
      <c r="H96">
        <f>IF(F96=1, 1, 0)</f>
        <v/>
      </c>
      <c r="I96" s="12" t="n"/>
      <c r="J96" s="12" t="n"/>
      <c r="M96" s="16" t="n"/>
      <c r="O96" s="16" t="n"/>
      <c r="T96" s="16" t="n"/>
      <c r="V96" s="16" t="n"/>
      <c r="X96" s="16" t="n"/>
      <c r="Y96" s="14" t="n"/>
      <c r="Z96" s="14" t="n"/>
      <c r="AA96" s="16" t="n"/>
      <c r="AB96" s="14" t="n"/>
      <c r="AC96" s="16" t="n"/>
      <c r="AD96" s="14" t="n"/>
      <c r="AE96" s="14" t="n"/>
      <c r="AF96" s="14" t="n"/>
      <c r="AG96" s="14" t="n"/>
      <c r="AH96" s="14" t="n"/>
      <c r="AL96" s="12" t="n"/>
      <c r="AM96" s="12" t="n"/>
      <c r="AP96" s="14" t="n"/>
      <c r="AR96" s="14" t="n"/>
      <c r="AT96" s="15" t="n"/>
      <c r="AU96" s="15" t="n"/>
      <c r="AV96" s="16" t="n"/>
    </row>
    <row r="97">
      <c r="A97" s="12" t="n"/>
      <c r="B97">
        <f>IF(ISBLANK(X97),0,IF(X97&gt;=0.65, "BB", "AMZ"))</f>
        <v/>
      </c>
      <c r="C97">
        <f>IF(AND(L97&lt;N97,L97&lt;P97), MIN(L97,K97), IFERROR(SUM(IFERROR(L97*$B$2,0), IFERROR(N97*$C$2,0), IFERROR(P97*$D$2,0))/SUM(IF(L97&gt;0,$B$2,0), IF(N97&gt;0,$C$2,0), IF(P97&gt;0,$D$2,0)), 0))</f>
        <v/>
      </c>
      <c r="D97">
        <f>IF(AND(S97&lt;U97,S97&lt;W97), MIN(S97,R97), IFERROR(SUM(IFERROR(S97*$B$2,0), IFERROR(U97*$C$2,0), IFERROR(W97*$D$2,0))/SUM(IF(S97&gt;0,$B$2,0), IF(U97&gt;0,$C$2,0), IF(W97&gt;0,$D$2,0)), 0))</f>
        <v/>
      </c>
      <c r="E97">
        <f>IF(B97="BB",C97,MIN(C97,D97*(1-$F$2)))</f>
        <v/>
      </c>
      <c r="F97">
        <f>IF(ISBLANK(AL97),1,LEN(AL97)-LEN(SUBSTITUTE(AL97,",",""))+1)</f>
        <v/>
      </c>
      <c r="G97">
        <f>IF(F97=1,1,IF(OR(ISBLANK(AN97),AN97=0),"Manual",AN97/MAX(SUMIF($AK:$AK,AM97,$AL:$AL),1)))</f>
        <v/>
      </c>
      <c r="H97">
        <f>IF(F97=1, 1, 0)</f>
        <v/>
      </c>
      <c r="I97" s="12" t="n"/>
      <c r="J97" s="12" t="n"/>
      <c r="M97" s="16" t="n"/>
      <c r="O97" s="16" t="n"/>
      <c r="T97" s="16" t="n"/>
      <c r="V97" s="16" t="n"/>
      <c r="X97" s="16" t="n"/>
      <c r="Y97" s="14" t="n"/>
      <c r="Z97" s="14" t="n"/>
      <c r="AA97" s="16" t="n"/>
      <c r="AB97" s="14" t="n"/>
      <c r="AC97" s="16" t="n"/>
      <c r="AD97" s="14" t="n"/>
      <c r="AE97" s="14" t="n"/>
      <c r="AF97" s="14" t="n"/>
      <c r="AG97" s="14" t="n"/>
      <c r="AH97" s="14" t="n"/>
      <c r="AL97" s="12" t="n"/>
      <c r="AM97" s="12" t="n"/>
      <c r="AP97" s="14" t="n"/>
      <c r="AR97" s="14" t="n"/>
      <c r="AT97" s="15" t="n"/>
      <c r="AU97" s="15" t="n"/>
      <c r="AV97" s="16" t="n"/>
    </row>
    <row r="98">
      <c r="A98" s="12" t="n"/>
      <c r="B98">
        <f>IF(ISBLANK(X98),0,IF(X98&gt;=0.65, "BB", "AMZ"))</f>
        <v/>
      </c>
      <c r="C98">
        <f>IF(AND(L98&lt;N98,L98&lt;P98), MIN(L98,K98), IFERROR(SUM(IFERROR(L98*$B$2,0), IFERROR(N98*$C$2,0), IFERROR(P98*$D$2,0))/SUM(IF(L98&gt;0,$B$2,0), IF(N98&gt;0,$C$2,0), IF(P98&gt;0,$D$2,0)), 0))</f>
        <v/>
      </c>
      <c r="D98">
        <f>IF(AND(S98&lt;U98,S98&lt;W98), MIN(S98,R98), IFERROR(SUM(IFERROR(S98*$B$2,0), IFERROR(U98*$C$2,0), IFERROR(W98*$D$2,0))/SUM(IF(S98&gt;0,$B$2,0), IF(U98&gt;0,$C$2,0), IF(W98&gt;0,$D$2,0)), 0))</f>
        <v/>
      </c>
      <c r="E98">
        <f>IF(B98="BB",C98,MIN(C98,D98*(1-$F$2)))</f>
        <v/>
      </c>
      <c r="F98">
        <f>IF(ISBLANK(AL98),1,LEN(AL98)-LEN(SUBSTITUTE(AL98,",",""))+1)</f>
        <v/>
      </c>
      <c r="G98">
        <f>IF(F98=1,1,IF(OR(ISBLANK(AN98),AN98=0),"Manual",AN98/MAX(SUMIF($AK:$AK,AM98,$AL:$AL),1)))</f>
        <v/>
      </c>
      <c r="H98">
        <f>IF(F98=1, 1, 0)</f>
        <v/>
      </c>
      <c r="I98" s="12" t="n"/>
      <c r="J98" s="12" t="n"/>
      <c r="M98" s="16" t="n"/>
      <c r="O98" s="16" t="n"/>
      <c r="T98" s="16" t="n"/>
      <c r="V98" s="16" t="n"/>
      <c r="X98" s="16" t="n"/>
      <c r="Y98" s="14" t="n"/>
      <c r="Z98" s="14" t="n"/>
      <c r="AA98" s="16" t="n"/>
      <c r="AB98" s="14" t="n"/>
      <c r="AC98" s="16" t="n"/>
      <c r="AD98" s="14" t="n"/>
      <c r="AE98" s="14" t="n"/>
      <c r="AF98" s="14" t="n"/>
      <c r="AG98" s="14" t="n"/>
      <c r="AH98" s="14" t="n"/>
      <c r="AL98" s="12" t="n"/>
      <c r="AM98" s="12" t="n"/>
      <c r="AP98" s="14" t="n"/>
      <c r="AR98" s="14" t="n"/>
      <c r="AT98" s="15" t="n"/>
      <c r="AU98" s="15" t="n"/>
      <c r="AV98" s="16" t="n"/>
    </row>
    <row r="99">
      <c r="A99" s="12" t="n"/>
      <c r="B99">
        <f>IF(ISBLANK(X99),0,IF(X99&gt;=0.65, "BB", "AMZ"))</f>
        <v/>
      </c>
      <c r="C99">
        <f>IF(AND(L99&lt;N99,L99&lt;P99), MIN(L99,K99), IFERROR(SUM(IFERROR(L99*$B$2,0), IFERROR(N99*$C$2,0), IFERROR(P99*$D$2,0))/SUM(IF(L99&gt;0,$B$2,0), IF(N99&gt;0,$C$2,0), IF(P99&gt;0,$D$2,0)), 0))</f>
        <v/>
      </c>
      <c r="D99">
        <f>IF(AND(S99&lt;U99,S99&lt;W99), MIN(S99,R99), IFERROR(SUM(IFERROR(S99*$B$2,0), IFERROR(U99*$C$2,0), IFERROR(W99*$D$2,0))/SUM(IF(S99&gt;0,$B$2,0), IF(U99&gt;0,$C$2,0), IF(W99&gt;0,$D$2,0)), 0))</f>
        <v/>
      </c>
      <c r="E99">
        <f>IF(B99="BB",C99,MIN(C99,D99*(1-$F$2)))</f>
        <v/>
      </c>
      <c r="F99">
        <f>IF(ISBLANK(AL99),1,LEN(AL99)-LEN(SUBSTITUTE(AL99,",",""))+1)</f>
        <v/>
      </c>
      <c r="G99">
        <f>IF(F99=1,1,IF(OR(ISBLANK(AN99),AN99=0),"Manual",AN99/MAX(SUMIF($AK:$AK,AM99,$AL:$AL),1)))</f>
        <v/>
      </c>
      <c r="H99">
        <f>IF(F99=1, 1, 0)</f>
        <v/>
      </c>
      <c r="I99" s="12" t="n"/>
      <c r="J99" s="12" t="n"/>
      <c r="M99" s="16" t="n"/>
      <c r="O99" s="16" t="n"/>
      <c r="T99" s="16" t="n"/>
      <c r="V99" s="16" t="n"/>
      <c r="X99" s="16" t="n"/>
      <c r="Y99" s="14" t="n"/>
      <c r="Z99" s="14" t="n"/>
      <c r="AA99" s="16" t="n"/>
      <c r="AB99" s="14" t="n"/>
      <c r="AC99" s="16" t="n"/>
      <c r="AD99" s="14" t="n"/>
      <c r="AE99" s="14" t="n"/>
      <c r="AF99" s="14" t="n"/>
      <c r="AG99" s="14" t="n"/>
      <c r="AH99" s="14" t="n"/>
      <c r="AL99" s="12" t="n"/>
      <c r="AM99" s="12" t="n"/>
      <c r="AP99" s="14" t="n"/>
      <c r="AR99" s="14" t="n"/>
      <c r="AT99" s="15" t="n"/>
      <c r="AU99" s="15" t="n"/>
      <c r="AV99" s="16" t="n"/>
    </row>
    <row r="100">
      <c r="A100" s="12" t="n"/>
      <c r="B100">
        <f>IF(ISBLANK(X100),0,IF(X100&gt;=0.65, "BB", "AMZ"))</f>
        <v/>
      </c>
      <c r="C100">
        <f>IF(AND(L100&lt;N100,L100&lt;P100), MIN(L100,K100), IFERROR(SUM(IFERROR(L100*$B$2,0), IFERROR(N100*$C$2,0), IFERROR(P100*$D$2,0))/SUM(IF(L100&gt;0,$B$2,0), IF(N100&gt;0,$C$2,0), IF(P100&gt;0,$D$2,0)), 0))</f>
        <v/>
      </c>
      <c r="D100">
        <f>IF(AND(S100&lt;U100,S100&lt;W100), MIN(S100,R100), IFERROR(SUM(IFERROR(S100*$B$2,0), IFERROR(U100*$C$2,0), IFERROR(W100*$D$2,0))/SUM(IF(S100&gt;0,$B$2,0), IF(U100&gt;0,$C$2,0), IF(W100&gt;0,$D$2,0)), 0))</f>
        <v/>
      </c>
      <c r="E100">
        <f>IF(B100="BB",C100,MIN(C100,D100*(1-$F$2)))</f>
        <v/>
      </c>
      <c r="F100">
        <f>IF(ISBLANK(AL100),1,LEN(AL100)-LEN(SUBSTITUTE(AL100,",",""))+1)</f>
        <v/>
      </c>
      <c r="G100">
        <f>IF(F100=1,1,IF(OR(ISBLANK(AN100),AN100=0),"Manual",AN100/MAX(SUMIF($AK:$AK,AM100,$AL:$AL),1)))</f>
        <v/>
      </c>
      <c r="H100">
        <f>IF(F100=1, 1, 0)</f>
        <v/>
      </c>
      <c r="I100" s="12" t="n"/>
      <c r="J100" s="12" t="n"/>
      <c r="M100" s="16" t="n"/>
      <c r="O100" s="16" t="n"/>
      <c r="T100" s="16" t="n"/>
      <c r="V100" s="16" t="n"/>
      <c r="X100" s="16" t="n"/>
      <c r="Y100" s="14" t="n"/>
      <c r="Z100" s="14" t="n"/>
      <c r="AA100" s="16" t="n"/>
      <c r="AB100" s="14" t="n"/>
      <c r="AC100" s="16" t="n"/>
      <c r="AD100" s="14" t="n"/>
      <c r="AE100" s="14" t="n"/>
      <c r="AF100" s="14" t="n"/>
      <c r="AG100" s="14" t="n"/>
      <c r="AH100" s="14" t="n"/>
      <c r="AL100" s="12" t="n"/>
      <c r="AM100" s="12" t="n"/>
      <c r="AP100" s="14" t="n"/>
      <c r="AR100" s="14" t="n"/>
      <c r="AT100" s="15" t="n"/>
      <c r="AU100" s="15" t="n"/>
      <c r="AV100" s="16" t="n"/>
    </row>
    <row r="101">
      <c r="A101" s="12" t="n"/>
      <c r="B101">
        <f>IF(ISBLANK(X101),0,IF(X101&gt;=0.65, "BB", "AMZ"))</f>
        <v/>
      </c>
      <c r="C101">
        <f>IF(AND(L101&lt;N101,L101&lt;P101), MIN(L101,K101), IFERROR(SUM(IFERROR(L101*$B$2,0), IFERROR(N101*$C$2,0), IFERROR(P101*$D$2,0))/SUM(IF(L101&gt;0,$B$2,0), IF(N101&gt;0,$C$2,0), IF(P101&gt;0,$D$2,0)), 0))</f>
        <v/>
      </c>
      <c r="D101">
        <f>IF(AND(S101&lt;U101,S101&lt;W101), MIN(S101,R101), IFERROR(SUM(IFERROR(S101*$B$2,0), IFERROR(U101*$C$2,0), IFERROR(W101*$D$2,0))/SUM(IF(S101&gt;0,$B$2,0), IF(U101&gt;0,$C$2,0), IF(W101&gt;0,$D$2,0)), 0))</f>
        <v/>
      </c>
      <c r="E101">
        <f>IF(B101="BB",C101,MIN(C101,D101*(1-$F$2)))</f>
        <v/>
      </c>
      <c r="F101">
        <f>IF(ISBLANK(AL101),1,LEN(AL101)-LEN(SUBSTITUTE(AL101,",",""))+1)</f>
        <v/>
      </c>
      <c r="G101">
        <f>IF(F101=1,1,IF(OR(ISBLANK(AN101),AN101=0),"Manual",AN101/MAX(SUMIF($AK:$AK,AM101,$AL:$AL),1)))</f>
        <v/>
      </c>
      <c r="H101">
        <f>IF(F101=1, 1, 0)</f>
        <v/>
      </c>
      <c r="I101" s="12" t="n"/>
      <c r="J101" s="12" t="n"/>
      <c r="M101" s="16" t="n"/>
      <c r="O101" s="16" t="n"/>
      <c r="T101" s="16" t="n"/>
      <c r="V101" s="16" t="n"/>
      <c r="X101" s="16" t="n"/>
      <c r="Y101" s="14" t="n"/>
      <c r="Z101" s="14" t="n"/>
      <c r="AA101" s="16" t="n"/>
      <c r="AB101" s="14" t="n"/>
      <c r="AC101" s="16" t="n"/>
      <c r="AD101" s="14" t="n"/>
      <c r="AE101" s="14" t="n"/>
      <c r="AF101" s="14" t="n"/>
      <c r="AG101" s="14" t="n"/>
      <c r="AH101" s="14" t="n"/>
      <c r="AL101" s="12" t="n"/>
      <c r="AM101" s="12" t="n"/>
      <c r="AP101" s="14" t="n"/>
      <c r="AR101" s="14" t="n"/>
      <c r="AT101" s="15" t="n"/>
      <c r="AU101" s="15" t="n"/>
      <c r="AV101" s="16" t="n"/>
    </row>
    <row r="102">
      <c r="A102" s="12" t="n"/>
      <c r="B102">
        <f>IF(ISBLANK(X102),0,IF(X102&gt;=0.65, "BB", "AMZ"))</f>
        <v/>
      </c>
      <c r="C102">
        <f>IF(AND(L102&lt;N102,L102&lt;P102), MIN(L102,K102), IFERROR(SUM(IFERROR(L102*$B$2,0), IFERROR(N102*$C$2,0), IFERROR(P102*$D$2,0))/SUM(IF(L102&gt;0,$B$2,0), IF(N102&gt;0,$C$2,0), IF(P102&gt;0,$D$2,0)), 0))</f>
        <v/>
      </c>
      <c r="D102">
        <f>IF(AND(S102&lt;U102,S102&lt;W102), MIN(S102,R102), IFERROR(SUM(IFERROR(S102*$B$2,0), IFERROR(U102*$C$2,0), IFERROR(W102*$D$2,0))/SUM(IF(S102&gt;0,$B$2,0), IF(U102&gt;0,$C$2,0), IF(W102&gt;0,$D$2,0)), 0))</f>
        <v/>
      </c>
      <c r="E102">
        <f>IF(B102="BB",C102,MIN(C102,D102*(1-$F$2)))</f>
        <v/>
      </c>
      <c r="F102">
        <f>IF(ISBLANK(AL102),1,LEN(AL102)-LEN(SUBSTITUTE(AL102,",",""))+1)</f>
        <v/>
      </c>
      <c r="G102">
        <f>IF(F102=1,1,IF(OR(ISBLANK(AN102),AN102=0),"Manual",AN102/MAX(SUMIF($AK:$AK,AM102,$AL:$AL),1)))</f>
        <v/>
      </c>
      <c r="H102">
        <f>IF(F102=1, 1, 0)</f>
        <v/>
      </c>
      <c r="I102" s="12" t="n"/>
      <c r="J102" s="12" t="n"/>
      <c r="M102" s="16" t="n"/>
      <c r="O102" s="16" t="n"/>
      <c r="T102" s="16" t="n"/>
      <c r="V102" s="16" t="n"/>
      <c r="X102" s="16" t="n"/>
      <c r="Y102" s="14" t="n"/>
      <c r="Z102" s="14" t="n"/>
      <c r="AA102" s="16" t="n"/>
      <c r="AB102" s="14" t="n"/>
      <c r="AC102" s="16" t="n"/>
      <c r="AD102" s="14" t="n"/>
      <c r="AE102" s="14" t="n"/>
      <c r="AF102" s="14" t="n"/>
      <c r="AG102" s="14" t="n"/>
      <c r="AH102" s="14" t="n"/>
      <c r="AL102" s="12" t="n"/>
      <c r="AM102" s="12" t="n"/>
      <c r="AP102" s="14" t="n"/>
      <c r="AR102" s="14" t="n"/>
      <c r="AT102" s="15" t="n"/>
      <c r="AU102" s="15" t="n"/>
      <c r="AV102" s="16" t="n"/>
    </row>
    <row r="103">
      <c r="A103" s="12" t="n"/>
      <c r="B103">
        <f>IF(ISBLANK(X103),0,IF(X103&gt;=0.65, "BB", "AMZ"))</f>
        <v/>
      </c>
      <c r="C103">
        <f>IF(AND(L103&lt;N103,L103&lt;P103), MIN(L103,K103), IFERROR(SUM(IFERROR(L103*$B$2,0), IFERROR(N103*$C$2,0), IFERROR(P103*$D$2,0))/SUM(IF(L103&gt;0,$B$2,0), IF(N103&gt;0,$C$2,0), IF(P103&gt;0,$D$2,0)), 0))</f>
        <v/>
      </c>
      <c r="D103">
        <f>IF(AND(S103&lt;U103,S103&lt;W103), MIN(S103,R103), IFERROR(SUM(IFERROR(S103*$B$2,0), IFERROR(U103*$C$2,0), IFERROR(W103*$D$2,0))/SUM(IF(S103&gt;0,$B$2,0), IF(U103&gt;0,$C$2,0), IF(W103&gt;0,$D$2,0)), 0))</f>
        <v/>
      </c>
      <c r="E103">
        <f>IF(B103="BB",C103,MIN(C103,D103*(1-$F$2)))</f>
        <v/>
      </c>
      <c r="F103">
        <f>IF(ISBLANK(AL103),1,LEN(AL103)-LEN(SUBSTITUTE(AL103,",",""))+1)</f>
        <v/>
      </c>
      <c r="G103">
        <f>IF(F103=1,1,IF(OR(ISBLANK(AN103),AN103=0),"Manual",AN103/MAX(SUMIF($AK:$AK,AM103,$AL:$AL),1)))</f>
        <v/>
      </c>
      <c r="H103">
        <f>IF(F103=1, 1, 0)</f>
        <v/>
      </c>
      <c r="I103" s="12" t="n"/>
      <c r="J103" s="12" t="n"/>
      <c r="M103" s="16" t="n"/>
      <c r="O103" s="16" t="n"/>
      <c r="T103" s="16" t="n"/>
      <c r="V103" s="16" t="n"/>
      <c r="X103" s="16" t="n"/>
      <c r="Y103" s="14" t="n"/>
      <c r="Z103" s="14" t="n"/>
      <c r="AA103" s="16" t="n"/>
      <c r="AB103" s="14" t="n"/>
      <c r="AC103" s="16" t="n"/>
      <c r="AD103" s="14" t="n"/>
      <c r="AE103" s="14" t="n"/>
      <c r="AF103" s="14" t="n"/>
      <c r="AG103" s="14" t="n"/>
      <c r="AH103" s="14" t="n"/>
      <c r="AL103" s="12" t="n"/>
      <c r="AM103" s="12" t="n"/>
      <c r="AP103" s="14" t="n"/>
      <c r="AR103" s="14" t="n"/>
      <c r="AT103" s="15" t="n"/>
      <c r="AU103" s="15" t="n"/>
      <c r="AV103" s="16" t="n"/>
    </row>
    <row r="104">
      <c r="A104" s="12" t="n"/>
      <c r="B104">
        <f>IF(ISBLANK(X104),0,IF(X104&gt;=0.65, "BB", "AMZ"))</f>
        <v/>
      </c>
      <c r="C104">
        <f>IF(AND(L104&lt;N104,L104&lt;P104), MIN(L104,K104), IFERROR(SUM(IFERROR(L104*$B$2,0), IFERROR(N104*$C$2,0), IFERROR(P104*$D$2,0))/SUM(IF(L104&gt;0,$B$2,0), IF(N104&gt;0,$C$2,0), IF(P104&gt;0,$D$2,0)), 0))</f>
        <v/>
      </c>
      <c r="D104">
        <f>IF(AND(S104&lt;U104,S104&lt;W104), MIN(S104,R104), IFERROR(SUM(IFERROR(S104*$B$2,0), IFERROR(U104*$C$2,0), IFERROR(W104*$D$2,0))/SUM(IF(S104&gt;0,$B$2,0), IF(U104&gt;0,$C$2,0), IF(W104&gt;0,$D$2,0)), 0))</f>
        <v/>
      </c>
      <c r="E104">
        <f>IF(B104="BB",C104,MIN(C104,D104*(1-$F$2)))</f>
        <v/>
      </c>
      <c r="F104">
        <f>IF(ISBLANK(AL104),1,LEN(AL104)-LEN(SUBSTITUTE(AL104,",",""))+1)</f>
        <v/>
      </c>
      <c r="G104">
        <f>IF(F104=1,1,IF(OR(ISBLANK(AN104),AN104=0),"Manual",AN104/MAX(SUMIF($AK:$AK,AM104,$AL:$AL),1)))</f>
        <v/>
      </c>
      <c r="H104">
        <f>IF(F104=1, 1, 0)</f>
        <v/>
      </c>
      <c r="I104" s="12" t="n"/>
      <c r="J104" s="12" t="n"/>
      <c r="M104" s="16" t="n"/>
      <c r="O104" s="16" t="n"/>
      <c r="T104" s="16" t="n"/>
      <c r="V104" s="16" t="n"/>
      <c r="X104" s="16" t="n"/>
      <c r="Y104" s="14" t="n"/>
      <c r="Z104" s="14" t="n"/>
      <c r="AA104" s="16" t="n"/>
      <c r="AB104" s="14" t="n"/>
      <c r="AC104" s="16" t="n"/>
      <c r="AD104" s="14" t="n"/>
      <c r="AE104" s="14" t="n"/>
      <c r="AF104" s="14" t="n"/>
      <c r="AG104" s="14" t="n"/>
      <c r="AH104" s="14" t="n"/>
      <c r="AL104" s="12" t="n"/>
      <c r="AM104" s="12" t="n"/>
      <c r="AP104" s="14" t="n"/>
      <c r="AR104" s="14" t="n"/>
      <c r="AT104" s="15" t="n"/>
      <c r="AU104" s="15" t="n"/>
      <c r="AV104" s="16" t="n"/>
    </row>
    <row r="105">
      <c r="A105" s="12" t="n"/>
      <c r="B105">
        <f>IF(ISBLANK(X105),0,IF(X105&gt;=0.65, "BB", "AMZ"))</f>
        <v/>
      </c>
      <c r="C105">
        <f>IF(AND(L105&lt;N105,L105&lt;P105), MIN(L105,K105), IFERROR(SUM(IFERROR(L105*$B$2,0), IFERROR(N105*$C$2,0), IFERROR(P105*$D$2,0))/SUM(IF(L105&gt;0,$B$2,0), IF(N105&gt;0,$C$2,0), IF(P105&gt;0,$D$2,0)), 0))</f>
        <v/>
      </c>
      <c r="D105">
        <f>IF(AND(S105&lt;U105,S105&lt;W105), MIN(S105,R105), IFERROR(SUM(IFERROR(S105*$B$2,0), IFERROR(U105*$C$2,0), IFERROR(W105*$D$2,0))/SUM(IF(S105&gt;0,$B$2,0), IF(U105&gt;0,$C$2,0), IF(W105&gt;0,$D$2,0)), 0))</f>
        <v/>
      </c>
      <c r="E105">
        <f>IF(B105="BB",C105,MIN(C105,D105*(1-$F$2)))</f>
        <v/>
      </c>
      <c r="F105">
        <f>IF(ISBLANK(AL105),1,LEN(AL105)-LEN(SUBSTITUTE(AL105,",",""))+1)</f>
        <v/>
      </c>
      <c r="G105">
        <f>IF(F105=1,1,IF(OR(ISBLANK(AN105),AN105=0),"Manual",AN105/MAX(SUMIF($AK:$AK,AM105,$AL:$AL),1)))</f>
        <v/>
      </c>
      <c r="H105">
        <f>IF(F105=1, 1, 0)</f>
        <v/>
      </c>
      <c r="I105" s="12" t="n"/>
      <c r="J105" s="12" t="n"/>
      <c r="M105" s="16" t="n"/>
      <c r="O105" s="16" t="n"/>
      <c r="T105" s="16" t="n"/>
      <c r="V105" s="16" t="n"/>
      <c r="X105" s="16" t="n"/>
      <c r="Y105" s="14" t="n"/>
      <c r="Z105" s="14" t="n"/>
      <c r="AA105" s="16" t="n"/>
      <c r="AB105" s="14" t="n"/>
      <c r="AC105" s="16" t="n"/>
      <c r="AD105" s="14" t="n"/>
      <c r="AE105" s="14" t="n"/>
      <c r="AF105" s="14" t="n"/>
      <c r="AG105" s="14" t="n"/>
      <c r="AH105" s="14" t="n"/>
      <c r="AL105" s="12" t="n"/>
      <c r="AM105" s="12" t="n"/>
      <c r="AP105" s="14" t="n"/>
      <c r="AR105" s="14" t="n"/>
      <c r="AT105" s="15" t="n"/>
      <c r="AU105" s="15" t="n"/>
      <c r="AV105" s="16" t="n"/>
    </row>
    <row r="106">
      <c r="A106" s="12" t="n"/>
      <c r="B106">
        <f>IF(ISBLANK(X106),0,IF(X106&gt;=0.65, "BB", "AMZ"))</f>
        <v/>
      </c>
      <c r="C106">
        <f>IF(AND(L106&lt;N106,L106&lt;P106), MIN(L106,K106), IFERROR(SUM(IFERROR(L106*$B$2,0), IFERROR(N106*$C$2,0), IFERROR(P106*$D$2,0))/SUM(IF(L106&gt;0,$B$2,0), IF(N106&gt;0,$C$2,0), IF(P106&gt;0,$D$2,0)), 0))</f>
        <v/>
      </c>
      <c r="D106">
        <f>IF(AND(S106&lt;U106,S106&lt;W106), MIN(S106,R106), IFERROR(SUM(IFERROR(S106*$B$2,0), IFERROR(U106*$C$2,0), IFERROR(W106*$D$2,0))/SUM(IF(S106&gt;0,$B$2,0), IF(U106&gt;0,$C$2,0), IF(W106&gt;0,$D$2,0)), 0))</f>
        <v/>
      </c>
      <c r="E106">
        <f>IF(B106="BB",C106,MIN(C106,D106*(1-$F$2)))</f>
        <v/>
      </c>
      <c r="F106">
        <f>IF(ISBLANK(AL106),1,LEN(AL106)-LEN(SUBSTITUTE(AL106,",",""))+1)</f>
        <v/>
      </c>
      <c r="G106">
        <f>IF(F106=1,1,IF(OR(ISBLANK(AN106),AN106=0),"Manual",AN106/MAX(SUMIF($AK:$AK,AM106,$AL:$AL),1)))</f>
        <v/>
      </c>
      <c r="H106">
        <f>IF(F106=1, 1, 0)</f>
        <v/>
      </c>
      <c r="I106" s="12" t="n"/>
      <c r="J106" s="12" t="n"/>
      <c r="M106" s="16" t="n"/>
      <c r="O106" s="16" t="n"/>
      <c r="T106" s="16" t="n"/>
      <c r="V106" s="16" t="n"/>
      <c r="X106" s="16" t="n"/>
      <c r="Y106" s="14" t="n"/>
      <c r="Z106" s="14" t="n"/>
      <c r="AA106" s="16" t="n"/>
      <c r="AB106" s="14" t="n"/>
      <c r="AC106" s="16" t="n"/>
      <c r="AD106" s="14" t="n"/>
      <c r="AE106" s="14" t="n"/>
      <c r="AF106" s="14" t="n"/>
      <c r="AG106" s="14" t="n"/>
      <c r="AH106" s="14" t="n"/>
      <c r="AL106" s="12" t="n"/>
      <c r="AM106" s="12" t="n"/>
      <c r="AP106" s="14" t="n"/>
      <c r="AR106" s="14" t="n"/>
      <c r="AT106" s="15" t="n"/>
      <c r="AU106" s="15" t="n"/>
      <c r="AV106" s="16" t="n"/>
    </row>
    <row r="107">
      <c r="A107" s="12" t="n"/>
      <c r="B107">
        <f>IF(ISBLANK(X107),0,IF(X107&gt;=0.65, "BB", "AMZ"))</f>
        <v/>
      </c>
      <c r="C107">
        <f>IF(AND(L107&lt;N107,L107&lt;P107), MIN(L107,K107), IFERROR(SUM(IFERROR(L107*$B$2,0), IFERROR(N107*$C$2,0), IFERROR(P107*$D$2,0))/SUM(IF(L107&gt;0,$B$2,0), IF(N107&gt;0,$C$2,0), IF(P107&gt;0,$D$2,0)), 0))</f>
        <v/>
      </c>
      <c r="D107">
        <f>IF(AND(S107&lt;U107,S107&lt;W107), MIN(S107,R107), IFERROR(SUM(IFERROR(S107*$B$2,0), IFERROR(U107*$C$2,0), IFERROR(W107*$D$2,0))/SUM(IF(S107&gt;0,$B$2,0), IF(U107&gt;0,$C$2,0), IF(W107&gt;0,$D$2,0)), 0))</f>
        <v/>
      </c>
      <c r="E107">
        <f>IF(B107="BB",C107,MIN(C107,D107*(1-$F$2)))</f>
        <v/>
      </c>
      <c r="F107">
        <f>IF(ISBLANK(AL107),1,LEN(AL107)-LEN(SUBSTITUTE(AL107,",",""))+1)</f>
        <v/>
      </c>
      <c r="G107">
        <f>IF(F107=1,1,IF(OR(ISBLANK(AN107),AN107=0),"Manual",AN107/MAX(SUMIF($AK:$AK,AM107,$AL:$AL),1)))</f>
        <v/>
      </c>
      <c r="H107">
        <f>IF(F107=1, 1, 0)</f>
        <v/>
      </c>
      <c r="I107" s="12" t="n"/>
      <c r="J107" s="12" t="n"/>
      <c r="M107" s="16" t="n"/>
      <c r="O107" s="16" t="n"/>
      <c r="T107" s="16" t="n"/>
      <c r="V107" s="16" t="n"/>
      <c r="X107" s="16" t="n"/>
      <c r="Y107" s="14" t="n"/>
      <c r="Z107" s="14" t="n"/>
      <c r="AA107" s="16" t="n"/>
      <c r="AB107" s="14" t="n"/>
      <c r="AC107" s="16" t="n"/>
      <c r="AD107" s="14" t="n"/>
      <c r="AE107" s="14" t="n"/>
      <c r="AF107" s="14" t="n"/>
      <c r="AG107" s="14" t="n"/>
      <c r="AH107" s="14" t="n"/>
      <c r="AL107" s="12" t="n"/>
      <c r="AM107" s="12" t="n"/>
      <c r="AP107" s="14" t="n"/>
      <c r="AR107" s="14" t="n"/>
      <c r="AT107" s="15" t="n"/>
      <c r="AU107" s="15" t="n"/>
      <c r="AV107" s="16" t="n"/>
    </row>
    <row r="108">
      <c r="A108" s="12" t="n"/>
      <c r="B108">
        <f>IF(ISBLANK(X108),0,IF(X108&gt;=0.65, "BB", "AMZ"))</f>
        <v/>
      </c>
      <c r="C108">
        <f>IF(AND(L108&lt;N108,L108&lt;P108), MIN(L108,K108), IFERROR(SUM(IFERROR(L108*$B$2,0), IFERROR(N108*$C$2,0), IFERROR(P108*$D$2,0))/SUM(IF(L108&gt;0,$B$2,0), IF(N108&gt;0,$C$2,0), IF(P108&gt;0,$D$2,0)), 0))</f>
        <v/>
      </c>
      <c r="D108">
        <f>IF(AND(S108&lt;U108,S108&lt;W108), MIN(S108,R108), IFERROR(SUM(IFERROR(S108*$B$2,0), IFERROR(U108*$C$2,0), IFERROR(W108*$D$2,0))/SUM(IF(S108&gt;0,$B$2,0), IF(U108&gt;0,$C$2,0), IF(W108&gt;0,$D$2,0)), 0))</f>
        <v/>
      </c>
      <c r="E108">
        <f>IF(B108="BB",C108,MIN(C108,D108*(1-$F$2)))</f>
        <v/>
      </c>
      <c r="F108">
        <f>IF(ISBLANK(AL108),1,LEN(AL108)-LEN(SUBSTITUTE(AL108,",",""))+1)</f>
        <v/>
      </c>
      <c r="G108">
        <f>IF(F108=1,1,IF(OR(ISBLANK(AN108),AN108=0),"Manual",AN108/MAX(SUMIF($AK:$AK,AM108,$AL:$AL),1)))</f>
        <v/>
      </c>
      <c r="H108">
        <f>IF(F108=1, 1, 0)</f>
        <v/>
      </c>
      <c r="I108" s="12" t="n"/>
      <c r="J108" s="12" t="n"/>
      <c r="M108" s="16" t="n"/>
      <c r="O108" s="16" t="n"/>
      <c r="T108" s="16" t="n"/>
      <c r="V108" s="16" t="n"/>
      <c r="X108" s="16" t="n"/>
      <c r="Y108" s="14" t="n"/>
      <c r="Z108" s="14" t="n"/>
      <c r="AA108" s="16" t="n"/>
      <c r="AB108" s="14" t="n"/>
      <c r="AC108" s="16" t="n"/>
      <c r="AD108" s="14" t="n"/>
      <c r="AE108" s="14" t="n"/>
      <c r="AF108" s="14" t="n"/>
      <c r="AG108" s="14" t="n"/>
      <c r="AH108" s="14" t="n"/>
      <c r="AL108" s="12" t="n"/>
      <c r="AM108" s="12" t="n"/>
      <c r="AP108" s="14" t="n"/>
      <c r="AR108" s="14" t="n"/>
      <c r="AT108" s="15" t="n"/>
      <c r="AU108" s="15" t="n"/>
      <c r="AV108" s="16" t="n"/>
    </row>
    <row r="109">
      <c r="A109" s="12" t="n"/>
      <c r="B109">
        <f>IF(ISBLANK(X109),0,IF(X109&gt;=0.65, "BB", "AMZ"))</f>
        <v/>
      </c>
      <c r="C109">
        <f>IF(AND(L109&lt;N109,L109&lt;P109), MIN(L109,K109), IFERROR(SUM(IFERROR(L109*$B$2,0), IFERROR(N109*$C$2,0), IFERROR(P109*$D$2,0))/SUM(IF(L109&gt;0,$B$2,0), IF(N109&gt;0,$C$2,0), IF(P109&gt;0,$D$2,0)), 0))</f>
        <v/>
      </c>
      <c r="D109">
        <f>IF(AND(S109&lt;U109,S109&lt;W109), MIN(S109,R109), IFERROR(SUM(IFERROR(S109*$B$2,0), IFERROR(U109*$C$2,0), IFERROR(W109*$D$2,0))/SUM(IF(S109&gt;0,$B$2,0), IF(U109&gt;0,$C$2,0), IF(W109&gt;0,$D$2,0)), 0))</f>
        <v/>
      </c>
      <c r="E109">
        <f>IF(B109="BB",C109,MIN(C109,D109*(1-$F$2)))</f>
        <v/>
      </c>
      <c r="F109">
        <f>IF(ISBLANK(AL109),1,LEN(AL109)-LEN(SUBSTITUTE(AL109,",",""))+1)</f>
        <v/>
      </c>
      <c r="G109">
        <f>IF(F109=1,1,IF(OR(ISBLANK(AN109),AN109=0),"Manual",AN109/MAX(SUMIF($AK:$AK,AM109,$AL:$AL),1)))</f>
        <v/>
      </c>
      <c r="H109">
        <f>IF(F109=1, 1, 0)</f>
        <v/>
      </c>
      <c r="I109" s="12" t="n"/>
      <c r="J109" s="12" t="n"/>
      <c r="M109" s="16" t="n"/>
      <c r="O109" s="16" t="n"/>
      <c r="T109" s="16" t="n"/>
      <c r="V109" s="16" t="n"/>
      <c r="X109" s="16" t="n"/>
      <c r="Y109" s="14" t="n"/>
      <c r="Z109" s="14" t="n"/>
      <c r="AA109" s="16" t="n"/>
      <c r="AB109" s="14" t="n"/>
      <c r="AC109" s="16" t="n"/>
      <c r="AD109" s="14" t="n"/>
      <c r="AE109" s="14" t="n"/>
      <c r="AF109" s="14" t="n"/>
      <c r="AG109" s="14" t="n"/>
      <c r="AH109" s="14" t="n"/>
      <c r="AL109" s="12" t="n"/>
      <c r="AM109" s="12" t="n"/>
      <c r="AP109" s="14" t="n"/>
      <c r="AR109" s="14" t="n"/>
      <c r="AT109" s="15" t="n"/>
      <c r="AU109" s="15" t="n"/>
      <c r="AV109" s="16" t="n"/>
    </row>
    <row r="110">
      <c r="A110" s="12" t="n"/>
      <c r="B110">
        <f>IF(ISBLANK(X110),0,IF(X110&gt;=0.65, "BB", "AMZ"))</f>
        <v/>
      </c>
      <c r="C110">
        <f>IF(AND(L110&lt;N110,L110&lt;P110), MIN(L110,K110), IFERROR(SUM(IFERROR(L110*$B$2,0), IFERROR(N110*$C$2,0), IFERROR(P110*$D$2,0))/SUM(IF(L110&gt;0,$B$2,0), IF(N110&gt;0,$C$2,0), IF(P110&gt;0,$D$2,0)), 0))</f>
        <v/>
      </c>
      <c r="D110">
        <f>IF(AND(S110&lt;U110,S110&lt;W110), MIN(S110,R110), IFERROR(SUM(IFERROR(S110*$B$2,0), IFERROR(U110*$C$2,0), IFERROR(W110*$D$2,0))/SUM(IF(S110&gt;0,$B$2,0), IF(U110&gt;0,$C$2,0), IF(W110&gt;0,$D$2,0)), 0))</f>
        <v/>
      </c>
      <c r="E110">
        <f>IF(B110="BB",C110,MIN(C110,D110*(1-$F$2)))</f>
        <v/>
      </c>
      <c r="F110">
        <f>IF(ISBLANK(AL110),1,LEN(AL110)-LEN(SUBSTITUTE(AL110,",",""))+1)</f>
        <v/>
      </c>
      <c r="G110">
        <f>IF(F110=1,1,IF(OR(ISBLANK(AN110),AN110=0),"Manual",AN110/MAX(SUMIF($AK:$AK,AM110,$AL:$AL),1)))</f>
        <v/>
      </c>
      <c r="H110">
        <f>IF(F110=1, 1, 0)</f>
        <v/>
      </c>
      <c r="I110" s="12" t="n"/>
      <c r="J110" s="12" t="n"/>
      <c r="M110" s="16" t="n"/>
      <c r="O110" s="16" t="n"/>
      <c r="T110" s="16" t="n"/>
      <c r="V110" s="16" t="n"/>
      <c r="X110" s="16" t="n"/>
      <c r="Y110" s="14" t="n"/>
      <c r="Z110" s="14" t="n"/>
      <c r="AA110" s="16" t="n"/>
      <c r="AB110" s="14" t="n"/>
      <c r="AC110" s="16" t="n"/>
      <c r="AD110" s="14" t="n"/>
      <c r="AE110" s="14" t="n"/>
      <c r="AF110" s="14" t="n"/>
      <c r="AG110" s="14" t="n"/>
      <c r="AH110" s="14" t="n"/>
      <c r="AL110" s="12" t="n"/>
      <c r="AM110" s="12" t="n"/>
      <c r="AP110" s="14" t="n"/>
      <c r="AR110" s="14" t="n"/>
      <c r="AT110" s="15" t="n"/>
      <c r="AU110" s="15" t="n"/>
      <c r="AV110" s="16" t="n"/>
    </row>
    <row r="111">
      <c r="A111" s="12" t="n"/>
      <c r="B111">
        <f>IF(ISBLANK(X111),0,IF(X111&gt;=0.65, "BB", "AMZ"))</f>
        <v/>
      </c>
      <c r="C111">
        <f>IF(AND(L111&lt;N111,L111&lt;P111), MIN(L111,K111), IFERROR(SUM(IFERROR(L111*$B$2,0), IFERROR(N111*$C$2,0), IFERROR(P111*$D$2,0))/SUM(IF(L111&gt;0,$B$2,0), IF(N111&gt;0,$C$2,0), IF(P111&gt;0,$D$2,0)), 0))</f>
        <v/>
      </c>
      <c r="D111">
        <f>IF(AND(S111&lt;U111,S111&lt;W111), MIN(S111,R111), IFERROR(SUM(IFERROR(S111*$B$2,0), IFERROR(U111*$C$2,0), IFERROR(W111*$D$2,0))/SUM(IF(S111&gt;0,$B$2,0), IF(U111&gt;0,$C$2,0), IF(W111&gt;0,$D$2,0)), 0))</f>
        <v/>
      </c>
      <c r="E111">
        <f>IF(B111="BB",C111,MIN(C111,D111*(1-$F$2)))</f>
        <v/>
      </c>
      <c r="F111">
        <f>IF(ISBLANK(AL111),1,LEN(AL111)-LEN(SUBSTITUTE(AL111,",",""))+1)</f>
        <v/>
      </c>
      <c r="G111">
        <f>IF(F111=1,1,IF(OR(ISBLANK(AN111),AN111=0),"Manual",AN111/MAX(SUMIF($AK:$AK,AM111,$AL:$AL),1)))</f>
        <v/>
      </c>
      <c r="H111">
        <f>IF(F111=1, 1, 0)</f>
        <v/>
      </c>
      <c r="I111" s="12" t="n"/>
      <c r="J111" s="12" t="n"/>
      <c r="M111" s="16" t="n"/>
      <c r="O111" s="16" t="n"/>
      <c r="T111" s="16" t="n"/>
      <c r="V111" s="16" t="n"/>
      <c r="X111" s="16" t="n"/>
      <c r="Y111" s="14" t="n"/>
      <c r="Z111" s="14" t="n"/>
      <c r="AA111" s="16" t="n"/>
      <c r="AB111" s="14" t="n"/>
      <c r="AC111" s="16" t="n"/>
      <c r="AD111" s="14" t="n"/>
      <c r="AE111" s="14" t="n"/>
      <c r="AF111" s="14" t="n"/>
      <c r="AG111" s="14" t="n"/>
      <c r="AH111" s="14" t="n"/>
      <c r="AL111" s="12" t="n"/>
      <c r="AM111" s="12" t="n"/>
      <c r="AP111" s="14" t="n"/>
      <c r="AR111" s="14" t="n"/>
      <c r="AT111" s="15" t="n"/>
      <c r="AU111" s="15" t="n"/>
      <c r="AV111" s="16" t="n"/>
    </row>
    <row r="112">
      <c r="A112" s="12" t="n"/>
      <c r="B112">
        <f>IF(ISBLANK(X112),0,IF(X112&gt;=0.65, "BB", "AMZ"))</f>
        <v/>
      </c>
      <c r="C112">
        <f>IF(AND(L112&lt;N112,L112&lt;P112), MIN(L112,K112), IFERROR(SUM(IFERROR(L112*$B$2,0), IFERROR(N112*$C$2,0), IFERROR(P112*$D$2,0))/SUM(IF(L112&gt;0,$B$2,0), IF(N112&gt;0,$C$2,0), IF(P112&gt;0,$D$2,0)), 0))</f>
        <v/>
      </c>
      <c r="D112">
        <f>IF(AND(S112&lt;U112,S112&lt;W112), MIN(S112,R112), IFERROR(SUM(IFERROR(S112*$B$2,0), IFERROR(U112*$C$2,0), IFERROR(W112*$D$2,0))/SUM(IF(S112&gt;0,$B$2,0), IF(U112&gt;0,$C$2,0), IF(W112&gt;0,$D$2,0)), 0))</f>
        <v/>
      </c>
      <c r="E112">
        <f>IF(B112="BB",C112,MIN(C112,D112*(1-$F$2)))</f>
        <v/>
      </c>
      <c r="F112">
        <f>IF(ISBLANK(AL112),1,LEN(AL112)-LEN(SUBSTITUTE(AL112,",",""))+1)</f>
        <v/>
      </c>
      <c r="G112">
        <f>IF(F112=1,1,IF(OR(ISBLANK(AN112),AN112=0),"Manual",AN112/MAX(SUMIF($AK:$AK,AM112,$AL:$AL),1)))</f>
        <v/>
      </c>
      <c r="H112">
        <f>IF(F112=1, 1, 0)</f>
        <v/>
      </c>
      <c r="I112" s="12" t="n"/>
      <c r="J112" s="12" t="n"/>
      <c r="M112" s="16" t="n"/>
      <c r="O112" s="16" t="n"/>
      <c r="T112" s="16" t="n"/>
      <c r="V112" s="16" t="n"/>
      <c r="X112" s="16" t="n"/>
      <c r="Y112" s="14" t="n"/>
      <c r="Z112" s="14" t="n"/>
      <c r="AA112" s="16" t="n"/>
      <c r="AB112" s="14" t="n"/>
      <c r="AC112" s="16" t="n"/>
      <c r="AD112" s="14" t="n"/>
      <c r="AE112" s="14" t="n"/>
      <c r="AF112" s="14" t="n"/>
      <c r="AG112" s="14" t="n"/>
      <c r="AH112" s="14" t="n"/>
      <c r="AL112" s="12" t="n"/>
      <c r="AM112" s="12" t="n"/>
      <c r="AP112" s="14" t="n"/>
      <c r="AR112" s="14" t="n"/>
      <c r="AT112" s="15" t="n"/>
      <c r="AU112" s="15" t="n"/>
      <c r="AV112" s="16" t="n"/>
    </row>
    <row r="113">
      <c r="A113" s="12" t="n"/>
      <c r="B113">
        <f>IF(ISBLANK(X113),0,IF(X113&gt;=0.65, "BB", "AMZ"))</f>
        <v/>
      </c>
      <c r="C113">
        <f>IF(AND(L113&lt;N113,L113&lt;P113), MIN(L113,K113), IFERROR(SUM(IFERROR(L113*$B$2,0), IFERROR(N113*$C$2,0), IFERROR(P113*$D$2,0))/SUM(IF(L113&gt;0,$B$2,0), IF(N113&gt;0,$C$2,0), IF(P113&gt;0,$D$2,0)), 0))</f>
        <v/>
      </c>
      <c r="D113">
        <f>IF(AND(S113&lt;U113,S113&lt;W113), MIN(S113,R113), IFERROR(SUM(IFERROR(S113*$B$2,0), IFERROR(U113*$C$2,0), IFERROR(W113*$D$2,0))/SUM(IF(S113&gt;0,$B$2,0), IF(U113&gt;0,$C$2,0), IF(W113&gt;0,$D$2,0)), 0))</f>
        <v/>
      </c>
      <c r="E113">
        <f>IF(B113="BB",C113,MIN(C113,D113*(1-$F$2)))</f>
        <v/>
      </c>
      <c r="F113">
        <f>IF(ISBLANK(AL113),1,LEN(AL113)-LEN(SUBSTITUTE(AL113,",",""))+1)</f>
        <v/>
      </c>
      <c r="G113">
        <f>IF(F113=1,1,IF(OR(ISBLANK(AN113),AN113=0),"Manual",AN113/MAX(SUMIF($AK:$AK,AM113,$AL:$AL),1)))</f>
        <v/>
      </c>
      <c r="H113">
        <f>IF(F113=1, 1, 0)</f>
        <v/>
      </c>
      <c r="I113" s="12" t="n"/>
      <c r="J113" s="12" t="n"/>
      <c r="M113" s="16" t="n"/>
      <c r="O113" s="16" t="n"/>
      <c r="T113" s="16" t="n"/>
      <c r="V113" s="16" t="n"/>
      <c r="X113" s="16" t="n"/>
      <c r="Y113" s="14" t="n"/>
      <c r="Z113" s="14" t="n"/>
      <c r="AA113" s="16" t="n"/>
      <c r="AB113" s="14" t="n"/>
      <c r="AC113" s="16" t="n"/>
      <c r="AD113" s="14" t="n"/>
      <c r="AE113" s="14" t="n"/>
      <c r="AF113" s="14" t="n"/>
      <c r="AG113" s="14" t="n"/>
      <c r="AH113" s="14" t="n"/>
      <c r="AL113" s="12" t="n"/>
      <c r="AM113" s="12" t="n"/>
      <c r="AP113" s="14" t="n"/>
      <c r="AR113" s="14" t="n"/>
      <c r="AT113" s="15" t="n"/>
      <c r="AU113" s="15" t="n"/>
      <c r="AV113" s="16" t="n"/>
    </row>
    <row r="114">
      <c r="A114" s="12" t="n"/>
      <c r="B114">
        <f>IF(ISBLANK(X114),0,IF(X114&gt;=0.65, "BB", "AMZ"))</f>
        <v/>
      </c>
      <c r="C114">
        <f>IF(AND(L114&lt;N114,L114&lt;P114), MIN(L114,K114), IFERROR(SUM(IFERROR(L114*$B$2,0), IFERROR(N114*$C$2,0), IFERROR(P114*$D$2,0))/SUM(IF(L114&gt;0,$B$2,0), IF(N114&gt;0,$C$2,0), IF(P114&gt;0,$D$2,0)), 0))</f>
        <v/>
      </c>
      <c r="D114">
        <f>IF(AND(S114&lt;U114,S114&lt;W114), MIN(S114,R114), IFERROR(SUM(IFERROR(S114*$B$2,0), IFERROR(U114*$C$2,0), IFERROR(W114*$D$2,0))/SUM(IF(S114&gt;0,$B$2,0), IF(U114&gt;0,$C$2,0), IF(W114&gt;0,$D$2,0)), 0))</f>
        <v/>
      </c>
      <c r="E114">
        <f>IF(B114="BB",C114,MIN(C114,D114*(1-$F$2)))</f>
        <v/>
      </c>
      <c r="F114">
        <f>IF(ISBLANK(AL114),1,LEN(AL114)-LEN(SUBSTITUTE(AL114,",",""))+1)</f>
        <v/>
      </c>
      <c r="G114">
        <f>IF(F114=1,1,IF(OR(ISBLANK(AN114),AN114=0),"Manual",AN114/MAX(SUMIF($AK:$AK,AM114,$AL:$AL),1)))</f>
        <v/>
      </c>
      <c r="H114">
        <f>IF(F114=1, 1, 0)</f>
        <v/>
      </c>
      <c r="I114" s="12" t="n"/>
      <c r="J114" s="12" t="n"/>
      <c r="M114" s="16" t="n"/>
      <c r="O114" s="16" t="n"/>
      <c r="T114" s="16" t="n"/>
      <c r="V114" s="16" t="n"/>
      <c r="X114" s="16" t="n"/>
      <c r="Y114" s="14" t="n"/>
      <c r="Z114" s="14" t="n"/>
      <c r="AA114" s="16" t="n"/>
      <c r="AB114" s="14" t="n"/>
      <c r="AC114" s="16" t="n"/>
      <c r="AD114" s="14" t="n"/>
      <c r="AE114" s="14" t="n"/>
      <c r="AF114" s="14" t="n"/>
      <c r="AG114" s="14" t="n"/>
      <c r="AH114" s="14" t="n"/>
      <c r="AL114" s="12" t="n"/>
      <c r="AM114" s="12" t="n"/>
      <c r="AP114" s="14" t="n"/>
      <c r="AR114" s="14" t="n"/>
      <c r="AT114" s="15" t="n"/>
      <c r="AU114" s="15" t="n"/>
      <c r="AV114" s="16" t="n"/>
    </row>
    <row r="115">
      <c r="A115" s="12" t="n"/>
      <c r="B115">
        <f>IF(ISBLANK(X115),0,IF(X115&gt;=0.65, "BB", "AMZ"))</f>
        <v/>
      </c>
      <c r="C115">
        <f>IF(AND(L115&lt;N115,L115&lt;P115), MIN(L115,K115), IFERROR(SUM(IFERROR(L115*$B$2,0), IFERROR(N115*$C$2,0), IFERROR(P115*$D$2,0))/SUM(IF(L115&gt;0,$B$2,0), IF(N115&gt;0,$C$2,0), IF(P115&gt;0,$D$2,0)), 0))</f>
        <v/>
      </c>
      <c r="D115">
        <f>IF(AND(S115&lt;U115,S115&lt;W115), MIN(S115,R115), IFERROR(SUM(IFERROR(S115*$B$2,0), IFERROR(U115*$C$2,0), IFERROR(W115*$D$2,0))/SUM(IF(S115&gt;0,$B$2,0), IF(U115&gt;0,$C$2,0), IF(W115&gt;0,$D$2,0)), 0))</f>
        <v/>
      </c>
      <c r="E115">
        <f>IF(B115="BB",C115,MIN(C115,D115*(1-$F$2)))</f>
        <v/>
      </c>
      <c r="F115">
        <f>IF(ISBLANK(AL115),1,LEN(AL115)-LEN(SUBSTITUTE(AL115,",",""))+1)</f>
        <v/>
      </c>
      <c r="G115">
        <f>IF(F115=1,1,IF(OR(ISBLANK(AN115),AN115=0),"Manual",AN115/MAX(SUMIF($AK:$AK,AM115,$AL:$AL),1)))</f>
        <v/>
      </c>
      <c r="H115">
        <f>IF(F115=1, 1, 0)</f>
        <v/>
      </c>
      <c r="I115" s="12" t="n"/>
      <c r="J115" s="12" t="n"/>
      <c r="M115" s="16" t="n"/>
      <c r="O115" s="16" t="n"/>
      <c r="T115" s="16" t="n"/>
      <c r="V115" s="16" t="n"/>
      <c r="X115" s="16" t="n"/>
      <c r="Y115" s="14" t="n"/>
      <c r="Z115" s="14" t="n"/>
      <c r="AA115" s="16" t="n"/>
      <c r="AB115" s="14" t="n"/>
      <c r="AC115" s="16" t="n"/>
      <c r="AD115" s="14" t="n"/>
      <c r="AE115" s="14" t="n"/>
      <c r="AF115" s="14" t="n"/>
      <c r="AG115" s="14" t="n"/>
      <c r="AH115" s="14" t="n"/>
      <c r="AL115" s="12" t="n"/>
      <c r="AM115" s="12" t="n"/>
      <c r="AP115" s="14" t="n"/>
      <c r="AR115" s="14" t="n"/>
      <c r="AT115" s="15" t="n"/>
      <c r="AU115" s="15" t="n"/>
      <c r="AV115" s="16" t="n"/>
    </row>
    <row r="116">
      <c r="A116" s="12" t="n"/>
      <c r="B116">
        <f>IF(ISBLANK(X116),0,IF(X116&gt;=0.65, "BB", "AMZ"))</f>
        <v/>
      </c>
      <c r="C116">
        <f>IF(AND(L116&lt;N116,L116&lt;P116), MIN(L116,K116), IFERROR(SUM(IFERROR(L116*$B$2,0), IFERROR(N116*$C$2,0), IFERROR(P116*$D$2,0))/SUM(IF(L116&gt;0,$B$2,0), IF(N116&gt;0,$C$2,0), IF(P116&gt;0,$D$2,0)), 0))</f>
        <v/>
      </c>
      <c r="D116">
        <f>IF(AND(S116&lt;U116,S116&lt;W116), MIN(S116,R116), IFERROR(SUM(IFERROR(S116*$B$2,0), IFERROR(U116*$C$2,0), IFERROR(W116*$D$2,0))/SUM(IF(S116&gt;0,$B$2,0), IF(U116&gt;0,$C$2,0), IF(W116&gt;0,$D$2,0)), 0))</f>
        <v/>
      </c>
      <c r="E116">
        <f>IF(B116="BB",C116,MIN(C116,D116*(1-$F$2)))</f>
        <v/>
      </c>
      <c r="F116">
        <f>IF(ISBLANK(AL116),1,LEN(AL116)-LEN(SUBSTITUTE(AL116,",",""))+1)</f>
        <v/>
      </c>
      <c r="G116">
        <f>IF(F116=1,1,IF(OR(ISBLANK(AN116),AN116=0),"Manual",AN116/MAX(SUMIF($AK:$AK,AM116,$AL:$AL),1)))</f>
        <v/>
      </c>
      <c r="H116">
        <f>IF(F116=1, 1, 0)</f>
        <v/>
      </c>
      <c r="I116" s="12" t="n"/>
      <c r="J116" s="12" t="n"/>
      <c r="M116" s="16" t="n"/>
      <c r="O116" s="16" t="n"/>
      <c r="T116" s="16" t="n"/>
      <c r="V116" s="16" t="n"/>
      <c r="X116" s="16" t="n"/>
      <c r="Y116" s="14" t="n"/>
      <c r="Z116" s="14" t="n"/>
      <c r="AA116" s="16" t="n"/>
      <c r="AB116" s="14" t="n"/>
      <c r="AC116" s="16" t="n"/>
      <c r="AD116" s="14" t="n"/>
      <c r="AE116" s="14" t="n"/>
      <c r="AF116" s="14" t="n"/>
      <c r="AG116" s="14" t="n"/>
      <c r="AH116" s="14" t="n"/>
      <c r="AL116" s="12" t="n"/>
      <c r="AM116" s="12" t="n"/>
      <c r="AP116" s="14" t="n"/>
      <c r="AR116" s="14" t="n"/>
      <c r="AT116" s="15" t="n"/>
      <c r="AU116" s="15" t="n"/>
      <c r="AV116" s="16" t="n"/>
    </row>
    <row r="117">
      <c r="A117" s="12" t="n"/>
      <c r="B117">
        <f>IF(ISBLANK(X117),0,IF(X117&gt;=0.65, "BB", "AMZ"))</f>
        <v/>
      </c>
      <c r="C117">
        <f>IF(AND(L117&lt;N117,L117&lt;P117), MIN(L117,K117), IFERROR(SUM(IFERROR(L117*$B$2,0), IFERROR(N117*$C$2,0), IFERROR(P117*$D$2,0))/SUM(IF(L117&gt;0,$B$2,0), IF(N117&gt;0,$C$2,0), IF(P117&gt;0,$D$2,0)), 0))</f>
        <v/>
      </c>
      <c r="D117">
        <f>IF(AND(S117&lt;U117,S117&lt;W117), MIN(S117,R117), IFERROR(SUM(IFERROR(S117*$B$2,0), IFERROR(U117*$C$2,0), IFERROR(W117*$D$2,0))/SUM(IF(S117&gt;0,$B$2,0), IF(U117&gt;0,$C$2,0), IF(W117&gt;0,$D$2,0)), 0))</f>
        <v/>
      </c>
      <c r="E117">
        <f>IF(B117="BB",C117,MIN(C117,D117*(1-$F$2)))</f>
        <v/>
      </c>
      <c r="F117">
        <f>IF(ISBLANK(AL117),1,LEN(AL117)-LEN(SUBSTITUTE(AL117,",",""))+1)</f>
        <v/>
      </c>
      <c r="G117">
        <f>IF(F117=1,1,IF(OR(ISBLANK(AN117),AN117=0),"Manual",AN117/MAX(SUMIF($AK:$AK,AM117,$AL:$AL),1)))</f>
        <v/>
      </c>
      <c r="H117">
        <f>IF(F117=1, 1, 0)</f>
        <v/>
      </c>
      <c r="I117" s="12" t="n"/>
      <c r="J117" s="12" t="n"/>
      <c r="M117" s="16" t="n"/>
      <c r="O117" s="16" t="n"/>
      <c r="T117" s="16" t="n"/>
      <c r="V117" s="16" t="n"/>
      <c r="X117" s="16" t="n"/>
      <c r="Y117" s="14" t="n"/>
      <c r="Z117" s="14" t="n"/>
      <c r="AA117" s="16" t="n"/>
      <c r="AB117" s="14" t="n"/>
      <c r="AC117" s="16" t="n"/>
      <c r="AD117" s="14" t="n"/>
      <c r="AE117" s="14" t="n"/>
      <c r="AF117" s="14" t="n"/>
      <c r="AG117" s="14" t="n"/>
      <c r="AH117" s="14" t="n"/>
      <c r="AL117" s="12" t="n"/>
      <c r="AM117" s="12" t="n"/>
      <c r="AP117" s="14" t="n"/>
      <c r="AR117" s="14" t="n"/>
      <c r="AT117" s="15" t="n"/>
      <c r="AU117" s="15" t="n"/>
      <c r="AV117" s="16" t="n"/>
    </row>
    <row r="118">
      <c r="A118" s="12" t="n"/>
      <c r="B118">
        <f>IF(ISBLANK(X118),0,IF(X118&gt;=0.65, "BB", "AMZ"))</f>
        <v/>
      </c>
      <c r="C118">
        <f>IF(AND(L118&lt;N118,L118&lt;P118), MIN(L118,K118), IFERROR(SUM(IFERROR(L118*$B$2,0), IFERROR(N118*$C$2,0), IFERROR(P118*$D$2,0))/SUM(IF(L118&gt;0,$B$2,0), IF(N118&gt;0,$C$2,0), IF(P118&gt;0,$D$2,0)), 0))</f>
        <v/>
      </c>
      <c r="D118">
        <f>IF(AND(S118&lt;U118,S118&lt;W118), MIN(S118,R118), IFERROR(SUM(IFERROR(S118*$B$2,0), IFERROR(U118*$C$2,0), IFERROR(W118*$D$2,0))/SUM(IF(S118&gt;0,$B$2,0), IF(U118&gt;0,$C$2,0), IF(W118&gt;0,$D$2,0)), 0))</f>
        <v/>
      </c>
      <c r="E118">
        <f>IF(B118="BB",C118,MIN(C118,D118*(1-$F$2)))</f>
        <v/>
      </c>
      <c r="F118">
        <f>IF(ISBLANK(AL118),1,LEN(AL118)-LEN(SUBSTITUTE(AL118,",",""))+1)</f>
        <v/>
      </c>
      <c r="G118">
        <f>IF(F118=1,1,IF(OR(ISBLANK(AN118),AN118=0),"Manual",AN118/MAX(SUMIF($AK:$AK,AM118,$AL:$AL),1)))</f>
        <v/>
      </c>
      <c r="H118">
        <f>IF(F118=1, 1, 0)</f>
        <v/>
      </c>
      <c r="I118" s="12" t="n"/>
      <c r="J118" s="12" t="n"/>
      <c r="M118" s="16" t="n"/>
      <c r="O118" s="16" t="n"/>
      <c r="T118" s="16" t="n"/>
      <c r="V118" s="16" t="n"/>
      <c r="X118" s="16" t="n"/>
      <c r="Y118" s="14" t="n"/>
      <c r="Z118" s="14" t="n"/>
      <c r="AA118" s="16" t="n"/>
      <c r="AB118" s="14" t="n"/>
      <c r="AC118" s="16" t="n"/>
      <c r="AD118" s="14" t="n"/>
      <c r="AE118" s="14" t="n"/>
      <c r="AF118" s="14" t="n"/>
      <c r="AG118" s="14" t="n"/>
      <c r="AH118" s="14" t="n"/>
      <c r="AL118" s="12" t="n"/>
      <c r="AM118" s="12" t="n"/>
      <c r="AP118" s="14" t="n"/>
      <c r="AR118" s="14" t="n"/>
      <c r="AT118" s="15" t="n"/>
      <c r="AU118" s="15" t="n"/>
      <c r="AV118" s="16" t="n"/>
    </row>
    <row r="119">
      <c r="A119" s="12" t="n"/>
      <c r="B119">
        <f>IF(ISBLANK(X119),0,IF(X119&gt;=0.65, "BB", "AMZ"))</f>
        <v/>
      </c>
      <c r="C119">
        <f>IF(AND(L119&lt;N119,L119&lt;P119), MIN(L119,K119), IFERROR(SUM(IFERROR(L119*$B$2,0), IFERROR(N119*$C$2,0), IFERROR(P119*$D$2,0))/SUM(IF(L119&gt;0,$B$2,0), IF(N119&gt;0,$C$2,0), IF(P119&gt;0,$D$2,0)), 0))</f>
        <v/>
      </c>
      <c r="D119">
        <f>IF(AND(S119&lt;U119,S119&lt;W119), MIN(S119,R119), IFERROR(SUM(IFERROR(S119*$B$2,0), IFERROR(U119*$C$2,0), IFERROR(W119*$D$2,0))/SUM(IF(S119&gt;0,$B$2,0), IF(U119&gt;0,$C$2,0), IF(W119&gt;0,$D$2,0)), 0))</f>
        <v/>
      </c>
      <c r="E119">
        <f>IF(B119="BB",C119,MIN(C119,D119*(1-$F$2)))</f>
        <v/>
      </c>
      <c r="F119">
        <f>IF(ISBLANK(AL119),1,LEN(AL119)-LEN(SUBSTITUTE(AL119,",",""))+1)</f>
        <v/>
      </c>
      <c r="G119">
        <f>IF(F119=1,1,IF(OR(ISBLANK(AN119),AN119=0),"Manual",AN119/MAX(SUMIF($AK:$AK,AM119,$AL:$AL),1)))</f>
        <v/>
      </c>
      <c r="H119">
        <f>IF(F119=1, 1, 0)</f>
        <v/>
      </c>
      <c r="I119" s="12" t="n"/>
      <c r="J119" s="12" t="n"/>
      <c r="M119" s="16" t="n"/>
      <c r="O119" s="16" t="n"/>
      <c r="T119" s="16" t="n"/>
      <c r="V119" s="16" t="n"/>
      <c r="X119" s="16" t="n"/>
      <c r="Y119" s="14" t="n"/>
      <c r="Z119" s="14" t="n"/>
      <c r="AA119" s="16" t="n"/>
      <c r="AB119" s="14" t="n"/>
      <c r="AC119" s="16" t="n"/>
      <c r="AD119" s="14" t="n"/>
      <c r="AE119" s="14" t="n"/>
      <c r="AF119" s="14" t="n"/>
      <c r="AG119" s="14" t="n"/>
      <c r="AH119" s="14" t="n"/>
      <c r="AL119" s="12" t="n"/>
      <c r="AM119" s="12" t="n"/>
      <c r="AP119" s="14" t="n"/>
      <c r="AR119" s="14" t="n"/>
      <c r="AT119" s="15" t="n"/>
      <c r="AU119" s="15" t="n"/>
      <c r="AV119" s="16" t="n"/>
    </row>
    <row r="120">
      <c r="A120" s="12" t="n"/>
      <c r="B120">
        <f>IF(ISBLANK(X120),0,IF(X120&gt;=0.65, "BB", "AMZ"))</f>
        <v/>
      </c>
      <c r="C120">
        <f>IF(AND(L120&lt;N120,L120&lt;P120), MIN(L120,K120), IFERROR(SUM(IFERROR(L120*$B$2,0), IFERROR(N120*$C$2,0), IFERROR(P120*$D$2,0))/SUM(IF(L120&gt;0,$B$2,0), IF(N120&gt;0,$C$2,0), IF(P120&gt;0,$D$2,0)), 0))</f>
        <v/>
      </c>
      <c r="D120">
        <f>IF(AND(S120&lt;U120,S120&lt;W120), MIN(S120,R120), IFERROR(SUM(IFERROR(S120*$B$2,0), IFERROR(U120*$C$2,0), IFERROR(W120*$D$2,0))/SUM(IF(S120&gt;0,$B$2,0), IF(U120&gt;0,$C$2,0), IF(W120&gt;0,$D$2,0)), 0))</f>
        <v/>
      </c>
      <c r="E120">
        <f>IF(B120="BB",C120,MIN(C120,D120*(1-$F$2)))</f>
        <v/>
      </c>
      <c r="F120">
        <f>IF(ISBLANK(AL120),1,LEN(AL120)-LEN(SUBSTITUTE(AL120,",",""))+1)</f>
        <v/>
      </c>
      <c r="G120">
        <f>IF(F120=1,1,IF(OR(ISBLANK(AN120),AN120=0),"Manual",AN120/MAX(SUMIF($AK:$AK,AM120,$AL:$AL),1)))</f>
        <v/>
      </c>
      <c r="H120">
        <f>IF(F120=1, 1, 0)</f>
        <v/>
      </c>
      <c r="I120" s="12" t="n"/>
      <c r="J120" s="12" t="n"/>
      <c r="M120" s="16" t="n"/>
      <c r="O120" s="16" t="n"/>
      <c r="T120" s="16" t="n"/>
      <c r="V120" s="16" t="n"/>
      <c r="X120" s="16" t="n"/>
      <c r="Y120" s="14" t="n"/>
      <c r="Z120" s="14" t="n"/>
      <c r="AA120" s="16" t="n"/>
      <c r="AB120" s="14" t="n"/>
      <c r="AC120" s="16" t="n"/>
      <c r="AD120" s="14" t="n"/>
      <c r="AE120" s="14" t="n"/>
      <c r="AF120" s="14" t="n"/>
      <c r="AG120" s="14" t="n"/>
      <c r="AH120" s="14" t="n"/>
      <c r="AL120" s="12" t="n"/>
      <c r="AM120" s="12" t="n"/>
      <c r="AP120" s="14" t="n"/>
      <c r="AR120" s="14" t="n"/>
      <c r="AT120" s="15" t="n"/>
      <c r="AU120" s="15" t="n"/>
      <c r="AV120" s="16" t="n"/>
    </row>
    <row r="121">
      <c r="A121" s="12" t="n"/>
      <c r="B121">
        <f>IF(ISBLANK(X121),0,IF(X121&gt;=0.65, "BB", "AMZ"))</f>
        <v/>
      </c>
      <c r="C121">
        <f>IF(AND(L121&lt;N121,L121&lt;P121), MIN(L121,K121), IFERROR(SUM(IFERROR(L121*$B$2,0), IFERROR(N121*$C$2,0), IFERROR(P121*$D$2,0))/SUM(IF(L121&gt;0,$B$2,0), IF(N121&gt;0,$C$2,0), IF(P121&gt;0,$D$2,0)), 0))</f>
        <v/>
      </c>
      <c r="D121">
        <f>IF(AND(S121&lt;U121,S121&lt;W121), MIN(S121,R121), IFERROR(SUM(IFERROR(S121*$B$2,0), IFERROR(U121*$C$2,0), IFERROR(W121*$D$2,0))/SUM(IF(S121&gt;0,$B$2,0), IF(U121&gt;0,$C$2,0), IF(W121&gt;0,$D$2,0)), 0))</f>
        <v/>
      </c>
      <c r="E121">
        <f>IF(B121="BB",C121,MIN(C121,D121*(1-$F$2)))</f>
        <v/>
      </c>
      <c r="F121">
        <f>IF(ISBLANK(AL121),1,LEN(AL121)-LEN(SUBSTITUTE(AL121,",",""))+1)</f>
        <v/>
      </c>
      <c r="G121">
        <f>IF(F121=1,1,IF(OR(ISBLANK(AN121),AN121=0),"Manual",AN121/MAX(SUMIF($AK:$AK,AM121,$AL:$AL),1)))</f>
        <v/>
      </c>
      <c r="H121">
        <f>IF(F121=1, 1, 0)</f>
        <v/>
      </c>
      <c r="I121" s="12" t="n"/>
      <c r="J121" s="12" t="n"/>
      <c r="M121" s="16" t="n"/>
      <c r="O121" s="16" t="n"/>
      <c r="T121" s="16" t="n"/>
      <c r="V121" s="16" t="n"/>
      <c r="X121" s="16" t="n"/>
      <c r="Y121" s="14" t="n"/>
      <c r="Z121" s="14" t="n"/>
      <c r="AA121" s="16" t="n"/>
      <c r="AB121" s="14" t="n"/>
      <c r="AC121" s="16" t="n"/>
      <c r="AD121" s="14" t="n"/>
      <c r="AE121" s="14" t="n"/>
      <c r="AF121" s="14" t="n"/>
      <c r="AG121" s="14" t="n"/>
      <c r="AH121" s="14" t="n"/>
      <c r="AL121" s="12" t="n"/>
      <c r="AM121" s="12" t="n"/>
      <c r="AP121" s="14" t="n"/>
      <c r="AR121" s="14" t="n"/>
      <c r="AT121" s="15" t="n"/>
      <c r="AU121" s="15" t="n"/>
      <c r="AV121" s="16" t="n"/>
    </row>
    <row r="122">
      <c r="A122" s="12" t="n"/>
      <c r="B122">
        <f>IF(ISBLANK(X122),0,IF(X122&gt;=0.65, "BB", "AMZ"))</f>
        <v/>
      </c>
      <c r="C122">
        <f>IF(AND(L122&lt;N122,L122&lt;P122), MIN(L122,K122), IFERROR(SUM(IFERROR(L122*$B$2,0), IFERROR(N122*$C$2,0), IFERROR(P122*$D$2,0))/SUM(IF(L122&gt;0,$B$2,0), IF(N122&gt;0,$C$2,0), IF(P122&gt;0,$D$2,0)), 0))</f>
        <v/>
      </c>
      <c r="D122">
        <f>IF(AND(S122&lt;U122,S122&lt;W122), MIN(S122,R122), IFERROR(SUM(IFERROR(S122*$B$2,0), IFERROR(U122*$C$2,0), IFERROR(W122*$D$2,0))/SUM(IF(S122&gt;0,$B$2,0), IF(U122&gt;0,$C$2,0), IF(W122&gt;0,$D$2,0)), 0))</f>
        <v/>
      </c>
      <c r="E122">
        <f>IF(B122="BB",C122,MIN(C122,D122*(1-$F$2)))</f>
        <v/>
      </c>
      <c r="F122">
        <f>IF(ISBLANK(AL122),1,LEN(AL122)-LEN(SUBSTITUTE(AL122,",",""))+1)</f>
        <v/>
      </c>
      <c r="G122">
        <f>IF(F122=1,1,IF(OR(ISBLANK(AN122),AN122=0),"Manual",AN122/MAX(SUMIF($AK:$AK,AM122,$AL:$AL),1)))</f>
        <v/>
      </c>
      <c r="H122">
        <f>IF(F122=1, 1, 0)</f>
        <v/>
      </c>
      <c r="I122" s="12" t="n"/>
      <c r="J122" s="12" t="n"/>
      <c r="M122" s="16" t="n"/>
      <c r="O122" s="16" t="n"/>
      <c r="T122" s="16" t="n"/>
      <c r="V122" s="16" t="n"/>
      <c r="X122" s="16" t="n"/>
      <c r="Y122" s="14" t="n"/>
      <c r="Z122" s="14" t="n"/>
      <c r="AA122" s="16" t="n"/>
      <c r="AB122" s="14" t="n"/>
      <c r="AC122" s="16" t="n"/>
      <c r="AD122" s="14" t="n"/>
      <c r="AE122" s="14" t="n"/>
      <c r="AF122" s="14" t="n"/>
      <c r="AG122" s="14" t="n"/>
      <c r="AH122" s="14" t="n"/>
      <c r="AL122" s="12" t="n"/>
      <c r="AM122" s="12" t="n"/>
      <c r="AP122" s="14" t="n"/>
      <c r="AR122" s="14" t="n"/>
      <c r="AT122" s="15" t="n"/>
      <c r="AU122" s="15" t="n"/>
      <c r="AV122" s="16" t="n"/>
    </row>
    <row r="123">
      <c r="A123" s="12" t="n"/>
      <c r="B123">
        <f>IF(ISBLANK(X123),0,IF(X123&gt;=0.65, "BB", "AMZ"))</f>
        <v/>
      </c>
      <c r="C123">
        <f>IF(AND(L123&lt;N123,L123&lt;P123), MIN(L123,K123), IFERROR(SUM(IFERROR(L123*$B$2,0), IFERROR(N123*$C$2,0), IFERROR(P123*$D$2,0))/SUM(IF(L123&gt;0,$B$2,0), IF(N123&gt;0,$C$2,0), IF(P123&gt;0,$D$2,0)), 0))</f>
        <v/>
      </c>
      <c r="D123">
        <f>IF(AND(S123&lt;U123,S123&lt;W123), MIN(S123,R123), IFERROR(SUM(IFERROR(S123*$B$2,0), IFERROR(U123*$C$2,0), IFERROR(W123*$D$2,0))/SUM(IF(S123&gt;0,$B$2,0), IF(U123&gt;0,$C$2,0), IF(W123&gt;0,$D$2,0)), 0))</f>
        <v/>
      </c>
      <c r="E123">
        <f>IF(B123="BB",C123,MIN(C123,D123*(1-$F$2)))</f>
        <v/>
      </c>
      <c r="F123">
        <f>IF(ISBLANK(AL123),1,LEN(AL123)-LEN(SUBSTITUTE(AL123,",",""))+1)</f>
        <v/>
      </c>
      <c r="G123">
        <f>IF(F123=1,1,IF(OR(ISBLANK(AN123),AN123=0),"Manual",AN123/MAX(SUMIF($AK:$AK,AM123,$AL:$AL),1)))</f>
        <v/>
      </c>
      <c r="H123">
        <f>IF(F123=1, 1, 0)</f>
        <v/>
      </c>
      <c r="I123" s="12" t="n"/>
      <c r="J123" s="12" t="n"/>
      <c r="M123" s="16" t="n"/>
      <c r="O123" s="16" t="n"/>
      <c r="T123" s="16" t="n"/>
      <c r="V123" s="16" t="n"/>
      <c r="X123" s="16" t="n"/>
      <c r="Y123" s="14" t="n"/>
      <c r="Z123" s="14" t="n"/>
      <c r="AA123" s="16" t="n"/>
      <c r="AB123" s="14" t="n"/>
      <c r="AC123" s="16" t="n"/>
      <c r="AD123" s="14" t="n"/>
      <c r="AE123" s="14" t="n"/>
      <c r="AF123" s="14" t="n"/>
      <c r="AG123" s="14" t="n"/>
      <c r="AH123" s="14" t="n"/>
      <c r="AL123" s="12" t="n"/>
      <c r="AM123" s="12" t="n"/>
      <c r="AP123" s="14" t="n"/>
      <c r="AR123" s="14" t="n"/>
      <c r="AT123" s="15" t="n"/>
      <c r="AU123" s="15" t="n"/>
      <c r="AV123" s="16" t="n"/>
    </row>
    <row r="124">
      <c r="A124" s="12" t="n"/>
      <c r="B124">
        <f>IF(ISBLANK(X124),0,IF(X124&gt;=0.65, "BB", "AMZ"))</f>
        <v/>
      </c>
      <c r="C124">
        <f>IF(AND(L124&lt;N124,L124&lt;P124), MIN(L124,K124), IFERROR(SUM(IFERROR(L124*$B$2,0), IFERROR(N124*$C$2,0), IFERROR(P124*$D$2,0))/SUM(IF(L124&gt;0,$B$2,0), IF(N124&gt;0,$C$2,0), IF(P124&gt;0,$D$2,0)), 0))</f>
        <v/>
      </c>
      <c r="D124">
        <f>IF(AND(S124&lt;U124,S124&lt;W124), MIN(S124,R124), IFERROR(SUM(IFERROR(S124*$B$2,0), IFERROR(U124*$C$2,0), IFERROR(W124*$D$2,0))/SUM(IF(S124&gt;0,$B$2,0), IF(U124&gt;0,$C$2,0), IF(W124&gt;0,$D$2,0)), 0))</f>
        <v/>
      </c>
      <c r="E124">
        <f>IF(B124="BB",C124,MIN(C124,D124*(1-$F$2)))</f>
        <v/>
      </c>
      <c r="F124">
        <f>IF(ISBLANK(AL124),1,LEN(AL124)-LEN(SUBSTITUTE(AL124,",",""))+1)</f>
        <v/>
      </c>
      <c r="G124">
        <f>IF(F124=1,1,IF(OR(ISBLANK(AN124),AN124=0),"Manual",AN124/MAX(SUMIF($AK:$AK,AM124,$AL:$AL),1)))</f>
        <v/>
      </c>
      <c r="H124">
        <f>IF(F124=1, 1, 0)</f>
        <v/>
      </c>
      <c r="I124" s="12" t="n"/>
      <c r="J124" s="12" t="n"/>
      <c r="M124" s="16" t="n"/>
      <c r="O124" s="16" t="n"/>
      <c r="T124" s="16" t="n"/>
      <c r="V124" s="16" t="n"/>
      <c r="X124" s="16" t="n"/>
      <c r="Y124" s="14" t="n"/>
      <c r="Z124" s="14" t="n"/>
      <c r="AA124" s="16" t="n"/>
      <c r="AB124" s="14" t="n"/>
      <c r="AC124" s="16" t="n"/>
      <c r="AD124" s="14" t="n"/>
      <c r="AE124" s="14" t="n"/>
      <c r="AF124" s="14" t="n"/>
      <c r="AG124" s="14" t="n"/>
      <c r="AH124" s="14" t="n"/>
      <c r="AL124" s="12" t="n"/>
      <c r="AM124" s="12" t="n"/>
      <c r="AP124" s="14" t="n"/>
      <c r="AR124" s="14" t="n"/>
      <c r="AT124" s="15" t="n"/>
      <c r="AU124" s="15" t="n"/>
      <c r="AV124" s="16" t="n"/>
    </row>
    <row r="125">
      <c r="A125" s="12" t="n"/>
      <c r="B125">
        <f>IF(ISBLANK(X125),0,IF(X125&gt;=0.65, "BB", "AMZ"))</f>
        <v/>
      </c>
      <c r="C125">
        <f>IF(AND(L125&lt;N125,L125&lt;P125), MIN(L125,K125), IFERROR(SUM(IFERROR(L125*$B$2,0), IFERROR(N125*$C$2,0), IFERROR(P125*$D$2,0))/SUM(IF(L125&gt;0,$B$2,0), IF(N125&gt;0,$C$2,0), IF(P125&gt;0,$D$2,0)), 0))</f>
        <v/>
      </c>
      <c r="D125">
        <f>IF(AND(S125&lt;U125,S125&lt;W125), MIN(S125,R125), IFERROR(SUM(IFERROR(S125*$B$2,0), IFERROR(U125*$C$2,0), IFERROR(W125*$D$2,0))/SUM(IF(S125&gt;0,$B$2,0), IF(U125&gt;0,$C$2,0), IF(W125&gt;0,$D$2,0)), 0))</f>
        <v/>
      </c>
      <c r="E125">
        <f>IF(B125="BB",C125,MIN(C125,D125*(1-$F$2)))</f>
        <v/>
      </c>
      <c r="F125">
        <f>IF(ISBLANK(AL125),1,LEN(AL125)-LEN(SUBSTITUTE(AL125,",",""))+1)</f>
        <v/>
      </c>
      <c r="G125">
        <f>IF(F125=1,1,IF(OR(ISBLANK(AN125),AN125=0),"Manual",AN125/MAX(SUMIF($AK:$AK,AM125,$AL:$AL),1)))</f>
        <v/>
      </c>
      <c r="H125">
        <f>IF(F125=1, 1, 0)</f>
        <v/>
      </c>
      <c r="I125" s="12" t="n"/>
      <c r="J125" s="12" t="n"/>
      <c r="M125" s="16" t="n"/>
      <c r="O125" s="16" t="n"/>
      <c r="T125" s="16" t="n"/>
      <c r="V125" s="16" t="n"/>
      <c r="X125" s="16" t="n"/>
      <c r="Y125" s="14" t="n"/>
      <c r="Z125" s="14" t="n"/>
      <c r="AA125" s="16" t="n"/>
      <c r="AB125" s="14" t="n"/>
      <c r="AC125" s="16" t="n"/>
      <c r="AD125" s="14" t="n"/>
      <c r="AE125" s="14" t="n"/>
      <c r="AF125" s="14" t="n"/>
      <c r="AG125" s="14" t="n"/>
      <c r="AH125" s="14" t="n"/>
      <c r="AL125" s="12" t="n"/>
      <c r="AM125" s="12" t="n"/>
      <c r="AP125" s="14" t="n"/>
      <c r="AR125" s="14" t="n"/>
      <c r="AT125" s="15" t="n"/>
      <c r="AU125" s="15" t="n"/>
      <c r="AV125" s="16" t="n"/>
    </row>
    <row r="126">
      <c r="A126" s="12" t="n"/>
      <c r="B126">
        <f>IF(ISBLANK(X126),0,IF(X126&gt;=0.65, "BB", "AMZ"))</f>
        <v/>
      </c>
      <c r="C126">
        <f>IF(AND(L126&lt;N126,L126&lt;P126), MIN(L126,K126), IFERROR(SUM(IFERROR(L126*$B$2,0), IFERROR(N126*$C$2,0), IFERROR(P126*$D$2,0))/SUM(IF(L126&gt;0,$B$2,0), IF(N126&gt;0,$C$2,0), IF(P126&gt;0,$D$2,0)), 0))</f>
        <v/>
      </c>
      <c r="D126">
        <f>IF(AND(S126&lt;U126,S126&lt;W126), MIN(S126,R126), IFERROR(SUM(IFERROR(S126*$B$2,0), IFERROR(U126*$C$2,0), IFERROR(W126*$D$2,0))/SUM(IF(S126&gt;0,$B$2,0), IF(U126&gt;0,$C$2,0), IF(W126&gt;0,$D$2,0)), 0))</f>
        <v/>
      </c>
      <c r="E126">
        <f>IF(B126="BB",C126,MIN(C126,D126*(1-$F$2)))</f>
        <v/>
      </c>
      <c r="F126">
        <f>IF(ISBLANK(AL126),1,LEN(AL126)-LEN(SUBSTITUTE(AL126,",",""))+1)</f>
        <v/>
      </c>
      <c r="G126">
        <f>IF(F126=1,1,IF(OR(ISBLANK(AN126),AN126=0),"Manual",AN126/MAX(SUMIF($AK:$AK,AM126,$AL:$AL),1)))</f>
        <v/>
      </c>
      <c r="H126">
        <f>IF(F126=1, 1, 0)</f>
        <v/>
      </c>
      <c r="I126" s="12" t="n"/>
      <c r="J126" s="12" t="n"/>
      <c r="M126" s="16" t="n"/>
      <c r="O126" s="16" t="n"/>
      <c r="T126" s="16" t="n"/>
      <c r="V126" s="16" t="n"/>
      <c r="X126" s="16" t="n"/>
      <c r="Y126" s="14" t="n"/>
      <c r="Z126" s="14" t="n"/>
      <c r="AA126" s="16" t="n"/>
      <c r="AB126" s="14" t="n"/>
      <c r="AC126" s="16" t="n"/>
      <c r="AD126" s="14" t="n"/>
      <c r="AE126" s="14" t="n"/>
      <c r="AF126" s="14" t="n"/>
      <c r="AG126" s="14" t="n"/>
      <c r="AH126" s="14" t="n"/>
      <c r="AL126" s="12" t="n"/>
      <c r="AM126" s="12" t="n"/>
      <c r="AP126" s="14" t="n"/>
      <c r="AR126" s="14" t="n"/>
      <c r="AT126" s="15" t="n"/>
      <c r="AU126" s="15" t="n"/>
      <c r="AV126" s="16" t="n"/>
    </row>
    <row r="127">
      <c r="A127" s="12" t="n"/>
      <c r="B127">
        <f>IF(ISBLANK(X127),0,IF(X127&gt;=0.65, "BB", "AMZ"))</f>
        <v/>
      </c>
      <c r="C127">
        <f>IF(AND(L127&lt;N127,L127&lt;P127), MIN(L127,K127), IFERROR(SUM(IFERROR(L127*$B$2,0), IFERROR(N127*$C$2,0), IFERROR(P127*$D$2,0))/SUM(IF(L127&gt;0,$B$2,0), IF(N127&gt;0,$C$2,0), IF(P127&gt;0,$D$2,0)), 0))</f>
        <v/>
      </c>
      <c r="D127">
        <f>IF(AND(S127&lt;U127,S127&lt;W127), MIN(S127,R127), IFERROR(SUM(IFERROR(S127*$B$2,0), IFERROR(U127*$C$2,0), IFERROR(W127*$D$2,0))/SUM(IF(S127&gt;0,$B$2,0), IF(U127&gt;0,$C$2,0), IF(W127&gt;0,$D$2,0)), 0))</f>
        <v/>
      </c>
      <c r="E127">
        <f>IF(B127="BB",C127,MIN(C127,D127*(1-$F$2)))</f>
        <v/>
      </c>
      <c r="F127">
        <f>IF(ISBLANK(AL127),1,LEN(AL127)-LEN(SUBSTITUTE(AL127,",",""))+1)</f>
        <v/>
      </c>
      <c r="G127">
        <f>IF(F127=1,1,IF(OR(ISBLANK(AN127),AN127=0),"Manual",AN127/MAX(SUMIF($AK:$AK,AM127,$AL:$AL),1)))</f>
        <v/>
      </c>
      <c r="H127">
        <f>IF(F127=1, 1, 0)</f>
        <v/>
      </c>
      <c r="I127" s="12" t="n"/>
      <c r="J127" s="12" t="n"/>
      <c r="M127" s="16" t="n"/>
      <c r="O127" s="16" t="n"/>
      <c r="T127" s="16" t="n"/>
      <c r="V127" s="16" t="n"/>
      <c r="X127" s="16" t="n"/>
      <c r="Y127" s="14" t="n"/>
      <c r="Z127" s="14" t="n"/>
      <c r="AA127" s="16" t="n"/>
      <c r="AB127" s="14" t="n"/>
      <c r="AC127" s="16" t="n"/>
      <c r="AD127" s="14" t="n"/>
      <c r="AE127" s="14" t="n"/>
      <c r="AF127" s="14" t="n"/>
      <c r="AG127" s="14" t="n"/>
      <c r="AH127" s="14" t="n"/>
      <c r="AL127" s="12" t="n"/>
      <c r="AM127" s="12" t="n"/>
      <c r="AP127" s="14" t="n"/>
      <c r="AR127" s="14" t="n"/>
      <c r="AT127" s="15" t="n"/>
      <c r="AU127" s="15" t="n"/>
      <c r="AV127" s="16" t="n"/>
    </row>
    <row r="128">
      <c r="A128" s="12" t="n"/>
      <c r="B128">
        <f>IF(ISBLANK(X128),0,IF(X128&gt;=0.65, "BB", "AMZ"))</f>
        <v/>
      </c>
      <c r="C128">
        <f>IF(AND(L128&lt;N128,L128&lt;P128), MIN(L128,K128), IFERROR(SUM(IFERROR(L128*$B$2,0), IFERROR(N128*$C$2,0), IFERROR(P128*$D$2,0))/SUM(IF(L128&gt;0,$B$2,0), IF(N128&gt;0,$C$2,0), IF(P128&gt;0,$D$2,0)), 0))</f>
        <v/>
      </c>
      <c r="D128">
        <f>IF(AND(S128&lt;U128,S128&lt;W128), MIN(S128,R128), IFERROR(SUM(IFERROR(S128*$B$2,0), IFERROR(U128*$C$2,0), IFERROR(W128*$D$2,0))/SUM(IF(S128&gt;0,$B$2,0), IF(U128&gt;0,$C$2,0), IF(W128&gt;0,$D$2,0)), 0))</f>
        <v/>
      </c>
      <c r="E128">
        <f>IF(B128="BB",C128,MIN(C128,D128*(1-$F$2)))</f>
        <v/>
      </c>
      <c r="F128">
        <f>IF(ISBLANK(AL128),1,LEN(AL128)-LEN(SUBSTITUTE(AL128,",",""))+1)</f>
        <v/>
      </c>
      <c r="G128">
        <f>IF(F128=1,1,IF(OR(ISBLANK(AN128),AN128=0),"Manual",AN128/MAX(SUMIF($AK:$AK,AM128,$AL:$AL),1)))</f>
        <v/>
      </c>
      <c r="H128">
        <f>IF(F128=1, 1, 0)</f>
        <v/>
      </c>
      <c r="I128" s="12" t="n"/>
      <c r="J128" s="12" t="n"/>
      <c r="M128" s="16" t="n"/>
      <c r="O128" s="16" t="n"/>
      <c r="T128" s="16" t="n"/>
      <c r="V128" s="16" t="n"/>
      <c r="X128" s="16" t="n"/>
      <c r="Y128" s="14" t="n"/>
      <c r="Z128" s="14" t="n"/>
      <c r="AA128" s="16" t="n"/>
      <c r="AB128" s="14" t="n"/>
      <c r="AC128" s="16" t="n"/>
      <c r="AD128" s="14" t="n"/>
      <c r="AE128" s="14" t="n"/>
      <c r="AF128" s="14" t="n"/>
      <c r="AG128" s="14" t="n"/>
      <c r="AH128" s="14" t="n"/>
      <c r="AL128" s="12" t="n"/>
      <c r="AM128" s="12" t="n"/>
      <c r="AP128" s="14" t="n"/>
      <c r="AR128" s="14" t="n"/>
      <c r="AT128" s="15" t="n"/>
      <c r="AU128" s="15" t="n"/>
      <c r="AV128" s="16" t="n"/>
    </row>
    <row r="129">
      <c r="A129" s="12" t="n"/>
      <c r="B129">
        <f>IF(ISBLANK(X129),0,IF(X129&gt;=0.65, "BB", "AMZ"))</f>
        <v/>
      </c>
      <c r="C129">
        <f>IF(AND(L129&lt;N129,L129&lt;P129), MIN(L129,K129), IFERROR(SUM(IFERROR(L129*$B$2,0), IFERROR(N129*$C$2,0), IFERROR(P129*$D$2,0))/SUM(IF(L129&gt;0,$B$2,0), IF(N129&gt;0,$C$2,0), IF(P129&gt;0,$D$2,0)), 0))</f>
        <v/>
      </c>
      <c r="D129">
        <f>IF(AND(S129&lt;U129,S129&lt;W129), MIN(S129,R129), IFERROR(SUM(IFERROR(S129*$B$2,0), IFERROR(U129*$C$2,0), IFERROR(W129*$D$2,0))/SUM(IF(S129&gt;0,$B$2,0), IF(U129&gt;0,$C$2,0), IF(W129&gt;0,$D$2,0)), 0))</f>
        <v/>
      </c>
      <c r="E129">
        <f>IF(B129="BB",C129,MIN(C129,D129*(1-$F$2)))</f>
        <v/>
      </c>
      <c r="F129">
        <f>IF(ISBLANK(AL129),1,LEN(AL129)-LEN(SUBSTITUTE(AL129,",",""))+1)</f>
        <v/>
      </c>
      <c r="G129">
        <f>IF(F129=1,1,IF(OR(ISBLANK(AN129),AN129=0),"Manual",AN129/MAX(SUMIF($AK:$AK,AM129,$AL:$AL),1)))</f>
        <v/>
      </c>
      <c r="H129">
        <f>IF(F129=1, 1, 0)</f>
        <v/>
      </c>
      <c r="I129" s="12" t="n"/>
      <c r="J129" s="12" t="n"/>
      <c r="M129" s="16" t="n"/>
      <c r="O129" s="16" t="n"/>
      <c r="T129" s="16" t="n"/>
      <c r="V129" s="16" t="n"/>
      <c r="X129" s="16" t="n"/>
      <c r="Y129" s="14" t="n"/>
      <c r="Z129" s="14" t="n"/>
      <c r="AA129" s="16" t="n"/>
      <c r="AB129" s="14" t="n"/>
      <c r="AC129" s="16" t="n"/>
      <c r="AD129" s="14" t="n"/>
      <c r="AE129" s="14" t="n"/>
      <c r="AF129" s="14" t="n"/>
      <c r="AG129" s="14" t="n"/>
      <c r="AH129" s="14" t="n"/>
      <c r="AL129" s="12" t="n"/>
      <c r="AM129" s="12" t="n"/>
      <c r="AP129" s="14" t="n"/>
      <c r="AR129" s="14" t="n"/>
      <c r="AT129" s="15" t="n"/>
      <c r="AU129" s="15" t="n"/>
      <c r="AV129" s="16" t="n"/>
    </row>
    <row r="130">
      <c r="A130" s="12" t="n"/>
      <c r="B130">
        <f>IF(ISBLANK(X130),0,IF(X130&gt;=0.65, "BB", "AMZ"))</f>
        <v/>
      </c>
      <c r="C130">
        <f>IF(AND(L130&lt;N130,L130&lt;P130), MIN(L130,K130), IFERROR(SUM(IFERROR(L130*$B$2,0), IFERROR(N130*$C$2,0), IFERROR(P130*$D$2,0))/SUM(IF(L130&gt;0,$B$2,0), IF(N130&gt;0,$C$2,0), IF(P130&gt;0,$D$2,0)), 0))</f>
        <v/>
      </c>
      <c r="D130">
        <f>IF(AND(S130&lt;U130,S130&lt;W130), MIN(S130,R130), IFERROR(SUM(IFERROR(S130*$B$2,0), IFERROR(U130*$C$2,0), IFERROR(W130*$D$2,0))/SUM(IF(S130&gt;0,$B$2,0), IF(U130&gt;0,$C$2,0), IF(W130&gt;0,$D$2,0)), 0))</f>
        <v/>
      </c>
      <c r="E130">
        <f>IF(B130="BB",C130,MIN(C130,D130*(1-$F$2)))</f>
        <v/>
      </c>
      <c r="F130">
        <f>IF(ISBLANK(AL130),1,LEN(AL130)-LEN(SUBSTITUTE(AL130,",",""))+1)</f>
        <v/>
      </c>
      <c r="G130">
        <f>IF(F130=1,1,IF(OR(ISBLANK(AN130),AN130=0),"Manual",AN130/MAX(SUMIF($AK:$AK,AM130,$AL:$AL),1)))</f>
        <v/>
      </c>
      <c r="H130">
        <f>IF(F130=1, 1, 0)</f>
        <v/>
      </c>
      <c r="I130" s="12" t="n"/>
      <c r="J130" s="12" t="n"/>
      <c r="M130" s="16" t="n"/>
      <c r="O130" s="16" t="n"/>
      <c r="T130" s="16" t="n"/>
      <c r="V130" s="16" t="n"/>
      <c r="X130" s="16" t="n"/>
      <c r="Y130" s="14" t="n"/>
      <c r="Z130" s="14" t="n"/>
      <c r="AA130" s="16" t="n"/>
      <c r="AB130" s="14" t="n"/>
      <c r="AC130" s="16" t="n"/>
      <c r="AD130" s="14" t="n"/>
      <c r="AE130" s="14" t="n"/>
      <c r="AF130" s="14" t="n"/>
      <c r="AG130" s="14" t="n"/>
      <c r="AH130" s="14" t="n"/>
      <c r="AL130" s="12" t="n"/>
      <c r="AM130" s="12" t="n"/>
      <c r="AP130" s="14" t="n"/>
      <c r="AR130" s="14" t="n"/>
      <c r="AT130" s="15" t="n"/>
      <c r="AU130" s="15" t="n"/>
      <c r="AV130" s="16" t="n"/>
    </row>
    <row r="131">
      <c r="A131" s="12" t="n"/>
      <c r="B131">
        <f>IF(ISBLANK(X131),0,IF(X131&gt;=0.65, "BB", "AMZ"))</f>
        <v/>
      </c>
      <c r="C131">
        <f>IF(AND(L131&lt;N131,L131&lt;P131), MIN(L131,K131), IFERROR(SUM(IFERROR(L131*$B$2,0), IFERROR(N131*$C$2,0), IFERROR(P131*$D$2,0))/SUM(IF(L131&gt;0,$B$2,0), IF(N131&gt;0,$C$2,0), IF(P131&gt;0,$D$2,0)), 0))</f>
        <v/>
      </c>
      <c r="D131">
        <f>IF(AND(S131&lt;U131,S131&lt;W131), MIN(S131,R131), IFERROR(SUM(IFERROR(S131*$B$2,0), IFERROR(U131*$C$2,0), IFERROR(W131*$D$2,0))/SUM(IF(S131&gt;0,$B$2,0), IF(U131&gt;0,$C$2,0), IF(W131&gt;0,$D$2,0)), 0))</f>
        <v/>
      </c>
      <c r="E131">
        <f>IF(B131="BB",C131,MIN(C131,D131*(1-$F$2)))</f>
        <v/>
      </c>
      <c r="F131">
        <f>IF(ISBLANK(AL131),1,LEN(AL131)-LEN(SUBSTITUTE(AL131,",",""))+1)</f>
        <v/>
      </c>
      <c r="G131">
        <f>IF(F131=1,1,IF(OR(ISBLANK(AN131),AN131=0),"Manual",AN131/MAX(SUMIF($AK:$AK,AM131,$AL:$AL),1)))</f>
        <v/>
      </c>
      <c r="H131">
        <f>IF(F131=1, 1, 0)</f>
        <v/>
      </c>
      <c r="I131" s="12" t="n"/>
      <c r="J131" s="12" t="n"/>
      <c r="M131" s="16" t="n"/>
      <c r="O131" s="16" t="n"/>
      <c r="T131" s="16" t="n"/>
      <c r="V131" s="16" t="n"/>
      <c r="X131" s="16" t="n"/>
      <c r="Y131" s="14" t="n"/>
      <c r="Z131" s="14" t="n"/>
      <c r="AA131" s="16" t="n"/>
      <c r="AB131" s="14" t="n"/>
      <c r="AC131" s="16" t="n"/>
      <c r="AD131" s="14" t="n"/>
      <c r="AE131" s="14" t="n"/>
      <c r="AF131" s="14" t="n"/>
      <c r="AG131" s="14" t="n"/>
      <c r="AH131" s="14" t="n"/>
      <c r="AL131" s="12" t="n"/>
      <c r="AM131" s="12" t="n"/>
      <c r="AP131" s="14" t="n"/>
      <c r="AR131" s="14" t="n"/>
      <c r="AT131" s="15" t="n"/>
      <c r="AU131" s="15" t="n"/>
      <c r="AV131" s="16" t="n"/>
    </row>
    <row r="132">
      <c r="A132" s="12" t="n"/>
      <c r="B132">
        <f>IF(ISBLANK(X132),0,IF(X132&gt;=0.65, "BB", "AMZ"))</f>
        <v/>
      </c>
      <c r="C132">
        <f>IF(AND(L132&lt;N132,L132&lt;P132), MIN(L132,K132), IFERROR(SUM(IFERROR(L132*$B$2,0), IFERROR(N132*$C$2,0), IFERROR(P132*$D$2,0))/SUM(IF(L132&gt;0,$B$2,0), IF(N132&gt;0,$C$2,0), IF(P132&gt;0,$D$2,0)), 0))</f>
        <v/>
      </c>
      <c r="D132">
        <f>IF(AND(S132&lt;U132,S132&lt;W132), MIN(S132,R132), IFERROR(SUM(IFERROR(S132*$B$2,0), IFERROR(U132*$C$2,0), IFERROR(W132*$D$2,0))/SUM(IF(S132&gt;0,$B$2,0), IF(U132&gt;0,$C$2,0), IF(W132&gt;0,$D$2,0)), 0))</f>
        <v/>
      </c>
      <c r="E132">
        <f>IF(B132="BB",C132,MIN(C132,D132*(1-$F$2)))</f>
        <v/>
      </c>
      <c r="F132">
        <f>IF(ISBLANK(AL132),1,LEN(AL132)-LEN(SUBSTITUTE(AL132,",",""))+1)</f>
        <v/>
      </c>
      <c r="G132">
        <f>IF(F132=1,1,IF(OR(ISBLANK(AN132),AN132=0),"Manual",AN132/MAX(SUMIF($AK:$AK,AM132,$AL:$AL),1)))</f>
        <v/>
      </c>
      <c r="H132">
        <f>IF(F132=1, 1, 0)</f>
        <v/>
      </c>
      <c r="I132" s="12" t="n"/>
      <c r="J132" s="12" t="n"/>
      <c r="M132" s="16" t="n"/>
      <c r="O132" s="16" t="n"/>
      <c r="T132" s="16" t="n"/>
      <c r="V132" s="16" t="n"/>
      <c r="X132" s="16" t="n"/>
      <c r="Y132" s="14" t="n"/>
      <c r="Z132" s="14" t="n"/>
      <c r="AA132" s="16" t="n"/>
      <c r="AB132" s="14" t="n"/>
      <c r="AC132" s="16" t="n"/>
      <c r="AD132" s="14" t="n"/>
      <c r="AE132" s="14" t="n"/>
      <c r="AF132" s="14" t="n"/>
      <c r="AG132" s="14" t="n"/>
      <c r="AH132" s="14" t="n"/>
      <c r="AL132" s="12" t="n"/>
      <c r="AM132" s="12" t="n"/>
      <c r="AP132" s="14" t="n"/>
      <c r="AR132" s="14" t="n"/>
      <c r="AT132" s="15" t="n"/>
      <c r="AU132" s="15" t="n"/>
      <c r="AV132" s="16" t="n"/>
    </row>
    <row r="133">
      <c r="A133" s="12" t="n"/>
      <c r="B133">
        <f>IF(ISBLANK(X133),0,IF(X133&gt;=0.65, "BB", "AMZ"))</f>
        <v/>
      </c>
      <c r="C133">
        <f>IF(AND(L133&lt;N133,L133&lt;P133), MIN(L133,K133), IFERROR(SUM(IFERROR(L133*$B$2,0), IFERROR(N133*$C$2,0), IFERROR(P133*$D$2,0))/SUM(IF(L133&gt;0,$B$2,0), IF(N133&gt;0,$C$2,0), IF(P133&gt;0,$D$2,0)), 0))</f>
        <v/>
      </c>
      <c r="D133">
        <f>IF(AND(S133&lt;U133,S133&lt;W133), MIN(S133,R133), IFERROR(SUM(IFERROR(S133*$B$2,0), IFERROR(U133*$C$2,0), IFERROR(W133*$D$2,0))/SUM(IF(S133&gt;0,$B$2,0), IF(U133&gt;0,$C$2,0), IF(W133&gt;0,$D$2,0)), 0))</f>
        <v/>
      </c>
      <c r="E133">
        <f>IF(B133="BB",C133,MIN(C133,D133*(1-$F$2)))</f>
        <v/>
      </c>
      <c r="F133">
        <f>IF(ISBLANK(AL133),1,LEN(AL133)-LEN(SUBSTITUTE(AL133,",",""))+1)</f>
        <v/>
      </c>
      <c r="G133">
        <f>IF(F133=1,1,IF(OR(ISBLANK(AN133),AN133=0),"Manual",AN133/MAX(SUMIF($AK:$AK,AM133,$AL:$AL),1)))</f>
        <v/>
      </c>
      <c r="H133">
        <f>IF(F133=1, 1, 0)</f>
        <v/>
      </c>
      <c r="I133" s="12" t="n"/>
      <c r="J133" s="12" t="n"/>
      <c r="M133" s="16" t="n"/>
      <c r="O133" s="16" t="n"/>
      <c r="T133" s="16" t="n"/>
      <c r="V133" s="16" t="n"/>
      <c r="X133" s="16" t="n"/>
      <c r="Y133" s="14" t="n"/>
      <c r="Z133" s="14" t="n"/>
      <c r="AA133" s="16" t="n"/>
      <c r="AB133" s="14" t="n"/>
      <c r="AC133" s="16" t="n"/>
      <c r="AD133" s="14" t="n"/>
      <c r="AE133" s="14" t="n"/>
      <c r="AF133" s="14" t="n"/>
      <c r="AG133" s="14" t="n"/>
      <c r="AH133" s="14" t="n"/>
      <c r="AL133" s="12" t="n"/>
      <c r="AM133" s="12" t="n"/>
      <c r="AP133" s="14" t="n"/>
      <c r="AR133" s="14" t="n"/>
      <c r="AT133" s="15" t="n"/>
      <c r="AU133" s="15" t="n"/>
      <c r="AV133" s="16" t="n"/>
    </row>
    <row r="134">
      <c r="A134" s="12" t="n"/>
      <c r="B134">
        <f>IF(ISBLANK(X134),0,IF(X134&gt;=0.65, "BB", "AMZ"))</f>
        <v/>
      </c>
      <c r="C134">
        <f>IF(AND(L134&lt;N134,L134&lt;P134), MIN(L134,K134), IFERROR(SUM(IFERROR(L134*$B$2,0), IFERROR(N134*$C$2,0), IFERROR(P134*$D$2,0))/SUM(IF(L134&gt;0,$B$2,0), IF(N134&gt;0,$C$2,0), IF(P134&gt;0,$D$2,0)), 0))</f>
        <v/>
      </c>
      <c r="D134">
        <f>IF(AND(S134&lt;U134,S134&lt;W134), MIN(S134,R134), IFERROR(SUM(IFERROR(S134*$B$2,0), IFERROR(U134*$C$2,0), IFERROR(W134*$D$2,0))/SUM(IF(S134&gt;0,$B$2,0), IF(U134&gt;0,$C$2,0), IF(W134&gt;0,$D$2,0)), 0))</f>
        <v/>
      </c>
      <c r="E134">
        <f>IF(B134="BB",C134,MIN(C134,D134*(1-$F$2)))</f>
        <v/>
      </c>
      <c r="F134">
        <f>IF(ISBLANK(AL134),1,LEN(AL134)-LEN(SUBSTITUTE(AL134,",",""))+1)</f>
        <v/>
      </c>
      <c r="G134">
        <f>IF(F134=1,1,IF(OR(ISBLANK(AN134),AN134=0),"Manual",AN134/MAX(SUMIF($AK:$AK,AM134,$AL:$AL),1)))</f>
        <v/>
      </c>
      <c r="H134">
        <f>IF(F134=1, 1, 0)</f>
        <v/>
      </c>
      <c r="I134" s="12" t="n"/>
      <c r="J134" s="12" t="n"/>
      <c r="M134" s="16" t="n"/>
      <c r="O134" s="16" t="n"/>
      <c r="T134" s="16" t="n"/>
      <c r="V134" s="16" t="n"/>
      <c r="X134" s="16" t="n"/>
      <c r="Y134" s="14" t="n"/>
      <c r="Z134" s="14" t="n"/>
      <c r="AA134" s="16" t="n"/>
      <c r="AB134" s="14" t="n"/>
      <c r="AC134" s="16" t="n"/>
      <c r="AD134" s="14" t="n"/>
      <c r="AE134" s="14" t="n"/>
      <c r="AF134" s="14" t="n"/>
      <c r="AG134" s="14" t="n"/>
      <c r="AH134" s="14" t="n"/>
      <c r="AL134" s="12" t="n"/>
      <c r="AM134" s="12" t="n"/>
      <c r="AP134" s="14" t="n"/>
      <c r="AR134" s="14" t="n"/>
      <c r="AT134" s="15" t="n"/>
      <c r="AU134" s="15" t="n"/>
      <c r="AV134" s="16" t="n"/>
    </row>
    <row r="135">
      <c r="A135" s="12" t="n"/>
      <c r="B135">
        <f>IF(ISBLANK(X135),0,IF(X135&gt;=0.65, "BB", "AMZ"))</f>
        <v/>
      </c>
      <c r="C135">
        <f>IF(AND(L135&lt;N135,L135&lt;P135), MIN(L135,K135), IFERROR(SUM(IFERROR(L135*$B$2,0), IFERROR(N135*$C$2,0), IFERROR(P135*$D$2,0))/SUM(IF(L135&gt;0,$B$2,0), IF(N135&gt;0,$C$2,0), IF(P135&gt;0,$D$2,0)), 0))</f>
        <v/>
      </c>
      <c r="D135">
        <f>IF(AND(S135&lt;U135,S135&lt;W135), MIN(S135,R135), IFERROR(SUM(IFERROR(S135*$B$2,0), IFERROR(U135*$C$2,0), IFERROR(W135*$D$2,0))/SUM(IF(S135&gt;0,$B$2,0), IF(U135&gt;0,$C$2,0), IF(W135&gt;0,$D$2,0)), 0))</f>
        <v/>
      </c>
      <c r="E135">
        <f>IF(B135="BB",C135,MIN(C135,D135*(1-$F$2)))</f>
        <v/>
      </c>
      <c r="F135">
        <f>IF(ISBLANK(AL135),1,LEN(AL135)-LEN(SUBSTITUTE(AL135,",",""))+1)</f>
        <v/>
      </c>
      <c r="G135">
        <f>IF(F135=1,1,IF(OR(ISBLANK(AN135),AN135=0),"Manual",AN135/MAX(SUMIF($AK:$AK,AM135,$AL:$AL),1)))</f>
        <v/>
      </c>
      <c r="H135">
        <f>IF(F135=1, 1, 0)</f>
        <v/>
      </c>
      <c r="I135" s="12" t="n"/>
      <c r="J135" s="12" t="n"/>
      <c r="M135" s="16" t="n"/>
      <c r="O135" s="16" t="n"/>
      <c r="T135" s="16" t="n"/>
      <c r="V135" s="16" t="n"/>
      <c r="X135" s="16" t="n"/>
      <c r="Y135" s="14" t="n"/>
      <c r="Z135" s="14" t="n"/>
      <c r="AA135" s="16" t="n"/>
      <c r="AB135" s="14" t="n"/>
      <c r="AC135" s="16" t="n"/>
      <c r="AD135" s="14" t="n"/>
      <c r="AE135" s="14" t="n"/>
      <c r="AF135" s="14" t="n"/>
      <c r="AG135" s="14" t="n"/>
      <c r="AH135" s="14" t="n"/>
      <c r="AL135" s="12" t="n"/>
      <c r="AM135" s="12" t="n"/>
      <c r="AP135" s="14" t="n"/>
      <c r="AR135" s="14" t="n"/>
      <c r="AT135" s="15" t="n"/>
      <c r="AU135" s="15" t="n"/>
      <c r="AV135" s="16" t="n"/>
    </row>
    <row r="136">
      <c r="A136" s="12" t="n"/>
      <c r="B136">
        <f>IF(ISBLANK(X136),0,IF(X136&gt;=0.65, "BB", "AMZ"))</f>
        <v/>
      </c>
      <c r="C136">
        <f>IF(AND(L136&lt;N136,L136&lt;P136), MIN(L136,K136), IFERROR(SUM(IFERROR(L136*$B$2,0), IFERROR(N136*$C$2,0), IFERROR(P136*$D$2,0))/SUM(IF(L136&gt;0,$B$2,0), IF(N136&gt;0,$C$2,0), IF(P136&gt;0,$D$2,0)), 0))</f>
        <v/>
      </c>
      <c r="D136">
        <f>IF(AND(S136&lt;U136,S136&lt;W136), MIN(S136,R136), IFERROR(SUM(IFERROR(S136*$B$2,0), IFERROR(U136*$C$2,0), IFERROR(W136*$D$2,0))/SUM(IF(S136&gt;0,$B$2,0), IF(U136&gt;0,$C$2,0), IF(W136&gt;0,$D$2,0)), 0))</f>
        <v/>
      </c>
      <c r="E136">
        <f>IF(B136="BB",C136,MIN(C136,D136*(1-$F$2)))</f>
        <v/>
      </c>
      <c r="F136">
        <f>IF(ISBLANK(AL136),1,LEN(AL136)-LEN(SUBSTITUTE(AL136,",",""))+1)</f>
        <v/>
      </c>
      <c r="G136">
        <f>IF(F136=1,1,IF(OR(ISBLANK(AN136),AN136=0),"Manual",AN136/MAX(SUMIF($AK:$AK,AM136,$AL:$AL),1)))</f>
        <v/>
      </c>
      <c r="H136">
        <f>IF(F136=1, 1, 0)</f>
        <v/>
      </c>
      <c r="I136" s="12" t="n"/>
      <c r="J136" s="12" t="n"/>
      <c r="M136" s="16" t="n"/>
      <c r="O136" s="16" t="n"/>
      <c r="T136" s="16" t="n"/>
      <c r="V136" s="16" t="n"/>
      <c r="X136" s="16" t="n"/>
      <c r="Y136" s="14" t="n"/>
      <c r="Z136" s="14" t="n"/>
      <c r="AA136" s="16" t="n"/>
      <c r="AB136" s="14" t="n"/>
      <c r="AC136" s="16" t="n"/>
      <c r="AD136" s="14" t="n"/>
      <c r="AE136" s="14" t="n"/>
      <c r="AF136" s="14" t="n"/>
      <c r="AG136" s="14" t="n"/>
      <c r="AH136" s="14" t="n"/>
      <c r="AL136" s="12" t="n"/>
      <c r="AM136" s="12" t="n"/>
      <c r="AP136" s="14" t="n"/>
      <c r="AR136" s="14" t="n"/>
      <c r="AT136" s="15" t="n"/>
      <c r="AU136" s="15" t="n"/>
      <c r="AV136" s="16" t="n"/>
    </row>
    <row r="137">
      <c r="A137" s="12" t="n"/>
      <c r="B137">
        <f>IF(ISBLANK(X137),0,IF(X137&gt;=0.65, "BB", "AMZ"))</f>
        <v/>
      </c>
      <c r="C137">
        <f>IF(AND(L137&lt;N137,L137&lt;P137), MIN(L137,K137), IFERROR(SUM(IFERROR(L137*$B$2,0), IFERROR(N137*$C$2,0), IFERROR(P137*$D$2,0))/SUM(IF(L137&gt;0,$B$2,0), IF(N137&gt;0,$C$2,0), IF(P137&gt;0,$D$2,0)), 0))</f>
        <v/>
      </c>
      <c r="D137">
        <f>IF(AND(S137&lt;U137,S137&lt;W137), MIN(S137,R137), IFERROR(SUM(IFERROR(S137*$B$2,0), IFERROR(U137*$C$2,0), IFERROR(W137*$D$2,0))/SUM(IF(S137&gt;0,$B$2,0), IF(U137&gt;0,$C$2,0), IF(W137&gt;0,$D$2,0)), 0))</f>
        <v/>
      </c>
      <c r="E137">
        <f>IF(B137="BB",C137,MIN(C137,D137*(1-$F$2)))</f>
        <v/>
      </c>
      <c r="F137">
        <f>IF(ISBLANK(AL137),1,LEN(AL137)-LEN(SUBSTITUTE(AL137,",",""))+1)</f>
        <v/>
      </c>
      <c r="G137">
        <f>IF(F137=1,1,IF(OR(ISBLANK(AN137),AN137=0),"Manual",AN137/MAX(SUMIF($AK:$AK,AM137,$AL:$AL),1)))</f>
        <v/>
      </c>
      <c r="H137">
        <f>IF(F137=1, 1, 0)</f>
        <v/>
      </c>
      <c r="I137" s="12" t="n"/>
      <c r="J137" s="12" t="n"/>
      <c r="M137" s="16" t="n"/>
      <c r="O137" s="16" t="n"/>
      <c r="T137" s="16" t="n"/>
      <c r="V137" s="16" t="n"/>
      <c r="X137" s="16" t="n"/>
      <c r="Y137" s="14" t="n"/>
      <c r="Z137" s="14" t="n"/>
      <c r="AA137" s="16" t="n"/>
      <c r="AB137" s="14" t="n"/>
      <c r="AC137" s="16" t="n"/>
      <c r="AD137" s="14" t="n"/>
      <c r="AE137" s="14" t="n"/>
      <c r="AF137" s="14" t="n"/>
      <c r="AG137" s="14" t="n"/>
      <c r="AH137" s="14" t="n"/>
      <c r="AL137" s="12" t="n"/>
      <c r="AM137" s="12" t="n"/>
      <c r="AP137" s="14" t="n"/>
      <c r="AR137" s="14" t="n"/>
      <c r="AT137" s="15" t="n"/>
      <c r="AU137" s="15" t="n"/>
      <c r="AV137" s="16" t="n"/>
    </row>
    <row r="138">
      <c r="A138" s="12" t="n"/>
      <c r="B138">
        <f>IF(ISBLANK(X138),0,IF(X138&gt;=0.65, "BB", "AMZ"))</f>
        <v/>
      </c>
      <c r="C138">
        <f>IF(AND(L138&lt;N138,L138&lt;P138), MIN(L138,K138), IFERROR(SUM(IFERROR(L138*$B$2,0), IFERROR(N138*$C$2,0), IFERROR(P138*$D$2,0))/SUM(IF(L138&gt;0,$B$2,0), IF(N138&gt;0,$C$2,0), IF(P138&gt;0,$D$2,0)), 0))</f>
        <v/>
      </c>
      <c r="D138">
        <f>IF(AND(S138&lt;U138,S138&lt;W138), MIN(S138,R138), IFERROR(SUM(IFERROR(S138*$B$2,0), IFERROR(U138*$C$2,0), IFERROR(W138*$D$2,0))/SUM(IF(S138&gt;0,$B$2,0), IF(U138&gt;0,$C$2,0), IF(W138&gt;0,$D$2,0)), 0))</f>
        <v/>
      </c>
      <c r="E138">
        <f>IF(B138="BB",C138,MIN(C138,D138*(1-$F$2)))</f>
        <v/>
      </c>
      <c r="F138">
        <f>IF(ISBLANK(AL138),1,LEN(AL138)-LEN(SUBSTITUTE(AL138,",",""))+1)</f>
        <v/>
      </c>
      <c r="G138">
        <f>IF(F138=1,1,IF(OR(ISBLANK(AN138),AN138=0),"Manual",AN138/MAX(SUMIF($AK:$AK,AM138,$AL:$AL),1)))</f>
        <v/>
      </c>
      <c r="H138">
        <f>IF(F138=1, 1, 0)</f>
        <v/>
      </c>
      <c r="I138" s="12" t="n"/>
      <c r="J138" s="12" t="n"/>
      <c r="M138" s="16" t="n"/>
      <c r="O138" s="16" t="n"/>
      <c r="T138" s="16" t="n"/>
      <c r="V138" s="16" t="n"/>
      <c r="X138" s="16" t="n"/>
      <c r="Y138" s="14" t="n"/>
      <c r="Z138" s="14" t="n"/>
      <c r="AA138" s="16" t="n"/>
      <c r="AB138" s="14" t="n"/>
      <c r="AC138" s="16" t="n"/>
      <c r="AD138" s="14" t="n"/>
      <c r="AE138" s="14" t="n"/>
      <c r="AF138" s="14" t="n"/>
      <c r="AG138" s="14" t="n"/>
      <c r="AH138" s="14" t="n"/>
      <c r="AL138" s="12" t="n"/>
      <c r="AM138" s="12" t="n"/>
      <c r="AP138" s="14" t="n"/>
      <c r="AR138" s="14" t="n"/>
      <c r="AT138" s="15" t="n"/>
      <c r="AU138" s="15" t="n"/>
      <c r="AV138" s="16" t="n"/>
    </row>
    <row r="139">
      <c r="A139" s="12" t="n"/>
      <c r="B139">
        <f>IF(ISBLANK(X139),0,IF(X139&gt;=0.65, "BB", "AMZ"))</f>
        <v/>
      </c>
      <c r="C139">
        <f>IF(AND(L139&lt;N139,L139&lt;P139), MIN(L139,K139), IFERROR(SUM(IFERROR(L139*$B$2,0), IFERROR(N139*$C$2,0), IFERROR(P139*$D$2,0))/SUM(IF(L139&gt;0,$B$2,0), IF(N139&gt;0,$C$2,0), IF(P139&gt;0,$D$2,0)), 0))</f>
        <v/>
      </c>
      <c r="D139">
        <f>IF(AND(S139&lt;U139,S139&lt;W139), MIN(S139,R139), IFERROR(SUM(IFERROR(S139*$B$2,0), IFERROR(U139*$C$2,0), IFERROR(W139*$D$2,0))/SUM(IF(S139&gt;0,$B$2,0), IF(U139&gt;0,$C$2,0), IF(W139&gt;0,$D$2,0)), 0))</f>
        <v/>
      </c>
      <c r="E139">
        <f>IF(B139="BB",C139,MIN(C139,D139*(1-$F$2)))</f>
        <v/>
      </c>
      <c r="F139">
        <f>IF(ISBLANK(AL139),1,LEN(AL139)-LEN(SUBSTITUTE(AL139,",",""))+1)</f>
        <v/>
      </c>
      <c r="G139">
        <f>IF(F139=1,1,IF(OR(ISBLANK(AN139),AN139=0),"Manual",AN139/MAX(SUMIF($AK:$AK,AM139,$AL:$AL),1)))</f>
        <v/>
      </c>
      <c r="H139">
        <f>IF(F139=1, 1, 0)</f>
        <v/>
      </c>
      <c r="I139" s="12" t="n"/>
      <c r="J139" s="12" t="n"/>
      <c r="M139" s="16" t="n"/>
      <c r="O139" s="16" t="n"/>
      <c r="T139" s="16" t="n"/>
      <c r="V139" s="16" t="n"/>
      <c r="X139" s="16" t="n"/>
      <c r="Y139" s="14" t="n"/>
      <c r="Z139" s="14" t="n"/>
      <c r="AA139" s="16" t="n"/>
      <c r="AB139" s="14" t="n"/>
      <c r="AC139" s="16" t="n"/>
      <c r="AD139" s="14" t="n"/>
      <c r="AE139" s="14" t="n"/>
      <c r="AF139" s="14" t="n"/>
      <c r="AG139" s="14" t="n"/>
      <c r="AH139" s="14" t="n"/>
      <c r="AL139" s="12" t="n"/>
      <c r="AM139" s="12" t="n"/>
      <c r="AP139" s="14" t="n"/>
      <c r="AR139" s="14" t="n"/>
      <c r="AT139" s="15" t="n"/>
      <c r="AU139" s="15" t="n"/>
      <c r="AV139" s="16" t="n"/>
    </row>
    <row r="140">
      <c r="A140" s="12" t="n"/>
      <c r="B140">
        <f>IF(ISBLANK(X140),0,IF(X140&gt;=0.65, "BB", "AMZ"))</f>
        <v/>
      </c>
      <c r="C140">
        <f>IF(AND(L140&lt;N140,L140&lt;P140), MIN(L140,K140), IFERROR(SUM(IFERROR(L140*$B$2,0), IFERROR(N140*$C$2,0), IFERROR(P140*$D$2,0))/SUM(IF(L140&gt;0,$B$2,0), IF(N140&gt;0,$C$2,0), IF(P140&gt;0,$D$2,0)), 0))</f>
        <v/>
      </c>
      <c r="D140">
        <f>IF(AND(S140&lt;U140,S140&lt;W140), MIN(S140,R140), IFERROR(SUM(IFERROR(S140*$B$2,0), IFERROR(U140*$C$2,0), IFERROR(W140*$D$2,0))/SUM(IF(S140&gt;0,$B$2,0), IF(U140&gt;0,$C$2,0), IF(W140&gt;0,$D$2,0)), 0))</f>
        <v/>
      </c>
      <c r="E140">
        <f>IF(B140="BB",C140,MIN(C140,D140*(1-$F$2)))</f>
        <v/>
      </c>
      <c r="F140">
        <f>IF(ISBLANK(AL140),1,LEN(AL140)-LEN(SUBSTITUTE(AL140,",",""))+1)</f>
        <v/>
      </c>
      <c r="G140">
        <f>IF(F140=1,1,IF(OR(ISBLANK(AN140),AN140=0),"Manual",AN140/MAX(SUMIF($AK:$AK,AM140,$AL:$AL),1)))</f>
        <v/>
      </c>
      <c r="H140">
        <f>IF(F140=1, 1, 0)</f>
        <v/>
      </c>
      <c r="I140" s="12" t="n"/>
      <c r="J140" s="12" t="n"/>
      <c r="M140" s="16" t="n"/>
      <c r="O140" s="16" t="n"/>
      <c r="T140" s="16" t="n"/>
      <c r="V140" s="16" t="n"/>
      <c r="X140" s="16" t="n"/>
      <c r="Y140" s="14" t="n"/>
      <c r="Z140" s="14" t="n"/>
      <c r="AA140" s="16" t="n"/>
      <c r="AB140" s="14" t="n"/>
      <c r="AC140" s="16" t="n"/>
      <c r="AD140" s="14" t="n"/>
      <c r="AE140" s="14" t="n"/>
      <c r="AF140" s="14" t="n"/>
      <c r="AG140" s="14" t="n"/>
      <c r="AH140" s="14" t="n"/>
      <c r="AL140" s="12" t="n"/>
      <c r="AM140" s="12" t="n"/>
      <c r="AP140" s="14" t="n"/>
      <c r="AR140" s="14" t="n"/>
      <c r="AT140" s="15" t="n"/>
      <c r="AU140" s="15" t="n"/>
      <c r="AV140" s="16" t="n"/>
    </row>
    <row r="141">
      <c r="A141" s="12" t="n"/>
      <c r="B141">
        <f>IF(ISBLANK(X141),0,IF(X141&gt;=0.65, "BB", "AMZ"))</f>
        <v/>
      </c>
      <c r="C141">
        <f>IF(AND(L141&lt;N141,L141&lt;P141), MIN(L141,K141), IFERROR(SUM(IFERROR(L141*$B$2,0), IFERROR(N141*$C$2,0), IFERROR(P141*$D$2,0))/SUM(IF(L141&gt;0,$B$2,0), IF(N141&gt;0,$C$2,0), IF(P141&gt;0,$D$2,0)), 0))</f>
        <v/>
      </c>
      <c r="D141">
        <f>IF(AND(S141&lt;U141,S141&lt;W141), MIN(S141,R141), IFERROR(SUM(IFERROR(S141*$B$2,0), IFERROR(U141*$C$2,0), IFERROR(W141*$D$2,0))/SUM(IF(S141&gt;0,$B$2,0), IF(U141&gt;0,$C$2,0), IF(W141&gt;0,$D$2,0)), 0))</f>
        <v/>
      </c>
      <c r="E141">
        <f>IF(B141="BB",C141,MIN(C141,D141*(1-$F$2)))</f>
        <v/>
      </c>
      <c r="F141">
        <f>IF(ISBLANK(AL141),1,LEN(AL141)-LEN(SUBSTITUTE(AL141,",",""))+1)</f>
        <v/>
      </c>
      <c r="G141">
        <f>IF(F141=1,1,IF(OR(ISBLANK(AN141),AN141=0),"Manual",AN141/MAX(SUMIF($AK:$AK,AM141,$AL:$AL),1)))</f>
        <v/>
      </c>
      <c r="H141">
        <f>IF(F141=1, 1, 0)</f>
        <v/>
      </c>
      <c r="I141" s="12" t="n"/>
      <c r="J141" s="12" t="n"/>
      <c r="M141" s="16" t="n"/>
      <c r="O141" s="16" t="n"/>
      <c r="T141" s="16" t="n"/>
      <c r="V141" s="16" t="n"/>
      <c r="X141" s="16" t="n"/>
      <c r="Y141" s="14" t="n"/>
      <c r="Z141" s="14" t="n"/>
      <c r="AA141" s="16" t="n"/>
      <c r="AB141" s="14" t="n"/>
      <c r="AC141" s="16" t="n"/>
      <c r="AD141" s="14" t="n"/>
      <c r="AE141" s="14" t="n"/>
      <c r="AF141" s="14" t="n"/>
      <c r="AG141" s="14" t="n"/>
      <c r="AH141" s="14" t="n"/>
      <c r="AL141" s="12" t="n"/>
      <c r="AM141" s="12" t="n"/>
      <c r="AP141" s="14" t="n"/>
      <c r="AR141" s="14" t="n"/>
      <c r="AT141" s="15" t="n"/>
      <c r="AU141" s="15" t="n"/>
      <c r="AV141" s="16" t="n"/>
    </row>
    <row r="142">
      <c r="A142" s="12" t="n"/>
      <c r="B142">
        <f>IF(ISBLANK(X142),0,IF(X142&gt;=0.65, "BB", "AMZ"))</f>
        <v/>
      </c>
      <c r="C142">
        <f>IF(AND(L142&lt;N142,L142&lt;P142), MIN(L142,K142), IFERROR(SUM(IFERROR(L142*$B$2,0), IFERROR(N142*$C$2,0), IFERROR(P142*$D$2,0))/SUM(IF(L142&gt;0,$B$2,0), IF(N142&gt;0,$C$2,0), IF(P142&gt;0,$D$2,0)), 0))</f>
        <v/>
      </c>
      <c r="D142">
        <f>IF(AND(S142&lt;U142,S142&lt;W142), MIN(S142,R142), IFERROR(SUM(IFERROR(S142*$B$2,0), IFERROR(U142*$C$2,0), IFERROR(W142*$D$2,0))/SUM(IF(S142&gt;0,$B$2,0), IF(U142&gt;0,$C$2,0), IF(W142&gt;0,$D$2,0)), 0))</f>
        <v/>
      </c>
      <c r="E142">
        <f>IF(B142="BB",C142,MIN(C142,D142*(1-$F$2)))</f>
        <v/>
      </c>
      <c r="F142">
        <f>IF(ISBLANK(AL142),1,LEN(AL142)-LEN(SUBSTITUTE(AL142,",",""))+1)</f>
        <v/>
      </c>
      <c r="G142">
        <f>IF(F142=1,1,IF(OR(ISBLANK(AN142),AN142=0),"Manual",AN142/MAX(SUMIF($AK:$AK,AM142,$AL:$AL),1)))</f>
        <v/>
      </c>
      <c r="H142">
        <f>IF(F142=1, 1, 0)</f>
        <v/>
      </c>
      <c r="I142" s="12" t="n"/>
      <c r="J142" s="12" t="n"/>
      <c r="M142" s="16" t="n"/>
      <c r="O142" s="16" t="n"/>
      <c r="T142" s="16" t="n"/>
      <c r="V142" s="16" t="n"/>
      <c r="X142" s="16" t="n"/>
      <c r="Y142" s="14" t="n"/>
      <c r="Z142" s="14" t="n"/>
      <c r="AA142" s="16" t="n"/>
      <c r="AB142" s="14" t="n"/>
      <c r="AC142" s="16" t="n"/>
      <c r="AD142" s="14" t="n"/>
      <c r="AE142" s="14" t="n"/>
      <c r="AF142" s="14" t="n"/>
      <c r="AG142" s="14" t="n"/>
      <c r="AH142" s="14" t="n"/>
      <c r="AL142" s="12" t="n"/>
      <c r="AM142" s="12" t="n"/>
      <c r="AP142" s="14" t="n"/>
      <c r="AR142" s="14" t="n"/>
      <c r="AT142" s="15" t="n"/>
      <c r="AU142" s="15" t="n"/>
      <c r="AV142" s="16" t="n"/>
    </row>
    <row r="143">
      <c r="A143" s="12" t="n"/>
      <c r="B143">
        <f>IF(ISBLANK(X143),0,IF(X143&gt;=0.65, "BB", "AMZ"))</f>
        <v/>
      </c>
      <c r="C143">
        <f>IF(AND(L143&lt;N143,L143&lt;P143), MIN(L143,K143), IFERROR(SUM(IFERROR(L143*$B$2,0), IFERROR(N143*$C$2,0), IFERROR(P143*$D$2,0))/SUM(IF(L143&gt;0,$B$2,0), IF(N143&gt;0,$C$2,0), IF(P143&gt;0,$D$2,0)), 0))</f>
        <v/>
      </c>
      <c r="D143">
        <f>IF(AND(S143&lt;U143,S143&lt;W143), MIN(S143,R143), IFERROR(SUM(IFERROR(S143*$B$2,0), IFERROR(U143*$C$2,0), IFERROR(W143*$D$2,0))/SUM(IF(S143&gt;0,$B$2,0), IF(U143&gt;0,$C$2,0), IF(W143&gt;0,$D$2,0)), 0))</f>
        <v/>
      </c>
      <c r="E143">
        <f>IF(B143="BB",C143,MIN(C143,D143*(1-$F$2)))</f>
        <v/>
      </c>
      <c r="F143">
        <f>IF(ISBLANK(AL143),1,LEN(AL143)-LEN(SUBSTITUTE(AL143,",",""))+1)</f>
        <v/>
      </c>
      <c r="G143">
        <f>IF(F143=1,1,IF(OR(ISBLANK(AN143),AN143=0),"Manual",AN143/MAX(SUMIF($AK:$AK,AM143,$AL:$AL),1)))</f>
        <v/>
      </c>
      <c r="H143">
        <f>IF(F143=1, 1, 0)</f>
        <v/>
      </c>
      <c r="I143" s="12" t="n"/>
      <c r="J143" s="12" t="n"/>
      <c r="M143" s="16" t="n"/>
      <c r="O143" s="16" t="n"/>
      <c r="T143" s="16" t="n"/>
      <c r="V143" s="16" t="n"/>
      <c r="X143" s="16" t="n"/>
      <c r="Y143" s="14" t="n"/>
      <c r="Z143" s="14" t="n"/>
      <c r="AA143" s="16" t="n"/>
      <c r="AB143" s="14" t="n"/>
      <c r="AC143" s="16" t="n"/>
      <c r="AD143" s="14" t="n"/>
      <c r="AE143" s="14" t="n"/>
      <c r="AF143" s="14" t="n"/>
      <c r="AG143" s="14" t="n"/>
      <c r="AH143" s="14" t="n"/>
      <c r="AL143" s="12" t="n"/>
      <c r="AM143" s="12" t="n"/>
      <c r="AP143" s="14" t="n"/>
      <c r="AR143" s="14" t="n"/>
      <c r="AT143" s="15" t="n"/>
      <c r="AU143" s="15" t="n"/>
      <c r="AV143" s="16" t="n"/>
    </row>
    <row r="144">
      <c r="A144" s="12" t="n"/>
      <c r="B144">
        <f>IF(ISBLANK(X144),0,IF(X144&gt;=0.65, "BB", "AMZ"))</f>
        <v/>
      </c>
      <c r="C144">
        <f>IF(AND(L144&lt;N144,L144&lt;P144), MIN(L144,K144), IFERROR(SUM(IFERROR(L144*$B$2,0), IFERROR(N144*$C$2,0), IFERROR(P144*$D$2,0))/SUM(IF(L144&gt;0,$B$2,0), IF(N144&gt;0,$C$2,0), IF(P144&gt;0,$D$2,0)), 0))</f>
        <v/>
      </c>
      <c r="D144">
        <f>IF(AND(S144&lt;U144,S144&lt;W144), MIN(S144,R144), IFERROR(SUM(IFERROR(S144*$B$2,0), IFERROR(U144*$C$2,0), IFERROR(W144*$D$2,0))/SUM(IF(S144&gt;0,$B$2,0), IF(U144&gt;0,$C$2,0), IF(W144&gt;0,$D$2,0)), 0))</f>
        <v/>
      </c>
      <c r="E144">
        <f>IF(B144="BB",C144,MIN(C144,D144*(1-$F$2)))</f>
        <v/>
      </c>
      <c r="F144">
        <f>IF(ISBLANK(AL144),1,LEN(AL144)-LEN(SUBSTITUTE(AL144,",",""))+1)</f>
        <v/>
      </c>
      <c r="G144">
        <f>IF(F144=1,1,IF(OR(ISBLANK(AN144),AN144=0),"Manual",AN144/MAX(SUMIF($AK:$AK,AM144,$AL:$AL),1)))</f>
        <v/>
      </c>
      <c r="H144">
        <f>IF(F144=1, 1, 0)</f>
        <v/>
      </c>
      <c r="I144" s="12" t="n"/>
      <c r="J144" s="12" t="n"/>
      <c r="M144" s="16" t="n"/>
      <c r="O144" s="16" t="n"/>
      <c r="T144" s="16" t="n"/>
      <c r="V144" s="16" t="n"/>
      <c r="X144" s="16" t="n"/>
      <c r="Y144" s="14" t="n"/>
      <c r="Z144" s="14" t="n"/>
      <c r="AA144" s="16" t="n"/>
      <c r="AB144" s="14" t="n"/>
      <c r="AC144" s="16" t="n"/>
      <c r="AD144" s="14" t="n"/>
      <c r="AE144" s="14" t="n"/>
      <c r="AF144" s="14" t="n"/>
      <c r="AG144" s="14" t="n"/>
      <c r="AH144" s="14" t="n"/>
      <c r="AL144" s="12" t="n"/>
      <c r="AM144" s="12" t="n"/>
      <c r="AP144" s="14" t="n"/>
      <c r="AR144" s="14" t="n"/>
      <c r="AT144" s="15" t="n"/>
      <c r="AU144" s="15" t="n"/>
      <c r="AV144" s="16" t="n"/>
    </row>
    <row r="145">
      <c r="A145" s="12" t="n"/>
      <c r="B145">
        <f>IF(ISBLANK(X145),0,IF(X145&gt;=0.65, "BB", "AMZ"))</f>
        <v/>
      </c>
      <c r="C145">
        <f>IF(AND(L145&lt;N145,L145&lt;P145), MIN(L145,K145), IFERROR(SUM(IFERROR(L145*$B$2,0), IFERROR(N145*$C$2,0), IFERROR(P145*$D$2,0))/SUM(IF(L145&gt;0,$B$2,0), IF(N145&gt;0,$C$2,0), IF(P145&gt;0,$D$2,0)), 0))</f>
        <v/>
      </c>
      <c r="D145">
        <f>IF(AND(S145&lt;U145,S145&lt;W145), MIN(S145,R145), IFERROR(SUM(IFERROR(S145*$B$2,0), IFERROR(U145*$C$2,0), IFERROR(W145*$D$2,0))/SUM(IF(S145&gt;0,$B$2,0), IF(U145&gt;0,$C$2,0), IF(W145&gt;0,$D$2,0)), 0))</f>
        <v/>
      </c>
      <c r="E145">
        <f>IF(B145="BB",C145,MIN(C145,D145*(1-$F$2)))</f>
        <v/>
      </c>
      <c r="F145">
        <f>IF(ISBLANK(AL145),1,LEN(AL145)-LEN(SUBSTITUTE(AL145,",",""))+1)</f>
        <v/>
      </c>
      <c r="G145">
        <f>IF(F145=1,1,IF(OR(ISBLANK(AN145),AN145=0),"Manual",AN145/MAX(SUMIF($AK:$AK,AM145,$AL:$AL),1)))</f>
        <v/>
      </c>
      <c r="H145">
        <f>IF(F145=1, 1, 0)</f>
        <v/>
      </c>
      <c r="I145" s="12" t="n"/>
      <c r="J145" s="12" t="n"/>
      <c r="M145" s="16" t="n"/>
      <c r="O145" s="16" t="n"/>
      <c r="T145" s="16" t="n"/>
      <c r="V145" s="16" t="n"/>
      <c r="X145" s="16" t="n"/>
      <c r="Y145" s="14" t="n"/>
      <c r="Z145" s="14" t="n"/>
      <c r="AA145" s="16" t="n"/>
      <c r="AB145" s="14" t="n"/>
      <c r="AC145" s="16" t="n"/>
      <c r="AD145" s="14" t="n"/>
      <c r="AE145" s="14" t="n"/>
      <c r="AF145" s="14" t="n"/>
      <c r="AG145" s="14" t="n"/>
      <c r="AH145" s="14" t="n"/>
      <c r="AL145" s="12" t="n"/>
      <c r="AM145" s="12" t="n"/>
      <c r="AP145" s="14" t="n"/>
      <c r="AR145" s="14" t="n"/>
      <c r="AT145" s="15" t="n"/>
      <c r="AU145" s="15" t="n"/>
      <c r="AV145" s="16" t="n"/>
    </row>
    <row r="146">
      <c r="A146" s="12" t="n"/>
      <c r="B146">
        <f>IF(ISBLANK(X146),0,IF(X146&gt;=0.65, "BB", "AMZ"))</f>
        <v/>
      </c>
      <c r="C146">
        <f>IF(AND(L146&lt;N146,L146&lt;P146), MIN(L146,K146), IFERROR(SUM(IFERROR(L146*$B$2,0), IFERROR(N146*$C$2,0), IFERROR(P146*$D$2,0))/SUM(IF(L146&gt;0,$B$2,0), IF(N146&gt;0,$C$2,0), IF(P146&gt;0,$D$2,0)), 0))</f>
        <v/>
      </c>
      <c r="D146">
        <f>IF(AND(S146&lt;U146,S146&lt;W146), MIN(S146,R146), IFERROR(SUM(IFERROR(S146*$B$2,0), IFERROR(U146*$C$2,0), IFERROR(W146*$D$2,0))/SUM(IF(S146&gt;0,$B$2,0), IF(U146&gt;0,$C$2,0), IF(W146&gt;0,$D$2,0)), 0))</f>
        <v/>
      </c>
      <c r="E146">
        <f>IF(B146="BB",C146,MIN(C146,D146*(1-$F$2)))</f>
        <v/>
      </c>
      <c r="F146">
        <f>IF(ISBLANK(AL146),1,LEN(AL146)-LEN(SUBSTITUTE(AL146,",",""))+1)</f>
        <v/>
      </c>
      <c r="G146">
        <f>IF(F146=1,1,IF(OR(ISBLANK(AN146),AN146=0),"Manual",AN146/MAX(SUMIF($AK:$AK,AM146,$AL:$AL),1)))</f>
        <v/>
      </c>
      <c r="H146">
        <f>IF(F146=1, 1, 0)</f>
        <v/>
      </c>
      <c r="I146" s="12" t="n"/>
      <c r="J146" s="12" t="n"/>
      <c r="M146" s="16" t="n"/>
      <c r="O146" s="16" t="n"/>
      <c r="T146" s="16" t="n"/>
      <c r="V146" s="16" t="n"/>
      <c r="X146" s="16" t="n"/>
      <c r="Y146" s="14" t="n"/>
      <c r="Z146" s="14" t="n"/>
      <c r="AA146" s="16" t="n"/>
      <c r="AB146" s="14" t="n"/>
      <c r="AC146" s="16" t="n"/>
      <c r="AD146" s="14" t="n"/>
      <c r="AE146" s="14" t="n"/>
      <c r="AF146" s="14" t="n"/>
      <c r="AG146" s="14" t="n"/>
      <c r="AH146" s="14" t="n"/>
      <c r="AL146" s="12" t="n"/>
      <c r="AM146" s="12" t="n"/>
      <c r="AP146" s="14" t="n"/>
      <c r="AR146" s="14" t="n"/>
      <c r="AT146" s="15" t="n"/>
      <c r="AU146" s="15" t="n"/>
      <c r="AV146" s="16" t="n"/>
    </row>
    <row r="147">
      <c r="A147" s="12" t="n"/>
      <c r="B147">
        <f>IF(ISBLANK(X147),0,IF(X147&gt;=0.65, "BB", "AMZ"))</f>
        <v/>
      </c>
      <c r="C147">
        <f>IF(AND(L147&lt;N147,L147&lt;P147), MIN(L147,K147), IFERROR(SUM(IFERROR(L147*$B$2,0), IFERROR(N147*$C$2,0), IFERROR(P147*$D$2,0))/SUM(IF(L147&gt;0,$B$2,0), IF(N147&gt;0,$C$2,0), IF(P147&gt;0,$D$2,0)), 0))</f>
        <v/>
      </c>
      <c r="D147">
        <f>IF(AND(S147&lt;U147,S147&lt;W147), MIN(S147,R147), IFERROR(SUM(IFERROR(S147*$B$2,0), IFERROR(U147*$C$2,0), IFERROR(W147*$D$2,0))/SUM(IF(S147&gt;0,$B$2,0), IF(U147&gt;0,$C$2,0), IF(W147&gt;0,$D$2,0)), 0))</f>
        <v/>
      </c>
      <c r="E147">
        <f>IF(B147="BB",C147,MIN(C147,D147*(1-$F$2)))</f>
        <v/>
      </c>
      <c r="F147">
        <f>IF(ISBLANK(AL147),1,LEN(AL147)-LEN(SUBSTITUTE(AL147,",",""))+1)</f>
        <v/>
      </c>
      <c r="G147">
        <f>IF(F147=1,1,IF(OR(ISBLANK(AN147),AN147=0),"Manual",AN147/MAX(SUMIF($AK:$AK,AM147,$AL:$AL),1)))</f>
        <v/>
      </c>
      <c r="H147">
        <f>IF(F147=1, 1, 0)</f>
        <v/>
      </c>
      <c r="I147" s="12" t="n"/>
      <c r="J147" s="12" t="n"/>
      <c r="M147" s="16" t="n"/>
      <c r="O147" s="16" t="n"/>
      <c r="T147" s="16" t="n"/>
      <c r="V147" s="16" t="n"/>
      <c r="X147" s="16" t="n"/>
      <c r="Y147" s="14" t="n"/>
      <c r="Z147" s="14" t="n"/>
      <c r="AA147" s="16" t="n"/>
      <c r="AB147" s="14" t="n"/>
      <c r="AC147" s="16" t="n"/>
      <c r="AD147" s="14" t="n"/>
      <c r="AE147" s="14" t="n"/>
      <c r="AF147" s="14" t="n"/>
      <c r="AG147" s="14" t="n"/>
      <c r="AH147" s="14" t="n"/>
      <c r="AL147" s="12" t="n"/>
      <c r="AM147" s="12" t="n"/>
      <c r="AP147" s="14" t="n"/>
      <c r="AR147" s="14" t="n"/>
      <c r="AT147" s="15" t="n"/>
      <c r="AU147" s="15" t="n"/>
      <c r="AV147" s="16" t="n"/>
    </row>
    <row r="148">
      <c r="A148" s="12" t="n"/>
      <c r="B148">
        <f>IF(ISBLANK(X148),0,IF(X148&gt;=0.65, "BB", "AMZ"))</f>
        <v/>
      </c>
      <c r="C148">
        <f>IF(AND(L148&lt;N148,L148&lt;P148), MIN(L148,K148), IFERROR(SUM(IFERROR(L148*$B$2,0), IFERROR(N148*$C$2,0), IFERROR(P148*$D$2,0))/SUM(IF(L148&gt;0,$B$2,0), IF(N148&gt;0,$C$2,0), IF(P148&gt;0,$D$2,0)), 0))</f>
        <v/>
      </c>
      <c r="D148">
        <f>IF(AND(S148&lt;U148,S148&lt;W148), MIN(S148,R148), IFERROR(SUM(IFERROR(S148*$B$2,0), IFERROR(U148*$C$2,0), IFERROR(W148*$D$2,0))/SUM(IF(S148&gt;0,$B$2,0), IF(U148&gt;0,$C$2,0), IF(W148&gt;0,$D$2,0)), 0))</f>
        <v/>
      </c>
      <c r="E148">
        <f>IF(B148="BB",C148,MIN(C148,D148*(1-$F$2)))</f>
        <v/>
      </c>
      <c r="F148">
        <f>IF(ISBLANK(AL148),1,LEN(AL148)-LEN(SUBSTITUTE(AL148,",",""))+1)</f>
        <v/>
      </c>
      <c r="G148">
        <f>IF(F148=1,1,IF(OR(ISBLANK(AN148),AN148=0),"Manual",AN148/MAX(SUMIF($AK:$AK,AM148,$AL:$AL),1)))</f>
        <v/>
      </c>
      <c r="H148">
        <f>IF(F148=1, 1, 0)</f>
        <v/>
      </c>
      <c r="I148" s="12" t="n"/>
      <c r="J148" s="12" t="n"/>
      <c r="M148" s="16" t="n"/>
      <c r="O148" s="16" t="n"/>
      <c r="T148" s="16" t="n"/>
      <c r="V148" s="16" t="n"/>
      <c r="X148" s="16" t="n"/>
      <c r="Y148" s="14" t="n"/>
      <c r="Z148" s="14" t="n"/>
      <c r="AA148" s="16" t="n"/>
      <c r="AB148" s="14" t="n"/>
      <c r="AC148" s="16" t="n"/>
      <c r="AD148" s="14" t="n"/>
      <c r="AE148" s="14" t="n"/>
      <c r="AF148" s="14" t="n"/>
      <c r="AG148" s="14" t="n"/>
      <c r="AH148" s="14" t="n"/>
      <c r="AL148" s="12" t="n"/>
      <c r="AM148" s="12" t="n"/>
      <c r="AP148" s="14" t="n"/>
      <c r="AR148" s="14" t="n"/>
      <c r="AT148" s="15" t="n"/>
      <c r="AU148" s="15" t="n"/>
      <c r="AV148" s="16" t="n"/>
    </row>
    <row r="149">
      <c r="A149" s="12" t="n"/>
      <c r="B149">
        <f>IF(ISBLANK(X149),0,IF(X149&gt;=0.65, "BB", "AMZ"))</f>
        <v/>
      </c>
      <c r="C149">
        <f>IF(AND(L149&lt;N149,L149&lt;P149), MIN(L149,K149), IFERROR(SUM(IFERROR(L149*$B$2,0), IFERROR(N149*$C$2,0), IFERROR(P149*$D$2,0))/SUM(IF(L149&gt;0,$B$2,0), IF(N149&gt;0,$C$2,0), IF(P149&gt;0,$D$2,0)), 0))</f>
        <v/>
      </c>
      <c r="D149">
        <f>IF(AND(S149&lt;U149,S149&lt;W149), MIN(S149,R149), IFERROR(SUM(IFERROR(S149*$B$2,0), IFERROR(U149*$C$2,0), IFERROR(W149*$D$2,0))/SUM(IF(S149&gt;0,$B$2,0), IF(U149&gt;0,$C$2,0), IF(W149&gt;0,$D$2,0)), 0))</f>
        <v/>
      </c>
      <c r="E149">
        <f>IF(B149="BB",C149,MIN(C149,D149*(1-$F$2)))</f>
        <v/>
      </c>
      <c r="F149">
        <f>IF(ISBLANK(AL149),1,LEN(AL149)-LEN(SUBSTITUTE(AL149,",",""))+1)</f>
        <v/>
      </c>
      <c r="G149">
        <f>IF(F149=1,1,IF(OR(ISBLANK(AN149),AN149=0),"Manual",AN149/MAX(SUMIF($AK:$AK,AM149,$AL:$AL),1)))</f>
        <v/>
      </c>
      <c r="H149">
        <f>IF(F149=1, 1, 0)</f>
        <v/>
      </c>
      <c r="I149" s="12" t="n"/>
      <c r="J149" s="12" t="n"/>
      <c r="M149" s="16" t="n"/>
      <c r="O149" s="16" t="n"/>
      <c r="T149" s="16" t="n"/>
      <c r="V149" s="16" t="n"/>
      <c r="X149" s="16" t="n"/>
      <c r="Y149" s="14" t="n"/>
      <c r="Z149" s="14" t="n"/>
      <c r="AA149" s="16" t="n"/>
      <c r="AB149" s="14" t="n"/>
      <c r="AC149" s="16" t="n"/>
      <c r="AD149" s="14" t="n"/>
      <c r="AE149" s="14" t="n"/>
      <c r="AF149" s="14" t="n"/>
      <c r="AG149" s="14" t="n"/>
      <c r="AH149" s="14" t="n"/>
      <c r="AL149" s="12" t="n"/>
      <c r="AM149" s="12" t="n"/>
      <c r="AP149" s="14" t="n"/>
      <c r="AR149" s="14" t="n"/>
      <c r="AT149" s="15" t="n"/>
      <c r="AU149" s="15" t="n"/>
      <c r="AV149" s="16" t="n"/>
    </row>
    <row r="150">
      <c r="A150" s="12" t="n"/>
      <c r="B150">
        <f>IF(ISBLANK(X150),0,IF(X150&gt;=0.65, "BB", "AMZ"))</f>
        <v/>
      </c>
      <c r="C150">
        <f>IF(AND(L150&lt;N150,L150&lt;P150), MIN(L150,K150), IFERROR(SUM(IFERROR(L150*$B$2,0), IFERROR(N150*$C$2,0), IFERROR(P150*$D$2,0))/SUM(IF(L150&gt;0,$B$2,0), IF(N150&gt;0,$C$2,0), IF(P150&gt;0,$D$2,0)), 0))</f>
        <v/>
      </c>
      <c r="D150">
        <f>IF(AND(S150&lt;U150,S150&lt;W150), MIN(S150,R150), IFERROR(SUM(IFERROR(S150*$B$2,0), IFERROR(U150*$C$2,0), IFERROR(W150*$D$2,0))/SUM(IF(S150&gt;0,$B$2,0), IF(U150&gt;0,$C$2,0), IF(W150&gt;0,$D$2,0)), 0))</f>
        <v/>
      </c>
      <c r="E150">
        <f>IF(B150="BB",C150,MIN(C150,D150*(1-$F$2)))</f>
        <v/>
      </c>
      <c r="F150">
        <f>IF(ISBLANK(AL150),1,LEN(AL150)-LEN(SUBSTITUTE(AL150,",",""))+1)</f>
        <v/>
      </c>
      <c r="G150">
        <f>IF(F150=1,1,IF(OR(ISBLANK(AN150),AN150=0),"Manual",AN150/MAX(SUMIF($AK:$AK,AM150,$AL:$AL),1)))</f>
        <v/>
      </c>
      <c r="H150">
        <f>IF(F150=1, 1, 0)</f>
        <v/>
      </c>
      <c r="I150" s="12" t="n"/>
      <c r="J150" s="12" t="n"/>
      <c r="M150" s="16" t="n"/>
      <c r="O150" s="16" t="n"/>
      <c r="T150" s="16" t="n"/>
      <c r="V150" s="16" t="n"/>
      <c r="X150" s="16" t="n"/>
      <c r="Y150" s="14" t="n"/>
      <c r="Z150" s="14" t="n"/>
      <c r="AA150" s="16" t="n"/>
      <c r="AB150" s="14" t="n"/>
      <c r="AC150" s="16" t="n"/>
      <c r="AD150" s="14" t="n"/>
      <c r="AE150" s="14" t="n"/>
      <c r="AF150" s="14" t="n"/>
      <c r="AG150" s="14" t="n"/>
      <c r="AH150" s="14" t="n"/>
      <c r="AL150" s="12" t="n"/>
      <c r="AM150" s="12" t="n"/>
      <c r="AP150" s="14" t="n"/>
      <c r="AR150" s="14" t="n"/>
      <c r="AT150" s="15" t="n"/>
      <c r="AU150" s="15" t="n"/>
      <c r="AV150" s="16" t="n"/>
    </row>
    <row r="151">
      <c r="A151" s="12" t="n"/>
      <c r="B151">
        <f>IF(ISBLANK(X151),0,IF(X151&gt;=0.65, "BB", "AMZ"))</f>
        <v/>
      </c>
      <c r="C151">
        <f>IF(AND(L151&lt;N151,L151&lt;P151), MIN(L151,K151), IFERROR(SUM(IFERROR(L151*$B$2,0), IFERROR(N151*$C$2,0), IFERROR(P151*$D$2,0))/SUM(IF(L151&gt;0,$B$2,0), IF(N151&gt;0,$C$2,0), IF(P151&gt;0,$D$2,0)), 0))</f>
        <v/>
      </c>
      <c r="D151">
        <f>IF(AND(S151&lt;U151,S151&lt;W151), MIN(S151,R151), IFERROR(SUM(IFERROR(S151*$B$2,0), IFERROR(U151*$C$2,0), IFERROR(W151*$D$2,0))/SUM(IF(S151&gt;0,$B$2,0), IF(U151&gt;0,$C$2,0), IF(W151&gt;0,$D$2,0)), 0))</f>
        <v/>
      </c>
      <c r="E151">
        <f>IF(B151="BB",C151,MIN(C151,D151*(1-$F$2)))</f>
        <v/>
      </c>
      <c r="F151">
        <f>IF(ISBLANK(AL151),1,LEN(AL151)-LEN(SUBSTITUTE(AL151,",",""))+1)</f>
        <v/>
      </c>
      <c r="G151">
        <f>IF(F151=1,1,IF(OR(ISBLANK(AN151),AN151=0),"Manual",AN151/MAX(SUMIF($AK:$AK,AM151,$AL:$AL),1)))</f>
        <v/>
      </c>
      <c r="H151">
        <f>IF(F151=1, 1, 0)</f>
        <v/>
      </c>
      <c r="I151" s="12" t="n"/>
      <c r="J151" s="12" t="n"/>
      <c r="M151" s="16" t="n"/>
      <c r="O151" s="16" t="n"/>
      <c r="T151" s="16" t="n"/>
      <c r="V151" s="16" t="n"/>
      <c r="X151" s="16" t="n"/>
      <c r="Y151" s="14" t="n"/>
      <c r="Z151" s="14" t="n"/>
      <c r="AA151" s="16" t="n"/>
      <c r="AB151" s="14" t="n"/>
      <c r="AC151" s="16" t="n"/>
      <c r="AD151" s="14" t="n"/>
      <c r="AE151" s="14" t="n"/>
      <c r="AF151" s="14" t="n"/>
      <c r="AG151" s="14" t="n"/>
      <c r="AH151" s="14" t="n"/>
      <c r="AL151" s="12" t="n"/>
      <c r="AM151" s="12" t="n"/>
      <c r="AP151" s="14" t="n"/>
      <c r="AR151" s="14" t="n"/>
      <c r="AT151" s="15" t="n"/>
      <c r="AU151" s="15" t="n"/>
      <c r="AV151" s="16" t="n"/>
    </row>
    <row r="152">
      <c r="A152" s="12" t="n"/>
      <c r="B152">
        <f>IF(ISBLANK(X152),0,IF(X152&gt;=0.65, "BB", "AMZ"))</f>
        <v/>
      </c>
      <c r="C152">
        <f>IF(AND(L152&lt;N152,L152&lt;P152), MIN(L152,K152), IFERROR(SUM(IFERROR(L152*$B$2,0), IFERROR(N152*$C$2,0), IFERROR(P152*$D$2,0))/SUM(IF(L152&gt;0,$B$2,0), IF(N152&gt;0,$C$2,0), IF(P152&gt;0,$D$2,0)), 0))</f>
        <v/>
      </c>
      <c r="D152">
        <f>IF(AND(S152&lt;U152,S152&lt;W152), MIN(S152,R152), IFERROR(SUM(IFERROR(S152*$B$2,0), IFERROR(U152*$C$2,0), IFERROR(W152*$D$2,0))/SUM(IF(S152&gt;0,$B$2,0), IF(U152&gt;0,$C$2,0), IF(W152&gt;0,$D$2,0)), 0))</f>
        <v/>
      </c>
      <c r="E152">
        <f>IF(B152="BB",C152,MIN(C152,D152*(1-$F$2)))</f>
        <v/>
      </c>
      <c r="F152">
        <f>IF(ISBLANK(AL152),1,LEN(AL152)-LEN(SUBSTITUTE(AL152,",",""))+1)</f>
        <v/>
      </c>
      <c r="G152">
        <f>IF(F152=1,1,IF(OR(ISBLANK(AN152),AN152=0),"Manual",AN152/MAX(SUMIF($AK:$AK,AM152,$AL:$AL),1)))</f>
        <v/>
      </c>
      <c r="H152">
        <f>IF(F152=1, 1, 0)</f>
        <v/>
      </c>
      <c r="I152" s="12" t="n"/>
      <c r="J152" s="12" t="n"/>
      <c r="M152" s="16" t="n"/>
      <c r="O152" s="16" t="n"/>
      <c r="T152" s="16" t="n"/>
      <c r="V152" s="16" t="n"/>
      <c r="X152" s="16" t="n"/>
      <c r="Y152" s="14" t="n"/>
      <c r="Z152" s="14" t="n"/>
      <c r="AA152" s="16" t="n"/>
      <c r="AB152" s="14" t="n"/>
      <c r="AC152" s="16" t="n"/>
      <c r="AD152" s="14" t="n"/>
      <c r="AE152" s="14" t="n"/>
      <c r="AF152" s="14" t="n"/>
      <c r="AG152" s="14" t="n"/>
      <c r="AH152" s="14" t="n"/>
      <c r="AL152" s="12" t="n"/>
      <c r="AM152" s="12" t="n"/>
      <c r="AP152" s="14" t="n"/>
      <c r="AR152" s="14" t="n"/>
      <c r="AT152" s="15" t="n"/>
      <c r="AU152" s="15" t="n"/>
      <c r="AV152" s="16" t="n"/>
    </row>
    <row r="153">
      <c r="A153" s="12" t="n"/>
      <c r="B153">
        <f>IF(ISBLANK(X153),0,IF(X153&gt;=0.65, "BB", "AMZ"))</f>
        <v/>
      </c>
      <c r="C153">
        <f>IF(AND(L153&lt;N153,L153&lt;P153), MIN(L153,K153), IFERROR(SUM(IFERROR(L153*$B$2,0), IFERROR(N153*$C$2,0), IFERROR(P153*$D$2,0))/SUM(IF(L153&gt;0,$B$2,0), IF(N153&gt;0,$C$2,0), IF(P153&gt;0,$D$2,0)), 0))</f>
        <v/>
      </c>
      <c r="D153">
        <f>IF(AND(S153&lt;U153,S153&lt;W153), MIN(S153,R153), IFERROR(SUM(IFERROR(S153*$B$2,0), IFERROR(U153*$C$2,0), IFERROR(W153*$D$2,0))/SUM(IF(S153&gt;0,$B$2,0), IF(U153&gt;0,$C$2,0), IF(W153&gt;0,$D$2,0)), 0))</f>
        <v/>
      </c>
      <c r="E153">
        <f>IF(B153="BB",C153,MIN(C153,D153*(1-$F$2)))</f>
        <v/>
      </c>
      <c r="F153">
        <f>IF(ISBLANK(AL153),1,LEN(AL153)-LEN(SUBSTITUTE(AL153,",",""))+1)</f>
        <v/>
      </c>
      <c r="G153">
        <f>IF(F153=1,1,IF(OR(ISBLANK(AN153),AN153=0),"Manual",AN153/MAX(SUMIF($AK:$AK,AM153,$AL:$AL),1)))</f>
        <v/>
      </c>
      <c r="H153">
        <f>IF(F153=1, 1, 0)</f>
        <v/>
      </c>
      <c r="I153" s="12" t="n"/>
      <c r="J153" s="12" t="n"/>
      <c r="M153" s="16" t="n"/>
      <c r="O153" s="16" t="n"/>
      <c r="T153" s="16" t="n"/>
      <c r="V153" s="16" t="n"/>
      <c r="X153" s="16" t="n"/>
      <c r="Y153" s="14" t="n"/>
      <c r="Z153" s="14" t="n"/>
      <c r="AA153" s="16" t="n"/>
      <c r="AB153" s="14" t="n"/>
      <c r="AC153" s="16" t="n"/>
      <c r="AD153" s="14" t="n"/>
      <c r="AE153" s="14" t="n"/>
      <c r="AF153" s="14" t="n"/>
      <c r="AG153" s="14" t="n"/>
      <c r="AH153" s="14" t="n"/>
      <c r="AL153" s="12" t="n"/>
      <c r="AM153" s="12" t="n"/>
      <c r="AP153" s="14" t="n"/>
      <c r="AR153" s="14" t="n"/>
      <c r="AT153" s="15" t="n"/>
      <c r="AU153" s="15" t="n"/>
      <c r="AV153" s="16" t="n"/>
    </row>
    <row r="154">
      <c r="A154" s="12" t="n"/>
      <c r="B154">
        <f>IF(ISBLANK(X154),0,IF(X154&gt;=0.65, "BB", "AMZ"))</f>
        <v/>
      </c>
      <c r="C154">
        <f>IF(AND(L154&lt;N154,L154&lt;P154), MIN(L154,K154), IFERROR(SUM(IFERROR(L154*$B$2,0), IFERROR(N154*$C$2,0), IFERROR(P154*$D$2,0))/SUM(IF(L154&gt;0,$B$2,0), IF(N154&gt;0,$C$2,0), IF(P154&gt;0,$D$2,0)), 0))</f>
        <v/>
      </c>
      <c r="D154">
        <f>IF(AND(S154&lt;U154,S154&lt;W154), MIN(S154,R154), IFERROR(SUM(IFERROR(S154*$B$2,0), IFERROR(U154*$C$2,0), IFERROR(W154*$D$2,0))/SUM(IF(S154&gt;0,$B$2,0), IF(U154&gt;0,$C$2,0), IF(W154&gt;0,$D$2,0)), 0))</f>
        <v/>
      </c>
      <c r="E154">
        <f>IF(B154="BB",C154,MIN(C154,D154*(1-$F$2)))</f>
        <v/>
      </c>
      <c r="F154">
        <f>IF(ISBLANK(AL154),1,LEN(AL154)-LEN(SUBSTITUTE(AL154,",",""))+1)</f>
        <v/>
      </c>
      <c r="G154">
        <f>IF(F154=1,1,IF(OR(ISBLANK(AN154),AN154=0),"Manual",AN154/MAX(SUMIF($AK:$AK,AM154,$AL:$AL),1)))</f>
        <v/>
      </c>
      <c r="H154">
        <f>IF(F154=1, 1, 0)</f>
        <v/>
      </c>
      <c r="I154" s="12" t="n"/>
      <c r="J154" s="12" t="n"/>
      <c r="M154" s="16" t="n"/>
      <c r="O154" s="16" t="n"/>
      <c r="T154" s="16" t="n"/>
      <c r="V154" s="16" t="n"/>
      <c r="X154" s="16" t="n"/>
      <c r="Y154" s="14" t="n"/>
      <c r="Z154" s="14" t="n"/>
      <c r="AA154" s="16" t="n"/>
      <c r="AB154" s="14" t="n"/>
      <c r="AC154" s="16" t="n"/>
      <c r="AD154" s="14" t="n"/>
      <c r="AE154" s="14" t="n"/>
      <c r="AF154" s="14" t="n"/>
      <c r="AG154" s="14" t="n"/>
      <c r="AH154" s="14" t="n"/>
      <c r="AL154" s="12" t="n"/>
      <c r="AM154" s="12" t="n"/>
      <c r="AP154" s="14" t="n"/>
      <c r="AR154" s="14" t="n"/>
      <c r="AT154" s="15" t="n"/>
      <c r="AU154" s="15" t="n"/>
      <c r="AV154" s="16" t="n"/>
    </row>
    <row r="155">
      <c r="A155" s="12" t="n"/>
      <c r="B155">
        <f>IF(ISBLANK(X155),0,IF(X155&gt;=0.65, "BB", "AMZ"))</f>
        <v/>
      </c>
      <c r="C155">
        <f>IF(AND(L155&lt;N155,L155&lt;P155), MIN(L155,K155), IFERROR(SUM(IFERROR(L155*$B$2,0), IFERROR(N155*$C$2,0), IFERROR(P155*$D$2,0))/SUM(IF(L155&gt;0,$B$2,0), IF(N155&gt;0,$C$2,0), IF(P155&gt;0,$D$2,0)), 0))</f>
        <v/>
      </c>
      <c r="D155">
        <f>IF(AND(S155&lt;U155,S155&lt;W155), MIN(S155,R155), IFERROR(SUM(IFERROR(S155*$B$2,0), IFERROR(U155*$C$2,0), IFERROR(W155*$D$2,0))/SUM(IF(S155&gt;0,$B$2,0), IF(U155&gt;0,$C$2,0), IF(W155&gt;0,$D$2,0)), 0))</f>
        <v/>
      </c>
      <c r="E155">
        <f>IF(B155="BB",C155,MIN(C155,D155*(1-$F$2)))</f>
        <v/>
      </c>
      <c r="F155">
        <f>IF(ISBLANK(AL155),1,LEN(AL155)-LEN(SUBSTITUTE(AL155,",",""))+1)</f>
        <v/>
      </c>
      <c r="G155">
        <f>IF(F155=1,1,IF(OR(ISBLANK(AN155),AN155=0),"Manual",AN155/MAX(SUMIF($AK:$AK,AM155,$AL:$AL),1)))</f>
        <v/>
      </c>
      <c r="H155">
        <f>IF(F155=1, 1, 0)</f>
        <v/>
      </c>
      <c r="I155" s="12" t="n"/>
      <c r="J155" s="12" t="n"/>
      <c r="M155" s="16" t="n"/>
      <c r="O155" s="16" t="n"/>
      <c r="T155" s="16" t="n"/>
      <c r="V155" s="16" t="n"/>
      <c r="X155" s="16" t="n"/>
      <c r="Y155" s="14" t="n"/>
      <c r="Z155" s="14" t="n"/>
      <c r="AA155" s="16" t="n"/>
      <c r="AB155" s="14" t="n"/>
      <c r="AC155" s="16" t="n"/>
      <c r="AD155" s="14" t="n"/>
      <c r="AE155" s="14" t="n"/>
      <c r="AF155" s="14" t="n"/>
      <c r="AG155" s="14" t="n"/>
      <c r="AH155" s="14" t="n"/>
      <c r="AL155" s="12" t="n"/>
      <c r="AM155" s="12" t="n"/>
      <c r="AP155" s="14" t="n"/>
      <c r="AR155" s="14" t="n"/>
      <c r="AT155" s="15" t="n"/>
      <c r="AU155" s="15" t="n"/>
      <c r="AV155" s="16" t="n"/>
    </row>
    <row r="156">
      <c r="A156" s="12" t="n"/>
      <c r="B156">
        <f>IF(ISBLANK(X156),0,IF(X156&gt;=0.65, "BB", "AMZ"))</f>
        <v/>
      </c>
      <c r="C156">
        <f>IF(AND(L156&lt;N156,L156&lt;P156), MIN(L156,K156), IFERROR(SUM(IFERROR(L156*$B$2,0), IFERROR(N156*$C$2,0), IFERROR(P156*$D$2,0))/SUM(IF(L156&gt;0,$B$2,0), IF(N156&gt;0,$C$2,0), IF(P156&gt;0,$D$2,0)), 0))</f>
        <v/>
      </c>
      <c r="D156">
        <f>IF(AND(S156&lt;U156,S156&lt;W156), MIN(S156,R156), IFERROR(SUM(IFERROR(S156*$B$2,0), IFERROR(U156*$C$2,0), IFERROR(W156*$D$2,0))/SUM(IF(S156&gt;0,$B$2,0), IF(U156&gt;0,$C$2,0), IF(W156&gt;0,$D$2,0)), 0))</f>
        <v/>
      </c>
      <c r="E156">
        <f>IF(B156="BB",C156,MIN(C156,D156*(1-$F$2)))</f>
        <v/>
      </c>
      <c r="F156">
        <f>IF(ISBLANK(AL156),1,LEN(AL156)-LEN(SUBSTITUTE(AL156,",",""))+1)</f>
        <v/>
      </c>
      <c r="G156">
        <f>IF(F156=1,1,IF(OR(ISBLANK(AN156),AN156=0),"Manual",AN156/MAX(SUMIF($AK:$AK,AM156,$AL:$AL),1)))</f>
        <v/>
      </c>
      <c r="H156">
        <f>IF(F156=1, 1, 0)</f>
        <v/>
      </c>
      <c r="I156" s="12" t="n"/>
      <c r="J156" s="12" t="n"/>
      <c r="M156" s="16" t="n"/>
      <c r="O156" s="16" t="n"/>
      <c r="T156" s="16" t="n"/>
      <c r="V156" s="16" t="n"/>
      <c r="X156" s="16" t="n"/>
      <c r="Y156" s="14" t="n"/>
      <c r="Z156" s="14" t="n"/>
      <c r="AA156" s="16" t="n"/>
      <c r="AB156" s="14" t="n"/>
      <c r="AC156" s="16" t="n"/>
      <c r="AD156" s="14" t="n"/>
      <c r="AE156" s="14" t="n"/>
      <c r="AF156" s="14" t="n"/>
      <c r="AG156" s="14" t="n"/>
      <c r="AH156" s="14" t="n"/>
      <c r="AL156" s="12" t="n"/>
      <c r="AM156" s="12" t="n"/>
      <c r="AP156" s="14" t="n"/>
      <c r="AR156" s="14" t="n"/>
      <c r="AT156" s="15" t="n"/>
      <c r="AU156" s="15" t="n"/>
      <c r="AV156" s="16" t="n"/>
    </row>
    <row r="157">
      <c r="A157" s="12" t="n"/>
      <c r="B157">
        <f>IF(ISBLANK(X157),0,IF(X157&gt;=0.65, "BB", "AMZ"))</f>
        <v/>
      </c>
      <c r="C157">
        <f>IF(AND(L157&lt;N157,L157&lt;P157), MIN(L157,K157), IFERROR(SUM(IFERROR(L157*$B$2,0), IFERROR(N157*$C$2,0), IFERROR(P157*$D$2,0))/SUM(IF(L157&gt;0,$B$2,0), IF(N157&gt;0,$C$2,0), IF(P157&gt;0,$D$2,0)), 0))</f>
        <v/>
      </c>
      <c r="D157">
        <f>IF(AND(S157&lt;U157,S157&lt;W157), MIN(S157,R157), IFERROR(SUM(IFERROR(S157*$B$2,0), IFERROR(U157*$C$2,0), IFERROR(W157*$D$2,0))/SUM(IF(S157&gt;0,$B$2,0), IF(U157&gt;0,$C$2,0), IF(W157&gt;0,$D$2,0)), 0))</f>
        <v/>
      </c>
      <c r="E157">
        <f>IF(B157="BB",C157,MIN(C157,D157*(1-$F$2)))</f>
        <v/>
      </c>
      <c r="F157">
        <f>IF(ISBLANK(AL157),1,LEN(AL157)-LEN(SUBSTITUTE(AL157,",",""))+1)</f>
        <v/>
      </c>
      <c r="G157">
        <f>IF(F157=1,1,IF(OR(ISBLANK(AN157),AN157=0),"Manual",AN157/MAX(SUMIF($AK:$AK,AM157,$AL:$AL),1)))</f>
        <v/>
      </c>
      <c r="H157">
        <f>IF(F157=1, 1, 0)</f>
        <v/>
      </c>
      <c r="I157" s="12" t="n"/>
      <c r="J157" s="12" t="n"/>
      <c r="M157" s="16" t="n"/>
      <c r="O157" s="16" t="n"/>
      <c r="T157" s="16" t="n"/>
      <c r="V157" s="16" t="n"/>
      <c r="X157" s="16" t="n"/>
      <c r="Y157" s="14" t="n"/>
      <c r="Z157" s="14" t="n"/>
      <c r="AA157" s="16" t="n"/>
      <c r="AB157" s="14" t="n"/>
      <c r="AC157" s="16" t="n"/>
      <c r="AD157" s="14" t="n"/>
      <c r="AE157" s="14" t="n"/>
      <c r="AF157" s="14" t="n"/>
      <c r="AG157" s="14" t="n"/>
      <c r="AH157" s="14" t="n"/>
      <c r="AL157" s="12" t="n"/>
      <c r="AM157" s="12" t="n"/>
      <c r="AP157" s="14" t="n"/>
      <c r="AR157" s="14" t="n"/>
      <c r="AT157" s="15" t="n"/>
      <c r="AU157" s="15" t="n"/>
      <c r="AV157" s="16" t="n"/>
    </row>
    <row r="158">
      <c r="A158" s="12" t="n"/>
      <c r="B158">
        <f>IF(ISBLANK(X158),0,IF(X158&gt;=0.65, "BB", "AMZ"))</f>
        <v/>
      </c>
      <c r="C158">
        <f>IF(AND(L158&lt;N158,L158&lt;P158), MIN(L158,K158), IFERROR(SUM(IFERROR(L158*$B$2,0), IFERROR(N158*$C$2,0), IFERROR(P158*$D$2,0))/SUM(IF(L158&gt;0,$B$2,0), IF(N158&gt;0,$C$2,0), IF(P158&gt;0,$D$2,0)), 0))</f>
        <v/>
      </c>
      <c r="D158">
        <f>IF(AND(S158&lt;U158,S158&lt;W158), MIN(S158,R158), IFERROR(SUM(IFERROR(S158*$B$2,0), IFERROR(U158*$C$2,0), IFERROR(W158*$D$2,0))/SUM(IF(S158&gt;0,$B$2,0), IF(U158&gt;0,$C$2,0), IF(W158&gt;0,$D$2,0)), 0))</f>
        <v/>
      </c>
      <c r="E158">
        <f>IF(B158="BB",C158,MIN(C158,D158*(1-$F$2)))</f>
        <v/>
      </c>
      <c r="F158">
        <f>IF(ISBLANK(AL158),1,LEN(AL158)-LEN(SUBSTITUTE(AL158,",",""))+1)</f>
        <v/>
      </c>
      <c r="G158">
        <f>IF(F158=1,1,IF(OR(ISBLANK(AN158),AN158=0),"Manual",AN158/MAX(SUMIF($AK:$AK,AM158,$AL:$AL),1)))</f>
        <v/>
      </c>
      <c r="H158">
        <f>IF(F158=1, 1, 0)</f>
        <v/>
      </c>
      <c r="I158" s="12" t="n"/>
      <c r="J158" s="12" t="n"/>
      <c r="M158" s="16" t="n"/>
      <c r="O158" s="16" t="n"/>
      <c r="T158" s="16" t="n"/>
      <c r="V158" s="16" t="n"/>
      <c r="X158" s="16" t="n"/>
      <c r="Y158" s="14" t="n"/>
      <c r="Z158" s="14" t="n"/>
      <c r="AA158" s="16" t="n"/>
      <c r="AB158" s="14" t="n"/>
      <c r="AC158" s="16" t="n"/>
      <c r="AD158" s="14" t="n"/>
      <c r="AE158" s="14" t="n"/>
      <c r="AF158" s="14" t="n"/>
      <c r="AG158" s="14" t="n"/>
      <c r="AH158" s="14" t="n"/>
      <c r="AL158" s="12" t="n"/>
      <c r="AM158" s="12" t="n"/>
      <c r="AP158" s="14" t="n"/>
      <c r="AR158" s="14" t="n"/>
      <c r="AT158" s="15" t="n"/>
      <c r="AU158" s="15" t="n"/>
      <c r="AV158" s="16" t="n"/>
    </row>
    <row r="159">
      <c r="A159" s="12" t="n"/>
      <c r="B159">
        <f>IF(ISBLANK(X159),0,IF(X159&gt;=0.65, "BB", "AMZ"))</f>
        <v/>
      </c>
      <c r="C159">
        <f>IF(AND(L159&lt;N159,L159&lt;P159), MIN(L159,K159), IFERROR(SUM(IFERROR(L159*$B$2,0), IFERROR(N159*$C$2,0), IFERROR(P159*$D$2,0))/SUM(IF(L159&gt;0,$B$2,0), IF(N159&gt;0,$C$2,0), IF(P159&gt;0,$D$2,0)), 0))</f>
        <v/>
      </c>
      <c r="D159">
        <f>IF(AND(S159&lt;U159,S159&lt;W159), MIN(S159,R159), IFERROR(SUM(IFERROR(S159*$B$2,0), IFERROR(U159*$C$2,0), IFERROR(W159*$D$2,0))/SUM(IF(S159&gt;0,$B$2,0), IF(U159&gt;0,$C$2,0), IF(W159&gt;0,$D$2,0)), 0))</f>
        <v/>
      </c>
      <c r="E159">
        <f>IF(B159="BB",C159,MIN(C159,D159*(1-$F$2)))</f>
        <v/>
      </c>
      <c r="F159">
        <f>IF(ISBLANK(AL159),1,LEN(AL159)-LEN(SUBSTITUTE(AL159,",",""))+1)</f>
        <v/>
      </c>
      <c r="G159">
        <f>IF(F159=1,1,IF(OR(ISBLANK(AN159),AN159=0),"Manual",AN159/MAX(SUMIF($AK:$AK,AM159,$AL:$AL),1)))</f>
        <v/>
      </c>
      <c r="H159">
        <f>IF(F159=1, 1, 0)</f>
        <v/>
      </c>
      <c r="I159" s="12" t="n"/>
      <c r="J159" s="12" t="n"/>
      <c r="M159" s="16" t="n"/>
      <c r="O159" s="16" t="n"/>
      <c r="T159" s="16" t="n"/>
      <c r="V159" s="16" t="n"/>
      <c r="X159" s="16" t="n"/>
      <c r="Y159" s="14" t="n"/>
      <c r="Z159" s="14" t="n"/>
      <c r="AA159" s="16" t="n"/>
      <c r="AB159" s="14" t="n"/>
      <c r="AC159" s="16" t="n"/>
      <c r="AD159" s="14" t="n"/>
      <c r="AE159" s="14" t="n"/>
      <c r="AF159" s="14" t="n"/>
      <c r="AG159" s="14" t="n"/>
      <c r="AH159" s="14" t="n"/>
      <c r="AL159" s="12" t="n"/>
      <c r="AM159" s="12" t="n"/>
      <c r="AP159" s="14" t="n"/>
      <c r="AR159" s="14" t="n"/>
      <c r="AT159" s="15" t="n"/>
      <c r="AU159" s="15" t="n"/>
      <c r="AV159" s="16" t="n"/>
    </row>
    <row r="160">
      <c r="A160" s="12" t="n"/>
      <c r="B160">
        <f>IF(ISBLANK(X160),0,IF(X160&gt;=0.65, "BB", "AMZ"))</f>
        <v/>
      </c>
      <c r="C160">
        <f>IF(AND(L160&lt;N160,L160&lt;P160), MIN(L160,K160), IFERROR(SUM(IFERROR(L160*$B$2,0), IFERROR(N160*$C$2,0), IFERROR(P160*$D$2,0))/SUM(IF(L160&gt;0,$B$2,0), IF(N160&gt;0,$C$2,0), IF(P160&gt;0,$D$2,0)), 0))</f>
        <v/>
      </c>
      <c r="D160">
        <f>IF(AND(S160&lt;U160,S160&lt;W160), MIN(S160,R160), IFERROR(SUM(IFERROR(S160*$B$2,0), IFERROR(U160*$C$2,0), IFERROR(W160*$D$2,0))/SUM(IF(S160&gt;0,$B$2,0), IF(U160&gt;0,$C$2,0), IF(W160&gt;0,$D$2,0)), 0))</f>
        <v/>
      </c>
      <c r="E160">
        <f>IF(B160="BB",C160,MIN(C160,D160*(1-$F$2)))</f>
        <v/>
      </c>
      <c r="F160">
        <f>IF(ISBLANK(AL160),1,LEN(AL160)-LEN(SUBSTITUTE(AL160,",",""))+1)</f>
        <v/>
      </c>
      <c r="G160">
        <f>IF(F160=1,1,IF(OR(ISBLANK(AN160),AN160=0),"Manual",AN160/MAX(SUMIF($AK:$AK,AM160,$AL:$AL),1)))</f>
        <v/>
      </c>
      <c r="H160">
        <f>IF(F160=1, 1, 0)</f>
        <v/>
      </c>
      <c r="I160" s="12" t="n"/>
      <c r="J160" s="12" t="n"/>
      <c r="M160" s="16" t="n"/>
      <c r="O160" s="16" t="n"/>
      <c r="T160" s="16" t="n"/>
      <c r="V160" s="16" t="n"/>
      <c r="X160" s="16" t="n"/>
      <c r="Y160" s="14" t="n"/>
      <c r="Z160" s="14" t="n"/>
      <c r="AA160" s="16" t="n"/>
      <c r="AB160" s="14" t="n"/>
      <c r="AC160" s="16" t="n"/>
      <c r="AD160" s="14" t="n"/>
      <c r="AE160" s="14" t="n"/>
      <c r="AF160" s="14" t="n"/>
      <c r="AG160" s="14" t="n"/>
      <c r="AH160" s="14" t="n"/>
      <c r="AL160" s="12" t="n"/>
      <c r="AM160" s="12" t="n"/>
      <c r="AP160" s="14" t="n"/>
      <c r="AR160" s="14" t="n"/>
      <c r="AT160" s="15" t="n"/>
      <c r="AU160" s="15" t="n"/>
      <c r="AV160" s="16" t="n"/>
    </row>
    <row r="161">
      <c r="A161" s="12" t="n"/>
      <c r="B161">
        <f>IF(ISBLANK(X161),0,IF(X161&gt;=0.65, "BB", "AMZ"))</f>
        <v/>
      </c>
      <c r="C161">
        <f>IF(AND(L161&lt;N161,L161&lt;P161), MIN(L161,K161), IFERROR(SUM(IFERROR(L161*$B$2,0), IFERROR(N161*$C$2,0), IFERROR(P161*$D$2,0))/SUM(IF(L161&gt;0,$B$2,0), IF(N161&gt;0,$C$2,0), IF(P161&gt;0,$D$2,0)), 0))</f>
        <v/>
      </c>
      <c r="D161">
        <f>IF(AND(S161&lt;U161,S161&lt;W161), MIN(S161,R161), IFERROR(SUM(IFERROR(S161*$B$2,0), IFERROR(U161*$C$2,0), IFERROR(W161*$D$2,0))/SUM(IF(S161&gt;0,$B$2,0), IF(U161&gt;0,$C$2,0), IF(W161&gt;0,$D$2,0)), 0))</f>
        <v/>
      </c>
      <c r="E161">
        <f>IF(B161="BB",C161,MIN(C161,D161*(1-$F$2)))</f>
        <v/>
      </c>
      <c r="F161">
        <f>IF(ISBLANK(AL161),1,LEN(AL161)-LEN(SUBSTITUTE(AL161,",",""))+1)</f>
        <v/>
      </c>
      <c r="G161">
        <f>IF(F161=1,1,IF(OR(ISBLANK(AN161),AN161=0),"Manual",AN161/MAX(SUMIF($AK:$AK,AM161,$AL:$AL),1)))</f>
        <v/>
      </c>
      <c r="H161">
        <f>IF(F161=1, 1, 0)</f>
        <v/>
      </c>
      <c r="I161" s="12" t="n"/>
      <c r="J161" s="12" t="n"/>
      <c r="M161" s="16" t="n"/>
      <c r="O161" s="16" t="n"/>
      <c r="T161" s="16" t="n"/>
      <c r="V161" s="16" t="n"/>
      <c r="X161" s="16" t="n"/>
      <c r="Y161" s="14" t="n"/>
      <c r="Z161" s="14" t="n"/>
      <c r="AA161" s="16" t="n"/>
      <c r="AB161" s="14" t="n"/>
      <c r="AC161" s="16" t="n"/>
      <c r="AD161" s="14" t="n"/>
      <c r="AE161" s="14" t="n"/>
      <c r="AF161" s="14" t="n"/>
      <c r="AG161" s="14" t="n"/>
      <c r="AH161" s="14" t="n"/>
      <c r="AL161" s="12" t="n"/>
      <c r="AM161" s="12" t="n"/>
      <c r="AP161" s="14" t="n"/>
      <c r="AR161" s="14" t="n"/>
      <c r="AT161" s="15" t="n"/>
      <c r="AU161" s="15" t="n"/>
      <c r="AV161" s="16" t="n"/>
    </row>
    <row r="162">
      <c r="A162" s="12" t="n"/>
      <c r="B162">
        <f>IF(ISBLANK(X162),0,IF(X162&gt;=0.65, "BB", "AMZ"))</f>
        <v/>
      </c>
      <c r="C162">
        <f>IF(AND(L162&lt;N162,L162&lt;P162), MIN(L162,K162), IFERROR(SUM(IFERROR(L162*$B$2,0), IFERROR(N162*$C$2,0), IFERROR(P162*$D$2,0))/SUM(IF(L162&gt;0,$B$2,0), IF(N162&gt;0,$C$2,0), IF(P162&gt;0,$D$2,0)), 0))</f>
        <v/>
      </c>
      <c r="D162">
        <f>IF(AND(S162&lt;U162,S162&lt;W162), MIN(S162,R162), IFERROR(SUM(IFERROR(S162*$B$2,0), IFERROR(U162*$C$2,0), IFERROR(W162*$D$2,0))/SUM(IF(S162&gt;0,$B$2,0), IF(U162&gt;0,$C$2,0), IF(W162&gt;0,$D$2,0)), 0))</f>
        <v/>
      </c>
      <c r="E162">
        <f>IF(B162="BB",C162,MIN(C162,D162*(1-$F$2)))</f>
        <v/>
      </c>
      <c r="F162">
        <f>IF(ISBLANK(AL162),1,LEN(AL162)-LEN(SUBSTITUTE(AL162,",",""))+1)</f>
        <v/>
      </c>
      <c r="G162">
        <f>IF(F162=1,1,IF(OR(ISBLANK(AN162),AN162=0),"Manual",AN162/MAX(SUMIF($AK:$AK,AM162,$AL:$AL),1)))</f>
        <v/>
      </c>
      <c r="H162">
        <f>IF(F162=1, 1, 0)</f>
        <v/>
      </c>
      <c r="I162" s="12" t="n"/>
      <c r="J162" s="12" t="n"/>
      <c r="M162" s="16" t="n"/>
      <c r="O162" s="16" t="n"/>
      <c r="T162" s="16" t="n"/>
      <c r="V162" s="16" t="n"/>
      <c r="X162" s="16" t="n"/>
      <c r="Y162" s="14" t="n"/>
      <c r="Z162" s="14" t="n"/>
      <c r="AA162" s="16" t="n"/>
      <c r="AB162" s="14" t="n"/>
      <c r="AC162" s="16" t="n"/>
      <c r="AD162" s="14" t="n"/>
      <c r="AE162" s="14" t="n"/>
      <c r="AF162" s="14" t="n"/>
      <c r="AG162" s="14" t="n"/>
      <c r="AH162" s="14" t="n"/>
      <c r="AL162" s="12" t="n"/>
      <c r="AM162" s="12" t="n"/>
      <c r="AP162" s="14" t="n"/>
      <c r="AR162" s="14" t="n"/>
      <c r="AT162" s="15" t="n"/>
      <c r="AU162" s="15" t="n"/>
      <c r="AV162" s="16" t="n"/>
    </row>
    <row r="163">
      <c r="A163" s="12" t="n"/>
      <c r="B163">
        <f>IF(ISBLANK(X163),0,IF(X163&gt;=0.65, "BB", "AMZ"))</f>
        <v/>
      </c>
      <c r="C163">
        <f>IF(AND(L163&lt;N163,L163&lt;P163), MIN(L163,K163), IFERROR(SUM(IFERROR(L163*$B$2,0), IFERROR(N163*$C$2,0), IFERROR(P163*$D$2,0))/SUM(IF(L163&gt;0,$B$2,0), IF(N163&gt;0,$C$2,0), IF(P163&gt;0,$D$2,0)), 0))</f>
        <v/>
      </c>
      <c r="D163">
        <f>IF(AND(S163&lt;U163,S163&lt;W163), MIN(S163,R163), IFERROR(SUM(IFERROR(S163*$B$2,0), IFERROR(U163*$C$2,0), IFERROR(W163*$D$2,0))/SUM(IF(S163&gt;0,$B$2,0), IF(U163&gt;0,$C$2,0), IF(W163&gt;0,$D$2,0)), 0))</f>
        <v/>
      </c>
      <c r="E163">
        <f>IF(B163="BB",C163,MIN(C163,D163*(1-$F$2)))</f>
        <v/>
      </c>
      <c r="F163">
        <f>IF(ISBLANK(AL163),1,LEN(AL163)-LEN(SUBSTITUTE(AL163,",",""))+1)</f>
        <v/>
      </c>
      <c r="G163">
        <f>IF(F163=1,1,IF(OR(ISBLANK(AN163),AN163=0),"Manual",AN163/MAX(SUMIF($AK:$AK,AM163,$AL:$AL),1)))</f>
        <v/>
      </c>
      <c r="H163">
        <f>IF(F163=1, 1, 0)</f>
        <v/>
      </c>
      <c r="I163" s="12" t="n"/>
      <c r="J163" s="12" t="n"/>
      <c r="M163" s="16" t="n"/>
      <c r="O163" s="16" t="n"/>
      <c r="T163" s="16" t="n"/>
      <c r="V163" s="16" t="n"/>
      <c r="X163" s="16" t="n"/>
      <c r="Y163" s="14" t="n"/>
      <c r="Z163" s="14" t="n"/>
      <c r="AA163" s="16" t="n"/>
      <c r="AB163" s="14" t="n"/>
      <c r="AC163" s="16" t="n"/>
      <c r="AD163" s="14" t="n"/>
      <c r="AE163" s="14" t="n"/>
      <c r="AF163" s="14" t="n"/>
      <c r="AG163" s="14" t="n"/>
      <c r="AH163" s="14" t="n"/>
      <c r="AL163" s="12" t="n"/>
      <c r="AM163" s="12" t="n"/>
      <c r="AP163" s="14" t="n"/>
      <c r="AR163" s="14" t="n"/>
      <c r="AT163" s="15" t="n"/>
      <c r="AU163" s="15" t="n"/>
      <c r="AV163" s="16" t="n"/>
    </row>
    <row r="164">
      <c r="A164" s="12" t="n"/>
      <c r="B164">
        <f>IF(ISBLANK(X164),0,IF(X164&gt;=0.65, "BB", "AMZ"))</f>
        <v/>
      </c>
      <c r="C164">
        <f>IF(AND(L164&lt;N164,L164&lt;P164), MIN(L164,K164), IFERROR(SUM(IFERROR(L164*$B$2,0), IFERROR(N164*$C$2,0), IFERROR(P164*$D$2,0))/SUM(IF(L164&gt;0,$B$2,0), IF(N164&gt;0,$C$2,0), IF(P164&gt;0,$D$2,0)), 0))</f>
        <v/>
      </c>
      <c r="D164">
        <f>IF(AND(S164&lt;U164,S164&lt;W164), MIN(S164,R164), IFERROR(SUM(IFERROR(S164*$B$2,0), IFERROR(U164*$C$2,0), IFERROR(W164*$D$2,0))/SUM(IF(S164&gt;0,$B$2,0), IF(U164&gt;0,$C$2,0), IF(W164&gt;0,$D$2,0)), 0))</f>
        <v/>
      </c>
      <c r="E164">
        <f>IF(B164="BB",C164,MIN(C164,D164*(1-$F$2)))</f>
        <v/>
      </c>
      <c r="F164">
        <f>IF(ISBLANK(AL164),1,LEN(AL164)-LEN(SUBSTITUTE(AL164,",",""))+1)</f>
        <v/>
      </c>
      <c r="G164">
        <f>IF(F164=1,1,IF(OR(ISBLANK(AN164),AN164=0),"Manual",AN164/MAX(SUMIF($AK:$AK,AM164,$AL:$AL),1)))</f>
        <v/>
      </c>
      <c r="H164">
        <f>IF(F164=1, 1, 0)</f>
        <v/>
      </c>
      <c r="I164" s="12" t="n"/>
      <c r="J164" s="12" t="n"/>
      <c r="M164" s="16" t="n"/>
      <c r="O164" s="16" t="n"/>
      <c r="T164" s="16" t="n"/>
      <c r="V164" s="16" t="n"/>
      <c r="X164" s="16" t="n"/>
      <c r="Y164" s="14" t="n"/>
      <c r="Z164" s="14" t="n"/>
      <c r="AA164" s="16" t="n"/>
      <c r="AB164" s="14" t="n"/>
      <c r="AC164" s="16" t="n"/>
      <c r="AD164" s="14" t="n"/>
      <c r="AE164" s="14" t="n"/>
      <c r="AF164" s="14" t="n"/>
      <c r="AG164" s="14" t="n"/>
      <c r="AH164" s="14" t="n"/>
      <c r="AL164" s="12" t="n"/>
      <c r="AM164" s="12" t="n"/>
      <c r="AP164" s="14" t="n"/>
      <c r="AR164" s="14" t="n"/>
      <c r="AT164" s="15" t="n"/>
      <c r="AU164" s="15" t="n"/>
      <c r="AV164" s="16" t="n"/>
    </row>
    <row r="165">
      <c r="A165" s="12" t="n"/>
      <c r="B165">
        <f>IF(ISBLANK(X165),0,IF(X165&gt;=0.65, "BB", "AMZ"))</f>
        <v/>
      </c>
      <c r="C165">
        <f>IF(AND(L165&lt;N165,L165&lt;P165), MIN(L165,K165), IFERROR(SUM(IFERROR(L165*$B$2,0), IFERROR(N165*$C$2,0), IFERROR(P165*$D$2,0))/SUM(IF(L165&gt;0,$B$2,0), IF(N165&gt;0,$C$2,0), IF(P165&gt;0,$D$2,0)), 0))</f>
        <v/>
      </c>
      <c r="D165">
        <f>IF(AND(S165&lt;U165,S165&lt;W165), MIN(S165,R165), IFERROR(SUM(IFERROR(S165*$B$2,0), IFERROR(U165*$C$2,0), IFERROR(W165*$D$2,0))/SUM(IF(S165&gt;0,$B$2,0), IF(U165&gt;0,$C$2,0), IF(W165&gt;0,$D$2,0)), 0))</f>
        <v/>
      </c>
      <c r="E165">
        <f>IF(B165="BB",C165,MIN(C165,D165*(1-$F$2)))</f>
        <v/>
      </c>
      <c r="F165">
        <f>IF(ISBLANK(AL165),1,LEN(AL165)-LEN(SUBSTITUTE(AL165,",",""))+1)</f>
        <v/>
      </c>
      <c r="G165">
        <f>IF(F165=1,1,IF(OR(ISBLANK(AN165),AN165=0),"Manual",AN165/MAX(SUMIF($AK:$AK,AM165,$AL:$AL),1)))</f>
        <v/>
      </c>
      <c r="H165">
        <f>IF(F165=1, 1, 0)</f>
        <v/>
      </c>
      <c r="I165" s="12" t="n"/>
      <c r="J165" s="12" t="n"/>
      <c r="M165" s="16" t="n"/>
      <c r="O165" s="16" t="n"/>
      <c r="T165" s="16" t="n"/>
      <c r="V165" s="16" t="n"/>
      <c r="X165" s="16" t="n"/>
      <c r="Y165" s="14" t="n"/>
      <c r="Z165" s="14" t="n"/>
      <c r="AA165" s="16" t="n"/>
      <c r="AB165" s="14" t="n"/>
      <c r="AC165" s="16" t="n"/>
      <c r="AD165" s="14" t="n"/>
      <c r="AE165" s="14" t="n"/>
      <c r="AF165" s="14" t="n"/>
      <c r="AG165" s="14" t="n"/>
      <c r="AH165" s="14" t="n"/>
      <c r="AL165" s="12" t="n"/>
      <c r="AM165" s="12" t="n"/>
      <c r="AP165" s="14" t="n"/>
      <c r="AR165" s="14" t="n"/>
      <c r="AT165" s="15" t="n"/>
      <c r="AU165" s="15" t="n"/>
      <c r="AV165" s="16" t="n"/>
    </row>
    <row r="166">
      <c r="A166" s="12" t="n"/>
      <c r="B166">
        <f>IF(ISBLANK(X166),0,IF(X166&gt;=0.65, "BB", "AMZ"))</f>
        <v/>
      </c>
      <c r="C166">
        <f>IF(AND(L166&lt;N166,L166&lt;P166), MIN(L166,K166), IFERROR(SUM(IFERROR(L166*$B$2,0), IFERROR(N166*$C$2,0), IFERROR(P166*$D$2,0))/SUM(IF(L166&gt;0,$B$2,0), IF(N166&gt;0,$C$2,0), IF(P166&gt;0,$D$2,0)), 0))</f>
        <v/>
      </c>
      <c r="D166">
        <f>IF(AND(S166&lt;U166,S166&lt;W166), MIN(S166,R166), IFERROR(SUM(IFERROR(S166*$B$2,0), IFERROR(U166*$C$2,0), IFERROR(W166*$D$2,0))/SUM(IF(S166&gt;0,$B$2,0), IF(U166&gt;0,$C$2,0), IF(W166&gt;0,$D$2,0)), 0))</f>
        <v/>
      </c>
      <c r="E166">
        <f>IF(B166="BB",C166,MIN(C166,D166*(1-$F$2)))</f>
        <v/>
      </c>
      <c r="F166">
        <f>IF(ISBLANK(AL166),1,LEN(AL166)-LEN(SUBSTITUTE(AL166,",",""))+1)</f>
        <v/>
      </c>
      <c r="G166">
        <f>IF(F166=1,1,IF(OR(ISBLANK(AN166),AN166=0),"Manual",AN166/MAX(SUMIF($AK:$AK,AM166,$AL:$AL),1)))</f>
        <v/>
      </c>
      <c r="H166">
        <f>IF(F166=1, 1, 0)</f>
        <v/>
      </c>
      <c r="I166" s="12" t="n"/>
      <c r="J166" s="12" t="n"/>
      <c r="M166" s="16" t="n"/>
      <c r="O166" s="16" t="n"/>
      <c r="T166" s="16" t="n"/>
      <c r="V166" s="16" t="n"/>
      <c r="X166" s="16" t="n"/>
      <c r="Y166" s="14" t="n"/>
      <c r="Z166" s="14" t="n"/>
      <c r="AA166" s="16" t="n"/>
      <c r="AB166" s="14" t="n"/>
      <c r="AC166" s="16" t="n"/>
      <c r="AD166" s="14" t="n"/>
      <c r="AE166" s="14" t="n"/>
      <c r="AF166" s="14" t="n"/>
      <c r="AG166" s="14" t="n"/>
      <c r="AH166" s="14" t="n"/>
      <c r="AL166" s="12" t="n"/>
      <c r="AM166" s="12" t="n"/>
      <c r="AP166" s="14" t="n"/>
      <c r="AR166" s="14" t="n"/>
      <c r="AT166" s="15" t="n"/>
      <c r="AU166" s="15" t="n"/>
      <c r="AV166" s="16" t="n"/>
    </row>
    <row r="167">
      <c r="A167" s="12" t="n"/>
      <c r="B167">
        <f>IF(ISBLANK(X167),0,IF(X167&gt;=0.65, "BB", "AMZ"))</f>
        <v/>
      </c>
      <c r="C167">
        <f>IF(AND(L167&lt;N167,L167&lt;P167), MIN(L167,K167), IFERROR(SUM(IFERROR(L167*$B$2,0), IFERROR(N167*$C$2,0), IFERROR(P167*$D$2,0))/SUM(IF(L167&gt;0,$B$2,0), IF(N167&gt;0,$C$2,0), IF(P167&gt;0,$D$2,0)), 0))</f>
        <v/>
      </c>
      <c r="D167">
        <f>IF(AND(S167&lt;U167,S167&lt;W167), MIN(S167,R167), IFERROR(SUM(IFERROR(S167*$B$2,0), IFERROR(U167*$C$2,0), IFERROR(W167*$D$2,0))/SUM(IF(S167&gt;0,$B$2,0), IF(U167&gt;0,$C$2,0), IF(W167&gt;0,$D$2,0)), 0))</f>
        <v/>
      </c>
      <c r="E167">
        <f>IF(B167="BB",C167,MIN(C167,D167*(1-$F$2)))</f>
        <v/>
      </c>
      <c r="F167">
        <f>IF(ISBLANK(AL167),1,LEN(AL167)-LEN(SUBSTITUTE(AL167,",",""))+1)</f>
        <v/>
      </c>
      <c r="G167">
        <f>IF(F167=1,1,IF(OR(ISBLANK(AN167),AN167=0),"Manual",AN167/MAX(SUMIF($AK:$AK,AM167,$AL:$AL),1)))</f>
        <v/>
      </c>
      <c r="H167">
        <f>IF(F167=1, 1, 0)</f>
        <v/>
      </c>
      <c r="I167" s="12" t="n"/>
      <c r="J167" s="12" t="n"/>
      <c r="M167" s="16" t="n"/>
      <c r="O167" s="16" t="n"/>
      <c r="T167" s="16" t="n"/>
      <c r="V167" s="16" t="n"/>
      <c r="X167" s="16" t="n"/>
      <c r="Y167" s="14" t="n"/>
      <c r="Z167" s="14" t="n"/>
      <c r="AA167" s="16" t="n"/>
      <c r="AB167" s="14" t="n"/>
      <c r="AC167" s="16" t="n"/>
      <c r="AD167" s="14" t="n"/>
      <c r="AE167" s="14" t="n"/>
      <c r="AF167" s="14" t="n"/>
      <c r="AG167" s="14" t="n"/>
      <c r="AH167" s="14" t="n"/>
      <c r="AL167" s="12" t="n"/>
      <c r="AM167" s="12" t="n"/>
      <c r="AP167" s="14" t="n"/>
      <c r="AR167" s="14" t="n"/>
      <c r="AT167" s="15" t="n"/>
      <c r="AU167" s="15" t="n"/>
      <c r="AV167" s="16" t="n"/>
    </row>
    <row r="168">
      <c r="A168" s="12" t="n"/>
      <c r="B168">
        <f>IF(ISBLANK(X168),0,IF(X168&gt;=0.65, "BB", "AMZ"))</f>
        <v/>
      </c>
      <c r="C168">
        <f>IF(AND(L168&lt;N168,L168&lt;P168), MIN(L168,K168), IFERROR(SUM(IFERROR(L168*$B$2,0), IFERROR(N168*$C$2,0), IFERROR(P168*$D$2,0))/SUM(IF(L168&gt;0,$B$2,0), IF(N168&gt;0,$C$2,0), IF(P168&gt;0,$D$2,0)), 0))</f>
        <v/>
      </c>
      <c r="D168">
        <f>IF(AND(S168&lt;U168,S168&lt;W168), MIN(S168,R168), IFERROR(SUM(IFERROR(S168*$B$2,0), IFERROR(U168*$C$2,0), IFERROR(W168*$D$2,0))/SUM(IF(S168&gt;0,$B$2,0), IF(U168&gt;0,$C$2,0), IF(W168&gt;0,$D$2,0)), 0))</f>
        <v/>
      </c>
      <c r="E168">
        <f>IF(B168="BB",C168,MIN(C168,D168*(1-$F$2)))</f>
        <v/>
      </c>
      <c r="F168">
        <f>IF(ISBLANK(AL168),1,LEN(AL168)-LEN(SUBSTITUTE(AL168,",",""))+1)</f>
        <v/>
      </c>
      <c r="G168">
        <f>IF(F168=1,1,IF(OR(ISBLANK(AN168),AN168=0),"Manual",AN168/MAX(SUMIF($AK:$AK,AM168,$AL:$AL),1)))</f>
        <v/>
      </c>
      <c r="H168">
        <f>IF(F168=1, 1, 0)</f>
        <v/>
      </c>
      <c r="I168" s="12" t="n"/>
      <c r="J168" s="12" t="n"/>
      <c r="M168" s="16" t="n"/>
      <c r="O168" s="16" t="n"/>
      <c r="T168" s="16" t="n"/>
      <c r="V168" s="16" t="n"/>
      <c r="X168" s="16" t="n"/>
      <c r="Y168" s="14" t="n"/>
      <c r="Z168" s="14" t="n"/>
      <c r="AA168" s="16" t="n"/>
      <c r="AB168" s="14" t="n"/>
      <c r="AC168" s="16" t="n"/>
      <c r="AD168" s="14" t="n"/>
      <c r="AE168" s="14" t="n"/>
      <c r="AF168" s="14" t="n"/>
      <c r="AG168" s="14" t="n"/>
      <c r="AH168" s="14" t="n"/>
      <c r="AL168" s="12" t="n"/>
      <c r="AM168" s="12" t="n"/>
      <c r="AP168" s="14" t="n"/>
      <c r="AR168" s="14" t="n"/>
      <c r="AT168" s="15" t="n"/>
      <c r="AU168" s="15" t="n"/>
      <c r="AV168" s="16" t="n"/>
    </row>
    <row r="169">
      <c r="A169" s="12" t="n"/>
      <c r="B169">
        <f>IF(ISBLANK(X169),0,IF(X169&gt;=0.65, "BB", "AMZ"))</f>
        <v/>
      </c>
      <c r="C169">
        <f>IF(AND(L169&lt;N169,L169&lt;P169), MIN(L169,K169), IFERROR(SUM(IFERROR(L169*$B$2,0), IFERROR(N169*$C$2,0), IFERROR(P169*$D$2,0))/SUM(IF(L169&gt;0,$B$2,0), IF(N169&gt;0,$C$2,0), IF(P169&gt;0,$D$2,0)), 0))</f>
        <v/>
      </c>
      <c r="D169">
        <f>IF(AND(S169&lt;U169,S169&lt;W169), MIN(S169,R169), IFERROR(SUM(IFERROR(S169*$B$2,0), IFERROR(U169*$C$2,0), IFERROR(W169*$D$2,0))/SUM(IF(S169&gt;0,$B$2,0), IF(U169&gt;0,$C$2,0), IF(W169&gt;0,$D$2,0)), 0))</f>
        <v/>
      </c>
      <c r="E169">
        <f>IF(B169="BB",C169,MIN(C169,D169*(1-$F$2)))</f>
        <v/>
      </c>
      <c r="F169">
        <f>IF(ISBLANK(AL169),1,LEN(AL169)-LEN(SUBSTITUTE(AL169,",",""))+1)</f>
        <v/>
      </c>
      <c r="G169">
        <f>IF(F169=1,1,IF(OR(ISBLANK(AN169),AN169=0),"Manual",AN169/MAX(SUMIF($AK:$AK,AM169,$AL:$AL),1)))</f>
        <v/>
      </c>
      <c r="H169">
        <f>IF(F169=1, 1, 0)</f>
        <v/>
      </c>
      <c r="I169" s="12" t="n"/>
      <c r="J169" s="12" t="n"/>
      <c r="M169" s="16" t="n"/>
      <c r="O169" s="16" t="n"/>
      <c r="T169" s="16" t="n"/>
      <c r="V169" s="16" t="n"/>
      <c r="X169" s="16" t="n"/>
      <c r="Y169" s="14" t="n"/>
      <c r="Z169" s="14" t="n"/>
      <c r="AA169" s="16" t="n"/>
      <c r="AB169" s="14" t="n"/>
      <c r="AC169" s="16" t="n"/>
      <c r="AD169" s="14" t="n"/>
      <c r="AE169" s="14" t="n"/>
      <c r="AF169" s="14" t="n"/>
      <c r="AG169" s="14" t="n"/>
      <c r="AH169" s="14" t="n"/>
      <c r="AL169" s="12" t="n"/>
      <c r="AM169" s="12" t="n"/>
      <c r="AP169" s="14" t="n"/>
      <c r="AR169" s="14" t="n"/>
      <c r="AT169" s="15" t="n"/>
      <c r="AU169" s="15" t="n"/>
      <c r="AV169" s="16" t="n"/>
    </row>
    <row r="170">
      <c r="A170" s="12" t="n"/>
      <c r="B170">
        <f>IF(ISBLANK(X170),0,IF(X170&gt;=0.65, "BB", "AMZ"))</f>
        <v/>
      </c>
      <c r="C170">
        <f>IF(AND(L170&lt;N170,L170&lt;P170), MIN(L170,K170), IFERROR(SUM(IFERROR(L170*$B$2,0), IFERROR(N170*$C$2,0), IFERROR(P170*$D$2,0))/SUM(IF(L170&gt;0,$B$2,0), IF(N170&gt;0,$C$2,0), IF(P170&gt;0,$D$2,0)), 0))</f>
        <v/>
      </c>
      <c r="D170">
        <f>IF(AND(S170&lt;U170,S170&lt;W170), MIN(S170,R170), IFERROR(SUM(IFERROR(S170*$B$2,0), IFERROR(U170*$C$2,0), IFERROR(W170*$D$2,0))/SUM(IF(S170&gt;0,$B$2,0), IF(U170&gt;0,$C$2,0), IF(W170&gt;0,$D$2,0)), 0))</f>
        <v/>
      </c>
      <c r="E170">
        <f>IF(B170="BB",C170,MIN(C170,D170*(1-$F$2)))</f>
        <v/>
      </c>
      <c r="F170">
        <f>IF(ISBLANK(AL170),1,LEN(AL170)-LEN(SUBSTITUTE(AL170,",",""))+1)</f>
        <v/>
      </c>
      <c r="G170">
        <f>IF(F170=1,1,IF(OR(ISBLANK(AN170),AN170=0),"Manual",AN170/MAX(SUMIF($AK:$AK,AM170,$AL:$AL),1)))</f>
        <v/>
      </c>
      <c r="H170">
        <f>IF(F170=1, 1, 0)</f>
        <v/>
      </c>
      <c r="I170" s="12" t="n"/>
      <c r="J170" s="12" t="n"/>
      <c r="M170" s="16" t="n"/>
      <c r="O170" s="16" t="n"/>
      <c r="T170" s="16" t="n"/>
      <c r="V170" s="16" t="n"/>
      <c r="X170" s="16" t="n"/>
      <c r="Y170" s="14" t="n"/>
      <c r="Z170" s="14" t="n"/>
      <c r="AA170" s="16" t="n"/>
      <c r="AB170" s="14" t="n"/>
      <c r="AC170" s="16" t="n"/>
      <c r="AD170" s="14" t="n"/>
      <c r="AE170" s="14" t="n"/>
      <c r="AF170" s="14" t="n"/>
      <c r="AG170" s="14" t="n"/>
      <c r="AH170" s="14" t="n"/>
      <c r="AL170" s="12" t="n"/>
      <c r="AM170" s="12" t="n"/>
      <c r="AP170" s="14" t="n"/>
      <c r="AR170" s="14" t="n"/>
      <c r="AT170" s="15" t="n"/>
      <c r="AU170" s="15" t="n"/>
      <c r="AV170" s="16" t="n"/>
    </row>
    <row r="171">
      <c r="A171" s="12" t="n"/>
      <c r="B171">
        <f>IF(ISBLANK(X171),0,IF(X171&gt;=0.65, "BB", "AMZ"))</f>
        <v/>
      </c>
      <c r="C171">
        <f>IF(AND(L171&lt;N171,L171&lt;P171), MIN(L171,K171), IFERROR(SUM(IFERROR(L171*$B$2,0), IFERROR(N171*$C$2,0), IFERROR(P171*$D$2,0))/SUM(IF(L171&gt;0,$B$2,0), IF(N171&gt;0,$C$2,0), IF(P171&gt;0,$D$2,0)), 0))</f>
        <v/>
      </c>
      <c r="D171">
        <f>IF(AND(S171&lt;U171,S171&lt;W171), MIN(S171,R171), IFERROR(SUM(IFERROR(S171*$B$2,0), IFERROR(U171*$C$2,0), IFERROR(W171*$D$2,0))/SUM(IF(S171&gt;0,$B$2,0), IF(U171&gt;0,$C$2,0), IF(W171&gt;0,$D$2,0)), 0))</f>
        <v/>
      </c>
      <c r="E171">
        <f>IF(B171="BB",C171,MIN(C171,D171*(1-$F$2)))</f>
        <v/>
      </c>
      <c r="F171">
        <f>IF(ISBLANK(AL171),1,LEN(AL171)-LEN(SUBSTITUTE(AL171,",",""))+1)</f>
        <v/>
      </c>
      <c r="G171">
        <f>IF(F171=1,1,IF(OR(ISBLANK(AN171),AN171=0),"Manual",AN171/MAX(SUMIF($AK:$AK,AM171,$AL:$AL),1)))</f>
        <v/>
      </c>
      <c r="H171">
        <f>IF(F171=1, 1, 0)</f>
        <v/>
      </c>
      <c r="I171" s="12" t="n"/>
      <c r="J171" s="12" t="n"/>
      <c r="M171" s="16" t="n"/>
      <c r="O171" s="16" t="n"/>
      <c r="T171" s="16" t="n"/>
      <c r="V171" s="16" t="n"/>
      <c r="X171" s="16" t="n"/>
      <c r="Y171" s="14" t="n"/>
      <c r="Z171" s="14" t="n"/>
      <c r="AA171" s="16" t="n"/>
      <c r="AB171" s="14" t="n"/>
      <c r="AC171" s="16" t="n"/>
      <c r="AD171" s="14" t="n"/>
      <c r="AE171" s="14" t="n"/>
      <c r="AF171" s="14" t="n"/>
      <c r="AG171" s="14" t="n"/>
      <c r="AH171" s="14" t="n"/>
      <c r="AL171" s="12" t="n"/>
      <c r="AM171" s="12" t="n"/>
      <c r="AP171" s="14" t="n"/>
      <c r="AR171" s="14" t="n"/>
      <c r="AT171" s="15" t="n"/>
      <c r="AU171" s="15" t="n"/>
      <c r="AV171" s="16" t="n"/>
    </row>
    <row r="172">
      <c r="A172" s="12" t="n"/>
      <c r="B172">
        <f>IF(ISBLANK(X172),0,IF(X172&gt;=0.65, "BB", "AMZ"))</f>
        <v/>
      </c>
      <c r="C172">
        <f>IF(AND(L172&lt;N172,L172&lt;P172), MIN(L172,K172), IFERROR(SUM(IFERROR(L172*$B$2,0), IFERROR(N172*$C$2,0), IFERROR(P172*$D$2,0))/SUM(IF(L172&gt;0,$B$2,0), IF(N172&gt;0,$C$2,0), IF(P172&gt;0,$D$2,0)), 0))</f>
        <v/>
      </c>
      <c r="D172">
        <f>IF(AND(S172&lt;U172,S172&lt;W172), MIN(S172,R172), IFERROR(SUM(IFERROR(S172*$B$2,0), IFERROR(U172*$C$2,0), IFERROR(W172*$D$2,0))/SUM(IF(S172&gt;0,$B$2,0), IF(U172&gt;0,$C$2,0), IF(W172&gt;0,$D$2,0)), 0))</f>
        <v/>
      </c>
      <c r="E172">
        <f>IF(B172="BB",C172,MIN(C172,D172*(1-$F$2)))</f>
        <v/>
      </c>
      <c r="F172">
        <f>IF(ISBLANK(AL172),1,LEN(AL172)-LEN(SUBSTITUTE(AL172,",",""))+1)</f>
        <v/>
      </c>
      <c r="G172">
        <f>IF(F172=1,1,IF(OR(ISBLANK(AN172),AN172=0),"Manual",AN172/MAX(SUMIF($AK:$AK,AM172,$AL:$AL),1)))</f>
        <v/>
      </c>
      <c r="H172">
        <f>IF(F172=1, 1, 0)</f>
        <v/>
      </c>
      <c r="I172" s="12" t="n"/>
      <c r="J172" s="12" t="n"/>
      <c r="M172" s="16" t="n"/>
      <c r="O172" s="16" t="n"/>
      <c r="T172" s="16" t="n"/>
      <c r="V172" s="16" t="n"/>
      <c r="X172" s="16" t="n"/>
      <c r="Y172" s="14" t="n"/>
      <c r="Z172" s="14" t="n"/>
      <c r="AA172" s="16" t="n"/>
      <c r="AB172" s="14" t="n"/>
      <c r="AC172" s="16" t="n"/>
      <c r="AD172" s="14" t="n"/>
      <c r="AE172" s="14" t="n"/>
      <c r="AF172" s="14" t="n"/>
      <c r="AG172" s="14" t="n"/>
      <c r="AH172" s="14" t="n"/>
      <c r="AL172" s="12" t="n"/>
      <c r="AM172" s="12" t="n"/>
      <c r="AP172" s="14" t="n"/>
      <c r="AR172" s="14" t="n"/>
      <c r="AT172" s="15" t="n"/>
      <c r="AU172" s="15" t="n"/>
      <c r="AV172" s="16" t="n"/>
    </row>
    <row r="173">
      <c r="A173" s="12" t="n"/>
      <c r="B173">
        <f>IF(ISBLANK(X173),0,IF(X173&gt;=0.65, "BB", "AMZ"))</f>
        <v/>
      </c>
      <c r="C173">
        <f>IF(AND(L173&lt;N173,L173&lt;P173), MIN(L173,K173), IFERROR(SUM(IFERROR(L173*$B$2,0), IFERROR(N173*$C$2,0), IFERROR(P173*$D$2,0))/SUM(IF(L173&gt;0,$B$2,0), IF(N173&gt;0,$C$2,0), IF(P173&gt;0,$D$2,0)), 0))</f>
        <v/>
      </c>
      <c r="D173">
        <f>IF(AND(S173&lt;U173,S173&lt;W173), MIN(S173,R173), IFERROR(SUM(IFERROR(S173*$B$2,0), IFERROR(U173*$C$2,0), IFERROR(W173*$D$2,0))/SUM(IF(S173&gt;0,$B$2,0), IF(U173&gt;0,$C$2,0), IF(W173&gt;0,$D$2,0)), 0))</f>
        <v/>
      </c>
      <c r="E173">
        <f>IF(B173="BB",C173,MIN(C173,D173*(1-$F$2)))</f>
        <v/>
      </c>
      <c r="F173">
        <f>IF(ISBLANK(AL173),1,LEN(AL173)-LEN(SUBSTITUTE(AL173,",",""))+1)</f>
        <v/>
      </c>
      <c r="G173">
        <f>IF(F173=1,1,IF(OR(ISBLANK(AN173),AN173=0),"Manual",AN173/MAX(SUMIF($AK:$AK,AM173,$AL:$AL),1)))</f>
        <v/>
      </c>
      <c r="H173">
        <f>IF(F173=1, 1, 0)</f>
        <v/>
      </c>
      <c r="I173" s="12" t="n"/>
      <c r="J173" s="12" t="n"/>
      <c r="M173" s="16" t="n"/>
      <c r="O173" s="16" t="n"/>
      <c r="T173" s="16" t="n"/>
      <c r="V173" s="16" t="n"/>
      <c r="X173" s="16" t="n"/>
      <c r="Y173" s="14" t="n"/>
      <c r="Z173" s="14" t="n"/>
      <c r="AA173" s="16" t="n"/>
      <c r="AB173" s="14" t="n"/>
      <c r="AC173" s="16" t="n"/>
      <c r="AD173" s="14" t="n"/>
      <c r="AE173" s="14" t="n"/>
      <c r="AF173" s="14" t="n"/>
      <c r="AG173" s="14" t="n"/>
      <c r="AH173" s="14" t="n"/>
      <c r="AL173" s="12" t="n"/>
      <c r="AM173" s="12" t="n"/>
      <c r="AP173" s="14" t="n"/>
      <c r="AR173" s="14" t="n"/>
      <c r="AT173" s="15" t="n"/>
      <c r="AU173" s="15" t="n"/>
      <c r="AV173" s="16" t="n"/>
    </row>
    <row r="174">
      <c r="A174" s="12" t="n"/>
      <c r="B174">
        <f>IF(ISBLANK(X174),0,IF(X174&gt;=0.65, "BB", "AMZ"))</f>
        <v/>
      </c>
      <c r="C174">
        <f>IF(AND(L174&lt;N174,L174&lt;P174), MIN(L174,K174), IFERROR(SUM(IFERROR(L174*$B$2,0), IFERROR(N174*$C$2,0), IFERROR(P174*$D$2,0))/SUM(IF(L174&gt;0,$B$2,0), IF(N174&gt;0,$C$2,0), IF(P174&gt;0,$D$2,0)), 0))</f>
        <v/>
      </c>
      <c r="D174">
        <f>IF(AND(S174&lt;U174,S174&lt;W174), MIN(S174,R174), IFERROR(SUM(IFERROR(S174*$B$2,0), IFERROR(U174*$C$2,0), IFERROR(W174*$D$2,0))/SUM(IF(S174&gt;0,$B$2,0), IF(U174&gt;0,$C$2,0), IF(W174&gt;0,$D$2,0)), 0))</f>
        <v/>
      </c>
      <c r="E174">
        <f>IF(B174="BB",C174,MIN(C174,D174*(1-$F$2)))</f>
        <v/>
      </c>
      <c r="F174">
        <f>IF(ISBLANK(AL174),1,LEN(AL174)-LEN(SUBSTITUTE(AL174,",",""))+1)</f>
        <v/>
      </c>
      <c r="G174">
        <f>IF(F174=1,1,IF(OR(ISBLANK(AN174),AN174=0),"Manual",AN174/MAX(SUMIF($AK:$AK,AM174,$AL:$AL),1)))</f>
        <v/>
      </c>
      <c r="H174">
        <f>IF(F174=1, 1, 0)</f>
        <v/>
      </c>
      <c r="I174" s="12" t="n"/>
      <c r="J174" s="12" t="n"/>
      <c r="M174" s="16" t="n"/>
      <c r="O174" s="16" t="n"/>
      <c r="T174" s="16" t="n"/>
      <c r="V174" s="16" t="n"/>
      <c r="X174" s="16" t="n"/>
      <c r="Y174" s="14" t="n"/>
      <c r="Z174" s="14" t="n"/>
      <c r="AA174" s="16" t="n"/>
      <c r="AB174" s="14" t="n"/>
      <c r="AC174" s="16" t="n"/>
      <c r="AD174" s="14" t="n"/>
      <c r="AE174" s="14" t="n"/>
      <c r="AF174" s="14" t="n"/>
      <c r="AG174" s="14" t="n"/>
      <c r="AH174" s="14" t="n"/>
      <c r="AL174" s="12" t="n"/>
      <c r="AM174" s="12" t="n"/>
      <c r="AP174" s="14" t="n"/>
      <c r="AR174" s="14" t="n"/>
      <c r="AT174" s="15" t="n"/>
      <c r="AU174" s="15" t="n"/>
      <c r="AV174" s="16" t="n"/>
    </row>
    <row r="175">
      <c r="A175" s="12" t="n"/>
      <c r="B175">
        <f>IF(ISBLANK(X175),0,IF(X175&gt;=0.65, "BB", "AMZ"))</f>
        <v/>
      </c>
      <c r="C175">
        <f>IF(AND(L175&lt;N175,L175&lt;P175), MIN(L175,K175), IFERROR(SUM(IFERROR(L175*$B$2,0), IFERROR(N175*$C$2,0), IFERROR(P175*$D$2,0))/SUM(IF(L175&gt;0,$B$2,0), IF(N175&gt;0,$C$2,0), IF(P175&gt;0,$D$2,0)), 0))</f>
        <v/>
      </c>
      <c r="D175">
        <f>IF(AND(S175&lt;U175,S175&lt;W175), MIN(S175,R175), IFERROR(SUM(IFERROR(S175*$B$2,0), IFERROR(U175*$C$2,0), IFERROR(W175*$D$2,0))/SUM(IF(S175&gt;0,$B$2,0), IF(U175&gt;0,$C$2,0), IF(W175&gt;0,$D$2,0)), 0))</f>
        <v/>
      </c>
      <c r="E175">
        <f>IF(B175="BB",C175,MIN(C175,D175*(1-$F$2)))</f>
        <v/>
      </c>
      <c r="F175">
        <f>IF(ISBLANK(AL175),1,LEN(AL175)-LEN(SUBSTITUTE(AL175,",",""))+1)</f>
        <v/>
      </c>
      <c r="G175">
        <f>IF(F175=1,1,IF(OR(ISBLANK(AN175),AN175=0),"Manual",AN175/MAX(SUMIF($AK:$AK,AM175,$AL:$AL),1)))</f>
        <v/>
      </c>
      <c r="H175">
        <f>IF(F175=1, 1, 0)</f>
        <v/>
      </c>
      <c r="I175" s="12" t="n"/>
      <c r="J175" s="12" t="n"/>
      <c r="M175" s="16" t="n"/>
      <c r="O175" s="16" t="n"/>
      <c r="T175" s="16" t="n"/>
      <c r="V175" s="16" t="n"/>
      <c r="X175" s="16" t="n"/>
      <c r="Y175" s="14" t="n"/>
      <c r="Z175" s="14" t="n"/>
      <c r="AA175" s="16" t="n"/>
      <c r="AB175" s="14" t="n"/>
      <c r="AC175" s="16" t="n"/>
      <c r="AD175" s="14" t="n"/>
      <c r="AE175" s="14" t="n"/>
      <c r="AF175" s="14" t="n"/>
      <c r="AG175" s="14" t="n"/>
      <c r="AH175" s="14" t="n"/>
      <c r="AL175" s="12" t="n"/>
      <c r="AM175" s="12" t="n"/>
      <c r="AP175" s="14" t="n"/>
      <c r="AR175" s="14" t="n"/>
      <c r="AT175" s="15" t="n"/>
      <c r="AU175" s="15" t="n"/>
      <c r="AV175" s="16" t="n"/>
    </row>
    <row r="176">
      <c r="A176" s="12" t="n"/>
      <c r="B176">
        <f>IF(ISBLANK(X176),0,IF(X176&gt;=0.65, "BB", "AMZ"))</f>
        <v/>
      </c>
      <c r="C176">
        <f>IF(AND(L176&lt;N176,L176&lt;P176), MIN(L176,K176), IFERROR(SUM(IFERROR(L176*$B$2,0), IFERROR(N176*$C$2,0), IFERROR(P176*$D$2,0))/SUM(IF(L176&gt;0,$B$2,0), IF(N176&gt;0,$C$2,0), IF(P176&gt;0,$D$2,0)), 0))</f>
        <v/>
      </c>
      <c r="D176">
        <f>IF(AND(S176&lt;U176,S176&lt;W176), MIN(S176,R176), IFERROR(SUM(IFERROR(S176*$B$2,0), IFERROR(U176*$C$2,0), IFERROR(W176*$D$2,0))/SUM(IF(S176&gt;0,$B$2,0), IF(U176&gt;0,$C$2,0), IF(W176&gt;0,$D$2,0)), 0))</f>
        <v/>
      </c>
      <c r="E176">
        <f>IF(B176="BB",C176,MIN(C176,D176*(1-$F$2)))</f>
        <v/>
      </c>
      <c r="F176">
        <f>IF(ISBLANK(AL176),1,LEN(AL176)-LEN(SUBSTITUTE(AL176,",",""))+1)</f>
        <v/>
      </c>
      <c r="G176">
        <f>IF(F176=1,1,IF(OR(ISBLANK(AN176),AN176=0),"Manual",AN176/MAX(SUMIF($AK:$AK,AM176,$AL:$AL),1)))</f>
        <v/>
      </c>
      <c r="H176">
        <f>IF(F176=1, 1, 0)</f>
        <v/>
      </c>
      <c r="I176" s="12" t="n"/>
      <c r="J176" s="12" t="n"/>
      <c r="M176" s="16" t="n"/>
      <c r="O176" s="16" t="n"/>
      <c r="T176" s="16" t="n"/>
      <c r="V176" s="16" t="n"/>
      <c r="X176" s="16" t="n"/>
      <c r="Y176" s="14" t="n"/>
      <c r="Z176" s="14" t="n"/>
      <c r="AA176" s="16" t="n"/>
      <c r="AB176" s="14" t="n"/>
      <c r="AC176" s="16" t="n"/>
      <c r="AD176" s="14" t="n"/>
      <c r="AE176" s="14" t="n"/>
      <c r="AF176" s="14" t="n"/>
      <c r="AG176" s="14" t="n"/>
      <c r="AH176" s="14" t="n"/>
      <c r="AL176" s="12" t="n"/>
      <c r="AM176" s="12" t="n"/>
      <c r="AP176" s="14" t="n"/>
      <c r="AR176" s="14" t="n"/>
      <c r="AT176" s="15" t="n"/>
      <c r="AU176" s="15" t="n"/>
      <c r="AV176" s="16" t="n"/>
    </row>
    <row r="177">
      <c r="A177" s="12" t="n"/>
      <c r="B177">
        <f>IF(ISBLANK(X177),0,IF(X177&gt;=0.65, "BB", "AMZ"))</f>
        <v/>
      </c>
      <c r="C177">
        <f>IF(AND(L177&lt;N177,L177&lt;P177), MIN(L177,K177), IFERROR(SUM(IFERROR(L177*$B$2,0), IFERROR(N177*$C$2,0), IFERROR(P177*$D$2,0))/SUM(IF(L177&gt;0,$B$2,0), IF(N177&gt;0,$C$2,0), IF(P177&gt;0,$D$2,0)), 0))</f>
        <v/>
      </c>
      <c r="D177">
        <f>IF(AND(S177&lt;U177,S177&lt;W177), MIN(S177,R177), IFERROR(SUM(IFERROR(S177*$B$2,0), IFERROR(U177*$C$2,0), IFERROR(W177*$D$2,0))/SUM(IF(S177&gt;0,$B$2,0), IF(U177&gt;0,$C$2,0), IF(W177&gt;0,$D$2,0)), 0))</f>
        <v/>
      </c>
      <c r="E177">
        <f>IF(B177="BB",C177,MIN(C177,D177*(1-$F$2)))</f>
        <v/>
      </c>
      <c r="F177">
        <f>IF(ISBLANK(AL177),1,LEN(AL177)-LEN(SUBSTITUTE(AL177,",",""))+1)</f>
        <v/>
      </c>
      <c r="G177">
        <f>IF(F177=1,1,IF(OR(ISBLANK(AN177),AN177=0),"Manual",AN177/MAX(SUMIF($AK:$AK,AM177,$AL:$AL),1)))</f>
        <v/>
      </c>
      <c r="H177">
        <f>IF(F177=1, 1, 0)</f>
        <v/>
      </c>
      <c r="I177" s="12" t="n"/>
      <c r="J177" s="12" t="n"/>
      <c r="M177" s="16" t="n"/>
      <c r="O177" s="16" t="n"/>
      <c r="T177" s="16" t="n"/>
      <c r="V177" s="16" t="n"/>
      <c r="X177" s="16" t="n"/>
      <c r="Y177" s="14" t="n"/>
      <c r="Z177" s="14" t="n"/>
      <c r="AA177" s="16" t="n"/>
      <c r="AB177" s="14" t="n"/>
      <c r="AC177" s="16" t="n"/>
      <c r="AD177" s="14" t="n"/>
      <c r="AE177" s="14" t="n"/>
      <c r="AF177" s="14" t="n"/>
      <c r="AG177" s="14" t="n"/>
      <c r="AH177" s="14" t="n"/>
      <c r="AL177" s="12" t="n"/>
      <c r="AM177" s="12" t="n"/>
      <c r="AP177" s="14" t="n"/>
      <c r="AR177" s="14" t="n"/>
      <c r="AT177" s="15" t="n"/>
      <c r="AU177" s="15" t="n"/>
      <c r="AV177" s="16" t="n"/>
    </row>
    <row r="178">
      <c r="A178" s="12" t="n"/>
      <c r="B178">
        <f>IF(ISBLANK(X178),0,IF(X178&gt;=0.65, "BB", "AMZ"))</f>
        <v/>
      </c>
      <c r="C178">
        <f>IF(AND(L178&lt;N178,L178&lt;P178), MIN(L178,K178), IFERROR(SUM(IFERROR(L178*$B$2,0), IFERROR(N178*$C$2,0), IFERROR(P178*$D$2,0))/SUM(IF(L178&gt;0,$B$2,0), IF(N178&gt;0,$C$2,0), IF(P178&gt;0,$D$2,0)), 0))</f>
        <v/>
      </c>
      <c r="D178">
        <f>IF(AND(S178&lt;U178,S178&lt;W178), MIN(S178,R178), IFERROR(SUM(IFERROR(S178*$B$2,0), IFERROR(U178*$C$2,0), IFERROR(W178*$D$2,0))/SUM(IF(S178&gt;0,$B$2,0), IF(U178&gt;0,$C$2,0), IF(W178&gt;0,$D$2,0)), 0))</f>
        <v/>
      </c>
      <c r="E178">
        <f>IF(B178="BB",C178,MIN(C178,D178*(1-$F$2)))</f>
        <v/>
      </c>
      <c r="F178">
        <f>IF(ISBLANK(AL178),1,LEN(AL178)-LEN(SUBSTITUTE(AL178,",",""))+1)</f>
        <v/>
      </c>
      <c r="G178">
        <f>IF(F178=1,1,IF(OR(ISBLANK(AN178),AN178=0),"Manual",AN178/MAX(SUMIF($AK:$AK,AM178,$AL:$AL),1)))</f>
        <v/>
      </c>
      <c r="H178">
        <f>IF(F178=1, 1, 0)</f>
        <v/>
      </c>
      <c r="I178" s="12" t="n"/>
      <c r="J178" s="12" t="n"/>
      <c r="M178" s="16" t="n"/>
      <c r="O178" s="16" t="n"/>
      <c r="T178" s="16" t="n"/>
      <c r="V178" s="16" t="n"/>
      <c r="X178" s="16" t="n"/>
      <c r="Y178" s="14" t="n"/>
      <c r="Z178" s="14" t="n"/>
      <c r="AA178" s="16" t="n"/>
      <c r="AB178" s="14" t="n"/>
      <c r="AC178" s="16" t="n"/>
      <c r="AD178" s="14" t="n"/>
      <c r="AE178" s="14" t="n"/>
      <c r="AF178" s="14" t="n"/>
      <c r="AG178" s="14" t="n"/>
      <c r="AH178" s="14" t="n"/>
      <c r="AL178" s="12" t="n"/>
      <c r="AM178" s="12" t="n"/>
      <c r="AP178" s="14" t="n"/>
      <c r="AR178" s="14" t="n"/>
      <c r="AT178" s="15" t="n"/>
      <c r="AU178" s="15" t="n"/>
      <c r="AV178" s="16" t="n"/>
    </row>
    <row r="179">
      <c r="A179" s="12" t="n"/>
      <c r="B179">
        <f>IF(ISBLANK(X179),0,IF(X179&gt;=0.65, "BB", "AMZ"))</f>
        <v/>
      </c>
      <c r="C179">
        <f>IF(AND(L179&lt;N179,L179&lt;P179), MIN(L179,K179), IFERROR(SUM(IFERROR(L179*$B$2,0), IFERROR(N179*$C$2,0), IFERROR(P179*$D$2,0))/SUM(IF(L179&gt;0,$B$2,0), IF(N179&gt;0,$C$2,0), IF(P179&gt;0,$D$2,0)), 0))</f>
        <v/>
      </c>
      <c r="D179">
        <f>IF(AND(S179&lt;U179,S179&lt;W179), MIN(S179,R179), IFERROR(SUM(IFERROR(S179*$B$2,0), IFERROR(U179*$C$2,0), IFERROR(W179*$D$2,0))/SUM(IF(S179&gt;0,$B$2,0), IF(U179&gt;0,$C$2,0), IF(W179&gt;0,$D$2,0)), 0))</f>
        <v/>
      </c>
      <c r="E179">
        <f>IF(B179="BB",C179,MIN(C179,D179*(1-$F$2)))</f>
        <v/>
      </c>
      <c r="F179">
        <f>IF(ISBLANK(AL179),1,LEN(AL179)-LEN(SUBSTITUTE(AL179,",",""))+1)</f>
        <v/>
      </c>
      <c r="G179">
        <f>IF(F179=1,1,IF(OR(ISBLANK(AN179),AN179=0),"Manual",AN179/MAX(SUMIF($AK:$AK,AM179,$AL:$AL),1)))</f>
        <v/>
      </c>
      <c r="H179">
        <f>IF(F179=1, 1, 0)</f>
        <v/>
      </c>
      <c r="I179" s="12" t="n"/>
      <c r="J179" s="12" t="n"/>
      <c r="M179" s="16" t="n"/>
      <c r="O179" s="16" t="n"/>
      <c r="T179" s="16" t="n"/>
      <c r="V179" s="16" t="n"/>
      <c r="X179" s="16" t="n"/>
      <c r="Y179" s="14" t="n"/>
      <c r="Z179" s="14" t="n"/>
      <c r="AA179" s="16" t="n"/>
      <c r="AB179" s="14" t="n"/>
      <c r="AC179" s="16" t="n"/>
      <c r="AD179" s="14" t="n"/>
      <c r="AE179" s="14" t="n"/>
      <c r="AF179" s="14" t="n"/>
      <c r="AG179" s="14" t="n"/>
      <c r="AH179" s="14" t="n"/>
      <c r="AL179" s="12" t="n"/>
      <c r="AM179" s="12" t="n"/>
      <c r="AP179" s="14" t="n"/>
      <c r="AR179" s="14" t="n"/>
      <c r="AT179" s="15" t="n"/>
      <c r="AU179" s="15" t="n"/>
      <c r="AV179" s="16" t="n"/>
    </row>
    <row r="180">
      <c r="A180" s="12" t="n"/>
      <c r="B180">
        <f>IF(ISBLANK(X180),0,IF(X180&gt;=0.65, "BB", "AMZ"))</f>
        <v/>
      </c>
      <c r="C180">
        <f>IF(AND(L180&lt;N180,L180&lt;P180), MIN(L180,K180), IFERROR(SUM(IFERROR(L180*$B$2,0), IFERROR(N180*$C$2,0), IFERROR(P180*$D$2,0))/SUM(IF(L180&gt;0,$B$2,0), IF(N180&gt;0,$C$2,0), IF(P180&gt;0,$D$2,0)), 0))</f>
        <v/>
      </c>
      <c r="D180">
        <f>IF(AND(S180&lt;U180,S180&lt;W180), MIN(S180,R180), IFERROR(SUM(IFERROR(S180*$B$2,0), IFERROR(U180*$C$2,0), IFERROR(W180*$D$2,0))/SUM(IF(S180&gt;0,$B$2,0), IF(U180&gt;0,$C$2,0), IF(W180&gt;0,$D$2,0)), 0))</f>
        <v/>
      </c>
      <c r="E180">
        <f>IF(B180="BB",C180,MIN(C180,D180*(1-$F$2)))</f>
        <v/>
      </c>
      <c r="F180">
        <f>IF(ISBLANK(AL180),1,LEN(AL180)-LEN(SUBSTITUTE(AL180,",",""))+1)</f>
        <v/>
      </c>
      <c r="G180">
        <f>IF(F180=1,1,IF(OR(ISBLANK(AN180),AN180=0),"Manual",AN180/MAX(SUMIF($AK:$AK,AM180,$AL:$AL),1)))</f>
        <v/>
      </c>
      <c r="H180">
        <f>IF(F180=1, 1, 0)</f>
        <v/>
      </c>
      <c r="I180" s="12" t="n"/>
      <c r="J180" s="12" t="n"/>
      <c r="M180" s="16" t="n"/>
      <c r="O180" s="16" t="n"/>
      <c r="T180" s="16" t="n"/>
      <c r="V180" s="16" t="n"/>
      <c r="X180" s="16" t="n"/>
      <c r="Y180" s="14" t="n"/>
      <c r="Z180" s="14" t="n"/>
      <c r="AA180" s="16" t="n"/>
      <c r="AB180" s="14" t="n"/>
      <c r="AC180" s="16" t="n"/>
      <c r="AD180" s="14" t="n"/>
      <c r="AE180" s="14" t="n"/>
      <c r="AF180" s="14" t="n"/>
      <c r="AG180" s="14" t="n"/>
      <c r="AH180" s="14" t="n"/>
      <c r="AL180" s="12" t="n"/>
      <c r="AM180" s="12" t="n"/>
      <c r="AP180" s="14" t="n"/>
      <c r="AR180" s="14" t="n"/>
      <c r="AT180" s="15" t="n"/>
      <c r="AU180" s="15" t="n"/>
      <c r="AV180" s="16" t="n"/>
    </row>
    <row r="181">
      <c r="A181" s="12" t="n"/>
      <c r="B181">
        <f>IF(ISBLANK(X181),0,IF(X181&gt;=0.65, "BB", "AMZ"))</f>
        <v/>
      </c>
      <c r="C181">
        <f>IF(AND(L181&lt;N181,L181&lt;P181), MIN(L181,K181), IFERROR(SUM(IFERROR(L181*$B$2,0), IFERROR(N181*$C$2,0), IFERROR(P181*$D$2,0))/SUM(IF(L181&gt;0,$B$2,0), IF(N181&gt;0,$C$2,0), IF(P181&gt;0,$D$2,0)), 0))</f>
        <v/>
      </c>
      <c r="D181">
        <f>IF(AND(S181&lt;U181,S181&lt;W181), MIN(S181,R181), IFERROR(SUM(IFERROR(S181*$B$2,0), IFERROR(U181*$C$2,0), IFERROR(W181*$D$2,0))/SUM(IF(S181&gt;0,$B$2,0), IF(U181&gt;0,$C$2,0), IF(W181&gt;0,$D$2,0)), 0))</f>
        <v/>
      </c>
      <c r="E181">
        <f>IF(B181="BB",C181,MIN(C181,D181*(1-$F$2)))</f>
        <v/>
      </c>
      <c r="F181">
        <f>IF(ISBLANK(AL181),1,LEN(AL181)-LEN(SUBSTITUTE(AL181,",",""))+1)</f>
        <v/>
      </c>
      <c r="G181">
        <f>IF(F181=1,1,IF(OR(ISBLANK(AN181),AN181=0),"Manual",AN181/MAX(SUMIF($AK:$AK,AM181,$AL:$AL),1)))</f>
        <v/>
      </c>
      <c r="H181">
        <f>IF(F181=1, 1, 0)</f>
        <v/>
      </c>
      <c r="I181" s="12" t="n"/>
      <c r="J181" s="12" t="n"/>
      <c r="M181" s="16" t="n"/>
      <c r="O181" s="16" t="n"/>
      <c r="T181" s="16" t="n"/>
      <c r="V181" s="16" t="n"/>
      <c r="X181" s="16" t="n"/>
      <c r="Y181" s="14" t="n"/>
      <c r="Z181" s="14" t="n"/>
      <c r="AA181" s="16" t="n"/>
      <c r="AB181" s="14" t="n"/>
      <c r="AC181" s="16" t="n"/>
      <c r="AD181" s="14" t="n"/>
      <c r="AE181" s="14" t="n"/>
      <c r="AF181" s="14" t="n"/>
      <c r="AG181" s="14" t="n"/>
      <c r="AH181" s="14" t="n"/>
      <c r="AL181" s="12" t="n"/>
      <c r="AM181" s="12" t="n"/>
      <c r="AP181" s="14" t="n"/>
      <c r="AR181" s="14" t="n"/>
      <c r="AT181" s="15" t="n"/>
      <c r="AU181" s="15" t="n"/>
      <c r="AV181" s="16" t="n"/>
    </row>
    <row r="182">
      <c r="A182" s="12" t="n"/>
      <c r="B182">
        <f>IF(ISBLANK(X182),0,IF(X182&gt;=0.65, "BB", "AMZ"))</f>
        <v/>
      </c>
      <c r="C182">
        <f>IF(AND(L182&lt;N182,L182&lt;P182), MIN(L182,K182), IFERROR(SUM(IFERROR(L182*$B$2,0), IFERROR(N182*$C$2,0), IFERROR(P182*$D$2,0))/SUM(IF(L182&gt;0,$B$2,0), IF(N182&gt;0,$C$2,0), IF(P182&gt;0,$D$2,0)), 0))</f>
        <v/>
      </c>
      <c r="D182">
        <f>IF(AND(S182&lt;U182,S182&lt;W182), MIN(S182,R182), IFERROR(SUM(IFERROR(S182*$B$2,0), IFERROR(U182*$C$2,0), IFERROR(W182*$D$2,0))/SUM(IF(S182&gt;0,$B$2,0), IF(U182&gt;0,$C$2,0), IF(W182&gt;0,$D$2,0)), 0))</f>
        <v/>
      </c>
      <c r="E182">
        <f>IF(B182="BB",C182,MIN(C182,D182*(1-$F$2)))</f>
        <v/>
      </c>
      <c r="F182">
        <f>IF(ISBLANK(AL182),1,LEN(AL182)-LEN(SUBSTITUTE(AL182,",",""))+1)</f>
        <v/>
      </c>
      <c r="G182">
        <f>IF(F182=1,1,IF(OR(ISBLANK(AN182),AN182=0),"Manual",AN182/MAX(SUMIF($AK:$AK,AM182,$AL:$AL),1)))</f>
        <v/>
      </c>
      <c r="H182">
        <f>IF(F182=1, 1, 0)</f>
        <v/>
      </c>
      <c r="I182" s="12" t="n"/>
      <c r="J182" s="12" t="n"/>
      <c r="M182" s="16" t="n"/>
      <c r="O182" s="16" t="n"/>
      <c r="T182" s="16" t="n"/>
      <c r="V182" s="16" t="n"/>
      <c r="X182" s="16" t="n"/>
      <c r="Y182" s="14" t="n"/>
      <c r="Z182" s="14" t="n"/>
      <c r="AA182" s="16" t="n"/>
      <c r="AB182" s="14" t="n"/>
      <c r="AC182" s="16" t="n"/>
      <c r="AD182" s="14" t="n"/>
      <c r="AE182" s="14" t="n"/>
      <c r="AF182" s="14" t="n"/>
      <c r="AG182" s="14" t="n"/>
      <c r="AH182" s="14" t="n"/>
      <c r="AL182" s="12" t="n"/>
      <c r="AM182" s="12" t="n"/>
      <c r="AP182" s="14" t="n"/>
      <c r="AR182" s="14" t="n"/>
      <c r="AT182" s="15" t="n"/>
      <c r="AU182" s="15" t="n"/>
      <c r="AV182" s="16" t="n"/>
    </row>
    <row r="183">
      <c r="A183" s="12" t="n"/>
      <c r="B183">
        <f>IF(ISBLANK(X183),0,IF(X183&gt;=0.65, "BB", "AMZ"))</f>
        <v/>
      </c>
      <c r="C183">
        <f>IF(AND(L183&lt;N183,L183&lt;P183), MIN(L183,K183), IFERROR(SUM(IFERROR(L183*$B$2,0), IFERROR(N183*$C$2,0), IFERROR(P183*$D$2,0))/SUM(IF(L183&gt;0,$B$2,0), IF(N183&gt;0,$C$2,0), IF(P183&gt;0,$D$2,0)), 0))</f>
        <v/>
      </c>
      <c r="D183">
        <f>IF(AND(S183&lt;U183,S183&lt;W183), MIN(S183,R183), IFERROR(SUM(IFERROR(S183*$B$2,0), IFERROR(U183*$C$2,0), IFERROR(W183*$D$2,0))/SUM(IF(S183&gt;0,$B$2,0), IF(U183&gt;0,$C$2,0), IF(W183&gt;0,$D$2,0)), 0))</f>
        <v/>
      </c>
      <c r="E183">
        <f>IF(B183="BB",C183,MIN(C183,D183*(1-$F$2)))</f>
        <v/>
      </c>
      <c r="F183">
        <f>IF(ISBLANK(AL183),1,LEN(AL183)-LEN(SUBSTITUTE(AL183,",",""))+1)</f>
        <v/>
      </c>
      <c r="G183">
        <f>IF(F183=1,1,IF(OR(ISBLANK(AN183),AN183=0),"Manual",AN183/MAX(SUMIF($AK:$AK,AM183,$AL:$AL),1)))</f>
        <v/>
      </c>
      <c r="H183">
        <f>IF(F183=1, 1, 0)</f>
        <v/>
      </c>
      <c r="I183" s="12" t="n"/>
      <c r="J183" s="12" t="n"/>
      <c r="M183" s="16" t="n"/>
      <c r="O183" s="16" t="n"/>
      <c r="T183" s="16" t="n"/>
      <c r="V183" s="16" t="n"/>
      <c r="X183" s="16" t="n"/>
      <c r="Y183" s="14" t="n"/>
      <c r="Z183" s="14" t="n"/>
      <c r="AA183" s="16" t="n"/>
      <c r="AB183" s="14" t="n"/>
      <c r="AC183" s="16" t="n"/>
      <c r="AD183" s="14" t="n"/>
      <c r="AE183" s="14" t="n"/>
      <c r="AF183" s="14" t="n"/>
      <c r="AG183" s="14" t="n"/>
      <c r="AH183" s="14" t="n"/>
      <c r="AL183" s="12" t="n"/>
      <c r="AM183" s="12" t="n"/>
      <c r="AP183" s="14" t="n"/>
      <c r="AR183" s="14" t="n"/>
      <c r="AT183" s="15" t="n"/>
      <c r="AU183" s="15" t="n"/>
      <c r="AV183" s="16" t="n"/>
    </row>
    <row r="184">
      <c r="A184" s="12" t="n"/>
      <c r="B184">
        <f>IF(ISBLANK(X184),0,IF(X184&gt;=0.65, "BB", "AMZ"))</f>
        <v/>
      </c>
      <c r="C184">
        <f>IF(AND(L184&lt;N184,L184&lt;P184), MIN(L184,K184), IFERROR(SUM(IFERROR(L184*$B$2,0), IFERROR(N184*$C$2,0), IFERROR(P184*$D$2,0))/SUM(IF(L184&gt;0,$B$2,0), IF(N184&gt;0,$C$2,0), IF(P184&gt;0,$D$2,0)), 0))</f>
        <v/>
      </c>
      <c r="D184">
        <f>IF(AND(S184&lt;U184,S184&lt;W184), MIN(S184,R184), IFERROR(SUM(IFERROR(S184*$B$2,0), IFERROR(U184*$C$2,0), IFERROR(W184*$D$2,0))/SUM(IF(S184&gt;0,$B$2,0), IF(U184&gt;0,$C$2,0), IF(W184&gt;0,$D$2,0)), 0))</f>
        <v/>
      </c>
      <c r="E184">
        <f>IF(B184="BB",C184,MIN(C184,D184*(1-$F$2)))</f>
        <v/>
      </c>
      <c r="F184">
        <f>IF(ISBLANK(AL184),1,LEN(AL184)-LEN(SUBSTITUTE(AL184,",",""))+1)</f>
        <v/>
      </c>
      <c r="G184">
        <f>IF(F184=1,1,IF(OR(ISBLANK(AN184),AN184=0),"Manual",AN184/MAX(SUMIF($AK:$AK,AM184,$AL:$AL),1)))</f>
        <v/>
      </c>
      <c r="H184">
        <f>IF(F184=1, 1, 0)</f>
        <v/>
      </c>
      <c r="I184" s="12" t="n"/>
      <c r="J184" s="12" t="n"/>
      <c r="M184" s="16" t="n"/>
      <c r="O184" s="16" t="n"/>
      <c r="T184" s="16" t="n"/>
      <c r="V184" s="16" t="n"/>
      <c r="X184" s="16" t="n"/>
      <c r="Y184" s="14" t="n"/>
      <c r="Z184" s="14" t="n"/>
      <c r="AA184" s="16" t="n"/>
      <c r="AB184" s="14" t="n"/>
      <c r="AC184" s="16" t="n"/>
      <c r="AD184" s="14" t="n"/>
      <c r="AE184" s="14" t="n"/>
      <c r="AF184" s="14" t="n"/>
      <c r="AG184" s="14" t="n"/>
      <c r="AH184" s="14" t="n"/>
      <c r="AL184" s="12" t="n"/>
      <c r="AM184" s="12" t="n"/>
      <c r="AP184" s="14" t="n"/>
      <c r="AR184" s="14" t="n"/>
      <c r="AT184" s="15" t="n"/>
      <c r="AU184" s="15" t="n"/>
      <c r="AV184" s="16" t="n"/>
    </row>
    <row r="185">
      <c r="A185" s="12" t="n"/>
      <c r="B185">
        <f>IF(ISBLANK(X185),0,IF(X185&gt;=0.65, "BB", "AMZ"))</f>
        <v/>
      </c>
      <c r="C185">
        <f>IF(AND(L185&lt;N185,L185&lt;P185), MIN(L185,K185), IFERROR(SUM(IFERROR(L185*$B$2,0), IFERROR(N185*$C$2,0), IFERROR(P185*$D$2,0))/SUM(IF(L185&gt;0,$B$2,0), IF(N185&gt;0,$C$2,0), IF(P185&gt;0,$D$2,0)), 0))</f>
        <v/>
      </c>
      <c r="D185">
        <f>IF(AND(S185&lt;U185,S185&lt;W185), MIN(S185,R185), IFERROR(SUM(IFERROR(S185*$B$2,0), IFERROR(U185*$C$2,0), IFERROR(W185*$D$2,0))/SUM(IF(S185&gt;0,$B$2,0), IF(U185&gt;0,$C$2,0), IF(W185&gt;0,$D$2,0)), 0))</f>
        <v/>
      </c>
      <c r="E185">
        <f>IF(B185="BB",C185,MIN(C185,D185*(1-$F$2)))</f>
        <v/>
      </c>
      <c r="F185">
        <f>IF(ISBLANK(AL185),1,LEN(AL185)-LEN(SUBSTITUTE(AL185,",",""))+1)</f>
        <v/>
      </c>
      <c r="G185">
        <f>IF(F185=1,1,IF(OR(ISBLANK(AN185),AN185=0),"Manual",AN185/MAX(SUMIF($AK:$AK,AM185,$AL:$AL),1)))</f>
        <v/>
      </c>
      <c r="H185">
        <f>IF(F185=1, 1, 0)</f>
        <v/>
      </c>
      <c r="I185" s="12" t="n"/>
      <c r="J185" s="12" t="n"/>
      <c r="M185" s="16" t="n"/>
      <c r="O185" s="16" t="n"/>
      <c r="T185" s="16" t="n"/>
      <c r="V185" s="16" t="n"/>
      <c r="X185" s="16" t="n"/>
      <c r="Y185" s="14" t="n"/>
      <c r="Z185" s="14" t="n"/>
      <c r="AA185" s="16" t="n"/>
      <c r="AB185" s="14" t="n"/>
      <c r="AC185" s="16" t="n"/>
      <c r="AD185" s="14" t="n"/>
      <c r="AE185" s="14" t="n"/>
      <c r="AF185" s="14" t="n"/>
      <c r="AG185" s="14" t="n"/>
      <c r="AH185" s="14" t="n"/>
      <c r="AL185" s="12" t="n"/>
      <c r="AM185" s="12" t="n"/>
      <c r="AP185" s="14" t="n"/>
      <c r="AR185" s="14" t="n"/>
      <c r="AT185" s="15" t="n"/>
      <c r="AU185" s="15" t="n"/>
      <c r="AV185" s="16" t="n"/>
    </row>
    <row r="186">
      <c r="A186" s="12" t="n"/>
      <c r="B186">
        <f>IF(ISBLANK(X186),0,IF(X186&gt;=0.65, "BB", "AMZ"))</f>
        <v/>
      </c>
      <c r="C186">
        <f>IF(AND(L186&lt;N186,L186&lt;P186), MIN(L186,K186), IFERROR(SUM(IFERROR(L186*$B$2,0), IFERROR(N186*$C$2,0), IFERROR(P186*$D$2,0))/SUM(IF(L186&gt;0,$B$2,0), IF(N186&gt;0,$C$2,0), IF(P186&gt;0,$D$2,0)), 0))</f>
        <v/>
      </c>
      <c r="D186">
        <f>IF(AND(S186&lt;U186,S186&lt;W186), MIN(S186,R186), IFERROR(SUM(IFERROR(S186*$B$2,0), IFERROR(U186*$C$2,0), IFERROR(W186*$D$2,0))/SUM(IF(S186&gt;0,$B$2,0), IF(U186&gt;0,$C$2,0), IF(W186&gt;0,$D$2,0)), 0))</f>
        <v/>
      </c>
      <c r="E186">
        <f>IF(B186="BB",C186,MIN(C186,D186*(1-$F$2)))</f>
        <v/>
      </c>
      <c r="F186">
        <f>IF(ISBLANK(AL186),1,LEN(AL186)-LEN(SUBSTITUTE(AL186,",",""))+1)</f>
        <v/>
      </c>
      <c r="G186">
        <f>IF(F186=1,1,IF(OR(ISBLANK(AN186),AN186=0),"Manual",AN186/MAX(SUMIF($AK:$AK,AM186,$AL:$AL),1)))</f>
        <v/>
      </c>
      <c r="H186">
        <f>IF(F186=1, 1, 0)</f>
        <v/>
      </c>
      <c r="I186" s="12" t="n"/>
      <c r="J186" s="12" t="n"/>
      <c r="M186" s="16" t="n"/>
      <c r="O186" s="16" t="n"/>
      <c r="T186" s="16" t="n"/>
      <c r="V186" s="16" t="n"/>
      <c r="X186" s="16" t="n"/>
      <c r="Y186" s="14" t="n"/>
      <c r="Z186" s="14" t="n"/>
      <c r="AA186" s="16" t="n"/>
      <c r="AB186" s="14" t="n"/>
      <c r="AC186" s="16" t="n"/>
      <c r="AD186" s="14" t="n"/>
      <c r="AE186" s="14" t="n"/>
      <c r="AF186" s="14" t="n"/>
      <c r="AG186" s="14" t="n"/>
      <c r="AH186" s="14" t="n"/>
      <c r="AL186" s="12" t="n"/>
      <c r="AM186" s="12" t="n"/>
      <c r="AP186" s="14" t="n"/>
      <c r="AR186" s="14" t="n"/>
      <c r="AT186" s="15" t="n"/>
      <c r="AU186" s="15" t="n"/>
      <c r="AV186" s="16" t="n"/>
    </row>
    <row r="187">
      <c r="A187" s="12" t="n"/>
      <c r="B187">
        <f>IF(ISBLANK(X187),0,IF(X187&gt;=0.65, "BB", "AMZ"))</f>
        <v/>
      </c>
      <c r="C187">
        <f>IF(AND(L187&lt;N187,L187&lt;P187), MIN(L187,K187), IFERROR(SUM(IFERROR(L187*$B$2,0), IFERROR(N187*$C$2,0), IFERROR(P187*$D$2,0))/SUM(IF(L187&gt;0,$B$2,0), IF(N187&gt;0,$C$2,0), IF(P187&gt;0,$D$2,0)), 0))</f>
        <v/>
      </c>
      <c r="D187">
        <f>IF(AND(S187&lt;U187,S187&lt;W187), MIN(S187,R187), IFERROR(SUM(IFERROR(S187*$B$2,0), IFERROR(U187*$C$2,0), IFERROR(W187*$D$2,0))/SUM(IF(S187&gt;0,$B$2,0), IF(U187&gt;0,$C$2,0), IF(W187&gt;0,$D$2,0)), 0))</f>
        <v/>
      </c>
      <c r="E187">
        <f>IF(B187="BB",C187,MIN(C187,D187*(1-$F$2)))</f>
        <v/>
      </c>
      <c r="F187">
        <f>IF(ISBLANK(AL187),1,LEN(AL187)-LEN(SUBSTITUTE(AL187,",",""))+1)</f>
        <v/>
      </c>
      <c r="G187">
        <f>IF(F187=1,1,IF(OR(ISBLANK(AN187),AN187=0),"Manual",AN187/MAX(SUMIF($AK:$AK,AM187,$AL:$AL),1)))</f>
        <v/>
      </c>
      <c r="H187">
        <f>IF(F187=1, 1, 0)</f>
        <v/>
      </c>
      <c r="I187" s="12" t="n"/>
      <c r="J187" s="12" t="n"/>
      <c r="M187" s="16" t="n"/>
      <c r="O187" s="16" t="n"/>
      <c r="T187" s="16" t="n"/>
      <c r="V187" s="16" t="n"/>
      <c r="X187" s="16" t="n"/>
      <c r="Y187" s="14" t="n"/>
      <c r="Z187" s="14" t="n"/>
      <c r="AA187" s="16" t="n"/>
      <c r="AB187" s="14" t="n"/>
      <c r="AC187" s="16" t="n"/>
      <c r="AD187" s="14" t="n"/>
      <c r="AE187" s="14" t="n"/>
      <c r="AF187" s="14" t="n"/>
      <c r="AG187" s="14" t="n"/>
      <c r="AH187" s="14" t="n"/>
      <c r="AL187" s="12" t="n"/>
      <c r="AM187" s="12" t="n"/>
      <c r="AP187" s="14" t="n"/>
      <c r="AR187" s="14" t="n"/>
      <c r="AT187" s="15" t="n"/>
      <c r="AU187" s="15" t="n"/>
      <c r="AV187" s="16" t="n"/>
    </row>
    <row r="188">
      <c r="A188" s="12" t="n"/>
      <c r="B188">
        <f>IF(ISBLANK(X188),0,IF(X188&gt;=0.65, "BB", "AMZ"))</f>
        <v/>
      </c>
      <c r="C188">
        <f>IF(AND(L188&lt;N188,L188&lt;P188), MIN(L188,K188), IFERROR(SUM(IFERROR(L188*$B$2,0), IFERROR(N188*$C$2,0), IFERROR(P188*$D$2,0))/SUM(IF(L188&gt;0,$B$2,0), IF(N188&gt;0,$C$2,0), IF(P188&gt;0,$D$2,0)), 0))</f>
        <v/>
      </c>
      <c r="D188">
        <f>IF(AND(S188&lt;U188,S188&lt;W188), MIN(S188,R188), IFERROR(SUM(IFERROR(S188*$B$2,0), IFERROR(U188*$C$2,0), IFERROR(W188*$D$2,0))/SUM(IF(S188&gt;0,$B$2,0), IF(U188&gt;0,$C$2,0), IF(W188&gt;0,$D$2,0)), 0))</f>
        <v/>
      </c>
      <c r="E188">
        <f>IF(B188="BB",C188,MIN(C188,D188*(1-$F$2)))</f>
        <v/>
      </c>
      <c r="F188">
        <f>IF(ISBLANK(AL188),1,LEN(AL188)-LEN(SUBSTITUTE(AL188,",",""))+1)</f>
        <v/>
      </c>
      <c r="G188">
        <f>IF(F188=1,1,IF(OR(ISBLANK(AN188),AN188=0),"Manual",AN188/MAX(SUMIF($AK:$AK,AM188,$AL:$AL),1)))</f>
        <v/>
      </c>
      <c r="H188">
        <f>IF(F188=1, 1, 0)</f>
        <v/>
      </c>
      <c r="I188" s="12" t="n"/>
      <c r="J188" s="12" t="n"/>
      <c r="M188" s="16" t="n"/>
      <c r="O188" s="16" t="n"/>
      <c r="T188" s="16" t="n"/>
      <c r="V188" s="16" t="n"/>
      <c r="X188" s="16" t="n"/>
      <c r="Y188" s="14" t="n"/>
      <c r="Z188" s="14" t="n"/>
      <c r="AA188" s="16" t="n"/>
      <c r="AB188" s="14" t="n"/>
      <c r="AC188" s="16" t="n"/>
      <c r="AD188" s="14" t="n"/>
      <c r="AE188" s="14" t="n"/>
      <c r="AF188" s="14" t="n"/>
      <c r="AG188" s="14" t="n"/>
      <c r="AH188" s="14" t="n"/>
      <c r="AL188" s="12" t="n"/>
      <c r="AM188" s="12" t="n"/>
      <c r="AP188" s="14" t="n"/>
      <c r="AR188" s="14" t="n"/>
      <c r="AT188" s="15" t="n"/>
      <c r="AU188" s="15" t="n"/>
      <c r="AV188" s="16" t="n"/>
    </row>
    <row r="189">
      <c r="A189" s="12" t="n"/>
      <c r="B189">
        <f>IF(ISBLANK(X189),0,IF(X189&gt;=0.65, "BB", "AMZ"))</f>
        <v/>
      </c>
      <c r="C189">
        <f>IF(AND(L189&lt;N189,L189&lt;P189), MIN(L189,K189), IFERROR(SUM(IFERROR(L189*$B$2,0), IFERROR(N189*$C$2,0), IFERROR(P189*$D$2,0))/SUM(IF(L189&gt;0,$B$2,0), IF(N189&gt;0,$C$2,0), IF(P189&gt;0,$D$2,0)), 0))</f>
        <v/>
      </c>
      <c r="D189">
        <f>IF(AND(S189&lt;U189,S189&lt;W189), MIN(S189,R189), IFERROR(SUM(IFERROR(S189*$B$2,0), IFERROR(U189*$C$2,0), IFERROR(W189*$D$2,0))/SUM(IF(S189&gt;0,$B$2,0), IF(U189&gt;0,$C$2,0), IF(W189&gt;0,$D$2,0)), 0))</f>
        <v/>
      </c>
      <c r="E189">
        <f>IF(B189="BB",C189,MIN(C189,D189*(1-$F$2)))</f>
        <v/>
      </c>
      <c r="F189">
        <f>IF(ISBLANK(AL189),1,LEN(AL189)-LEN(SUBSTITUTE(AL189,",",""))+1)</f>
        <v/>
      </c>
      <c r="G189">
        <f>IF(F189=1,1,IF(OR(ISBLANK(AN189),AN189=0),"Manual",AN189/MAX(SUMIF($AK:$AK,AM189,$AL:$AL),1)))</f>
        <v/>
      </c>
      <c r="H189">
        <f>IF(F189=1, 1, 0)</f>
        <v/>
      </c>
      <c r="I189" s="12" t="n"/>
      <c r="J189" s="12" t="n"/>
      <c r="M189" s="16" t="n"/>
      <c r="O189" s="16" t="n"/>
      <c r="T189" s="16" t="n"/>
      <c r="V189" s="16" t="n"/>
      <c r="X189" s="16" t="n"/>
      <c r="Y189" s="14" t="n"/>
      <c r="Z189" s="14" t="n"/>
      <c r="AA189" s="16" t="n"/>
      <c r="AB189" s="14" t="n"/>
      <c r="AC189" s="16" t="n"/>
      <c r="AD189" s="14" t="n"/>
      <c r="AE189" s="14" t="n"/>
      <c r="AF189" s="14" t="n"/>
      <c r="AG189" s="14" t="n"/>
      <c r="AH189" s="14" t="n"/>
      <c r="AL189" s="12" t="n"/>
      <c r="AM189" s="12" t="n"/>
      <c r="AP189" s="14" t="n"/>
      <c r="AR189" s="14" t="n"/>
      <c r="AT189" s="15" t="n"/>
      <c r="AU189" s="15" t="n"/>
      <c r="AV189" s="16" t="n"/>
    </row>
    <row r="190">
      <c r="A190" s="12" t="n"/>
      <c r="B190">
        <f>IF(ISBLANK(X190),0,IF(X190&gt;=0.65, "BB", "AMZ"))</f>
        <v/>
      </c>
      <c r="C190">
        <f>IF(AND(L190&lt;N190,L190&lt;P190), MIN(L190,K190), IFERROR(SUM(IFERROR(L190*$B$2,0), IFERROR(N190*$C$2,0), IFERROR(P190*$D$2,0))/SUM(IF(L190&gt;0,$B$2,0), IF(N190&gt;0,$C$2,0), IF(P190&gt;0,$D$2,0)), 0))</f>
        <v/>
      </c>
      <c r="D190">
        <f>IF(AND(S190&lt;U190,S190&lt;W190), MIN(S190,R190), IFERROR(SUM(IFERROR(S190*$B$2,0), IFERROR(U190*$C$2,0), IFERROR(W190*$D$2,0))/SUM(IF(S190&gt;0,$B$2,0), IF(U190&gt;0,$C$2,0), IF(W190&gt;0,$D$2,0)), 0))</f>
        <v/>
      </c>
      <c r="E190">
        <f>IF(B190="BB",C190,MIN(C190,D190*(1-$F$2)))</f>
        <v/>
      </c>
      <c r="F190">
        <f>IF(ISBLANK(AL190),1,LEN(AL190)-LEN(SUBSTITUTE(AL190,",",""))+1)</f>
        <v/>
      </c>
      <c r="G190">
        <f>IF(F190=1,1,IF(OR(ISBLANK(AN190),AN190=0),"Manual",AN190/MAX(SUMIF($AK:$AK,AM190,$AL:$AL),1)))</f>
        <v/>
      </c>
      <c r="H190">
        <f>IF(F190=1, 1, 0)</f>
        <v/>
      </c>
      <c r="I190" s="12" t="n"/>
      <c r="J190" s="12" t="n"/>
      <c r="M190" s="16" t="n"/>
      <c r="O190" s="16" t="n"/>
      <c r="T190" s="16" t="n"/>
      <c r="V190" s="16" t="n"/>
      <c r="X190" s="16" t="n"/>
      <c r="Y190" s="14" t="n"/>
      <c r="Z190" s="14" t="n"/>
      <c r="AA190" s="16" t="n"/>
      <c r="AB190" s="14" t="n"/>
      <c r="AC190" s="16" t="n"/>
      <c r="AD190" s="14" t="n"/>
      <c r="AE190" s="14" t="n"/>
      <c r="AF190" s="14" t="n"/>
      <c r="AG190" s="14" t="n"/>
      <c r="AH190" s="14" t="n"/>
      <c r="AL190" s="12" t="n"/>
      <c r="AM190" s="12" t="n"/>
      <c r="AP190" s="14" t="n"/>
      <c r="AR190" s="14" t="n"/>
      <c r="AT190" s="15" t="n"/>
      <c r="AU190" s="15" t="n"/>
      <c r="AV190" s="16" t="n"/>
    </row>
    <row r="191">
      <c r="A191" s="12" t="n"/>
      <c r="B191">
        <f>IF(ISBLANK(X191),0,IF(X191&gt;=0.65, "BB", "AMZ"))</f>
        <v/>
      </c>
      <c r="C191">
        <f>IF(AND(L191&lt;N191,L191&lt;P191), MIN(L191,K191), IFERROR(SUM(IFERROR(L191*$B$2,0), IFERROR(N191*$C$2,0), IFERROR(P191*$D$2,0))/SUM(IF(L191&gt;0,$B$2,0), IF(N191&gt;0,$C$2,0), IF(P191&gt;0,$D$2,0)), 0))</f>
        <v/>
      </c>
      <c r="D191">
        <f>IF(AND(S191&lt;U191,S191&lt;W191), MIN(S191,R191), IFERROR(SUM(IFERROR(S191*$B$2,0), IFERROR(U191*$C$2,0), IFERROR(W191*$D$2,0))/SUM(IF(S191&gt;0,$B$2,0), IF(U191&gt;0,$C$2,0), IF(W191&gt;0,$D$2,0)), 0))</f>
        <v/>
      </c>
      <c r="E191">
        <f>IF(B191="BB",C191,MIN(C191,D191*(1-$F$2)))</f>
        <v/>
      </c>
      <c r="F191">
        <f>IF(ISBLANK(AL191),1,LEN(AL191)-LEN(SUBSTITUTE(AL191,",",""))+1)</f>
        <v/>
      </c>
      <c r="G191">
        <f>IF(F191=1,1,IF(OR(ISBLANK(AN191),AN191=0),"Manual",AN191/MAX(SUMIF($AK:$AK,AM191,$AL:$AL),1)))</f>
        <v/>
      </c>
      <c r="H191">
        <f>IF(F191=1, 1, 0)</f>
        <v/>
      </c>
      <c r="I191" s="12" t="n"/>
      <c r="J191" s="12" t="n"/>
      <c r="M191" s="16" t="n"/>
      <c r="O191" s="16" t="n"/>
      <c r="T191" s="16" t="n"/>
      <c r="V191" s="16" t="n"/>
      <c r="X191" s="16" t="n"/>
      <c r="Y191" s="14" t="n"/>
      <c r="Z191" s="14" t="n"/>
      <c r="AA191" s="16" t="n"/>
      <c r="AB191" s="14" t="n"/>
      <c r="AC191" s="16" t="n"/>
      <c r="AD191" s="14" t="n"/>
      <c r="AE191" s="14" t="n"/>
      <c r="AF191" s="14" t="n"/>
      <c r="AG191" s="14" t="n"/>
      <c r="AH191" s="14" t="n"/>
      <c r="AL191" s="12" t="n"/>
      <c r="AM191" s="12" t="n"/>
      <c r="AP191" s="14" t="n"/>
      <c r="AR191" s="14" t="n"/>
      <c r="AT191" s="15" t="n"/>
      <c r="AU191" s="15" t="n"/>
      <c r="AV191" s="16" t="n"/>
    </row>
    <row r="192">
      <c r="A192" s="12" t="n"/>
      <c r="B192">
        <f>IF(ISBLANK(X192),0,IF(X192&gt;=0.65, "BB", "AMZ"))</f>
        <v/>
      </c>
      <c r="C192">
        <f>IF(AND(L192&lt;N192,L192&lt;P192), MIN(L192,K192), IFERROR(SUM(IFERROR(L192*$B$2,0), IFERROR(N192*$C$2,0), IFERROR(P192*$D$2,0))/SUM(IF(L192&gt;0,$B$2,0), IF(N192&gt;0,$C$2,0), IF(P192&gt;0,$D$2,0)), 0))</f>
        <v/>
      </c>
      <c r="D192">
        <f>IF(AND(S192&lt;U192,S192&lt;W192), MIN(S192,R192), IFERROR(SUM(IFERROR(S192*$B$2,0), IFERROR(U192*$C$2,0), IFERROR(W192*$D$2,0))/SUM(IF(S192&gt;0,$B$2,0), IF(U192&gt;0,$C$2,0), IF(W192&gt;0,$D$2,0)), 0))</f>
        <v/>
      </c>
      <c r="E192">
        <f>IF(B192="BB",C192,MIN(C192,D192*(1-$F$2)))</f>
        <v/>
      </c>
      <c r="F192">
        <f>IF(ISBLANK(AL192),1,LEN(AL192)-LEN(SUBSTITUTE(AL192,",",""))+1)</f>
        <v/>
      </c>
      <c r="G192">
        <f>IF(F192=1,1,IF(OR(ISBLANK(AN192),AN192=0),"Manual",AN192/MAX(SUMIF($AK:$AK,AM192,$AL:$AL),1)))</f>
        <v/>
      </c>
      <c r="H192">
        <f>IF(F192=1, 1, 0)</f>
        <v/>
      </c>
      <c r="I192" s="12" t="n"/>
      <c r="J192" s="12" t="n"/>
      <c r="M192" s="16" t="n"/>
      <c r="O192" s="16" t="n"/>
      <c r="T192" s="16" t="n"/>
      <c r="V192" s="16" t="n"/>
      <c r="X192" s="16" t="n"/>
      <c r="Y192" s="14" t="n"/>
      <c r="Z192" s="14" t="n"/>
      <c r="AA192" s="16" t="n"/>
      <c r="AB192" s="14" t="n"/>
      <c r="AC192" s="16" t="n"/>
      <c r="AD192" s="14" t="n"/>
      <c r="AE192" s="14" t="n"/>
      <c r="AF192" s="14" t="n"/>
      <c r="AG192" s="14" t="n"/>
      <c r="AH192" s="14" t="n"/>
      <c r="AL192" s="12" t="n"/>
      <c r="AM192" s="12" t="n"/>
      <c r="AP192" s="14" t="n"/>
      <c r="AR192" s="14" t="n"/>
      <c r="AT192" s="15" t="n"/>
      <c r="AU192" s="15" t="n"/>
      <c r="AV192" s="16" t="n"/>
    </row>
    <row r="193">
      <c r="A193" s="12" t="n"/>
      <c r="B193">
        <f>IF(ISBLANK(X193),0,IF(X193&gt;=0.65, "BB", "AMZ"))</f>
        <v/>
      </c>
      <c r="C193">
        <f>IF(AND(L193&lt;N193,L193&lt;P193), MIN(L193,K193), IFERROR(SUM(IFERROR(L193*$B$2,0), IFERROR(N193*$C$2,0), IFERROR(P193*$D$2,0))/SUM(IF(L193&gt;0,$B$2,0), IF(N193&gt;0,$C$2,0), IF(P193&gt;0,$D$2,0)), 0))</f>
        <v/>
      </c>
      <c r="D193">
        <f>IF(AND(S193&lt;U193,S193&lt;W193), MIN(S193,R193), IFERROR(SUM(IFERROR(S193*$B$2,0), IFERROR(U193*$C$2,0), IFERROR(W193*$D$2,0))/SUM(IF(S193&gt;0,$B$2,0), IF(U193&gt;0,$C$2,0), IF(W193&gt;0,$D$2,0)), 0))</f>
        <v/>
      </c>
      <c r="E193">
        <f>IF(B193="BB",C193,MIN(C193,D193*(1-$F$2)))</f>
        <v/>
      </c>
      <c r="F193">
        <f>IF(ISBLANK(AL193),1,LEN(AL193)-LEN(SUBSTITUTE(AL193,",",""))+1)</f>
        <v/>
      </c>
      <c r="G193">
        <f>IF(F193=1,1,IF(OR(ISBLANK(AN193),AN193=0),"Manual",AN193/MAX(SUMIF($AK:$AK,AM193,$AL:$AL),1)))</f>
        <v/>
      </c>
      <c r="H193">
        <f>IF(F193=1, 1, 0)</f>
        <v/>
      </c>
      <c r="I193" s="12" t="n"/>
      <c r="J193" s="12" t="n"/>
      <c r="M193" s="16" t="n"/>
      <c r="O193" s="16" t="n"/>
      <c r="T193" s="16" t="n"/>
      <c r="V193" s="16" t="n"/>
      <c r="X193" s="16" t="n"/>
      <c r="Y193" s="14" t="n"/>
      <c r="Z193" s="14" t="n"/>
      <c r="AA193" s="16" t="n"/>
      <c r="AB193" s="14" t="n"/>
      <c r="AC193" s="16" t="n"/>
      <c r="AD193" s="14" t="n"/>
      <c r="AE193" s="14" t="n"/>
      <c r="AF193" s="14" t="n"/>
      <c r="AG193" s="14" t="n"/>
      <c r="AH193" s="14" t="n"/>
      <c r="AL193" s="12" t="n"/>
      <c r="AM193" s="12" t="n"/>
      <c r="AP193" s="14" t="n"/>
      <c r="AR193" s="14" t="n"/>
      <c r="AT193" s="15" t="n"/>
      <c r="AU193" s="15" t="n"/>
      <c r="AV193" s="16" t="n"/>
    </row>
    <row r="194">
      <c r="A194" s="12" t="n"/>
      <c r="B194">
        <f>IF(ISBLANK(X194),0,IF(X194&gt;=0.65, "BB", "AMZ"))</f>
        <v/>
      </c>
      <c r="C194">
        <f>IF(AND(L194&lt;N194,L194&lt;P194), MIN(L194,K194), IFERROR(SUM(IFERROR(L194*$B$2,0), IFERROR(N194*$C$2,0), IFERROR(P194*$D$2,0))/SUM(IF(L194&gt;0,$B$2,0), IF(N194&gt;0,$C$2,0), IF(P194&gt;0,$D$2,0)), 0))</f>
        <v/>
      </c>
      <c r="D194">
        <f>IF(AND(S194&lt;U194,S194&lt;W194), MIN(S194,R194), IFERROR(SUM(IFERROR(S194*$B$2,0), IFERROR(U194*$C$2,0), IFERROR(W194*$D$2,0))/SUM(IF(S194&gt;0,$B$2,0), IF(U194&gt;0,$C$2,0), IF(W194&gt;0,$D$2,0)), 0))</f>
        <v/>
      </c>
      <c r="E194">
        <f>IF(B194="BB",C194,MIN(C194,D194*(1-$F$2)))</f>
        <v/>
      </c>
      <c r="F194">
        <f>IF(ISBLANK(AL194),1,LEN(AL194)-LEN(SUBSTITUTE(AL194,",",""))+1)</f>
        <v/>
      </c>
      <c r="G194">
        <f>IF(F194=1,1,IF(OR(ISBLANK(AN194),AN194=0),"Manual",AN194/MAX(SUMIF($AK:$AK,AM194,$AL:$AL),1)))</f>
        <v/>
      </c>
      <c r="H194">
        <f>IF(F194=1, 1, 0)</f>
        <v/>
      </c>
      <c r="I194" s="12" t="n"/>
      <c r="J194" s="12" t="n"/>
      <c r="M194" s="16" t="n"/>
      <c r="O194" s="16" t="n"/>
      <c r="T194" s="16" t="n"/>
      <c r="V194" s="16" t="n"/>
      <c r="X194" s="16" t="n"/>
      <c r="Y194" s="14" t="n"/>
      <c r="Z194" s="14" t="n"/>
      <c r="AA194" s="16" t="n"/>
      <c r="AB194" s="14" t="n"/>
      <c r="AC194" s="16" t="n"/>
      <c r="AD194" s="14" t="n"/>
      <c r="AE194" s="14" t="n"/>
      <c r="AF194" s="14" t="n"/>
      <c r="AG194" s="14" t="n"/>
      <c r="AH194" s="14" t="n"/>
      <c r="AL194" s="12" t="n"/>
      <c r="AM194" s="12" t="n"/>
      <c r="AP194" s="14" t="n"/>
      <c r="AR194" s="14" t="n"/>
      <c r="AT194" s="15" t="n"/>
      <c r="AU194" s="15" t="n"/>
      <c r="AV194" s="16" t="n"/>
    </row>
    <row r="195">
      <c r="A195" s="12" t="n"/>
      <c r="B195">
        <f>IF(ISBLANK(X195),0,IF(X195&gt;=0.65, "BB", "AMZ"))</f>
        <v/>
      </c>
      <c r="C195">
        <f>IF(AND(L195&lt;N195,L195&lt;P195), MIN(L195,K195), IFERROR(SUM(IFERROR(L195*$B$2,0), IFERROR(N195*$C$2,0), IFERROR(P195*$D$2,0))/SUM(IF(L195&gt;0,$B$2,0), IF(N195&gt;0,$C$2,0), IF(P195&gt;0,$D$2,0)), 0))</f>
        <v/>
      </c>
      <c r="D195">
        <f>IF(AND(S195&lt;U195,S195&lt;W195), MIN(S195,R195), IFERROR(SUM(IFERROR(S195*$B$2,0), IFERROR(U195*$C$2,0), IFERROR(W195*$D$2,0))/SUM(IF(S195&gt;0,$B$2,0), IF(U195&gt;0,$C$2,0), IF(W195&gt;0,$D$2,0)), 0))</f>
        <v/>
      </c>
      <c r="E195">
        <f>IF(B195="BB",C195,MIN(C195,D195*(1-$F$2)))</f>
        <v/>
      </c>
      <c r="F195">
        <f>IF(ISBLANK(AL195),1,LEN(AL195)-LEN(SUBSTITUTE(AL195,",",""))+1)</f>
        <v/>
      </c>
      <c r="G195">
        <f>IF(F195=1,1,IF(OR(ISBLANK(AN195),AN195=0),"Manual",AN195/MAX(SUMIF($AK:$AK,AM195,$AL:$AL),1)))</f>
        <v/>
      </c>
      <c r="H195">
        <f>IF(F195=1, 1, 0)</f>
        <v/>
      </c>
      <c r="I195" s="12" t="n"/>
      <c r="J195" s="12" t="n"/>
      <c r="M195" s="16" t="n"/>
      <c r="O195" s="16" t="n"/>
      <c r="T195" s="16" t="n"/>
      <c r="V195" s="16" t="n"/>
      <c r="X195" s="16" t="n"/>
      <c r="Y195" s="14" t="n"/>
      <c r="Z195" s="14" t="n"/>
      <c r="AA195" s="16" t="n"/>
      <c r="AB195" s="14" t="n"/>
      <c r="AC195" s="16" t="n"/>
      <c r="AD195" s="14" t="n"/>
      <c r="AE195" s="14" t="n"/>
      <c r="AF195" s="14" t="n"/>
      <c r="AG195" s="14" t="n"/>
      <c r="AH195" s="14" t="n"/>
      <c r="AL195" s="12" t="n"/>
      <c r="AM195" s="12" t="n"/>
      <c r="AP195" s="14" t="n"/>
      <c r="AR195" s="14" t="n"/>
      <c r="AT195" s="15" t="n"/>
      <c r="AU195" s="15" t="n"/>
      <c r="AV195" s="16" t="n"/>
    </row>
    <row r="196">
      <c r="A196" s="12" t="n"/>
      <c r="B196">
        <f>IF(ISBLANK(X196),0,IF(X196&gt;=0.65, "BB", "AMZ"))</f>
        <v/>
      </c>
      <c r="C196">
        <f>IF(AND(L196&lt;N196,L196&lt;P196), MIN(L196,K196), IFERROR(SUM(IFERROR(L196*$B$2,0), IFERROR(N196*$C$2,0), IFERROR(P196*$D$2,0))/SUM(IF(L196&gt;0,$B$2,0), IF(N196&gt;0,$C$2,0), IF(P196&gt;0,$D$2,0)), 0))</f>
        <v/>
      </c>
      <c r="D196">
        <f>IF(AND(S196&lt;U196,S196&lt;W196), MIN(S196,R196), IFERROR(SUM(IFERROR(S196*$B$2,0), IFERROR(U196*$C$2,0), IFERROR(W196*$D$2,0))/SUM(IF(S196&gt;0,$B$2,0), IF(U196&gt;0,$C$2,0), IF(W196&gt;0,$D$2,0)), 0))</f>
        <v/>
      </c>
      <c r="E196">
        <f>IF(B196="BB",C196,MIN(C196,D196*(1-$F$2)))</f>
        <v/>
      </c>
      <c r="F196">
        <f>IF(ISBLANK(AL196),1,LEN(AL196)-LEN(SUBSTITUTE(AL196,",",""))+1)</f>
        <v/>
      </c>
      <c r="G196">
        <f>IF(F196=1,1,IF(OR(ISBLANK(AN196),AN196=0),"Manual",AN196/MAX(SUMIF($AK:$AK,AM196,$AL:$AL),1)))</f>
        <v/>
      </c>
      <c r="H196">
        <f>IF(F196=1, 1, 0)</f>
        <v/>
      </c>
      <c r="I196" s="12" t="n"/>
      <c r="J196" s="12" t="n"/>
      <c r="M196" s="16" t="n"/>
      <c r="O196" s="16" t="n"/>
      <c r="T196" s="16" t="n"/>
      <c r="V196" s="16" t="n"/>
      <c r="X196" s="16" t="n"/>
      <c r="Y196" s="14" t="n"/>
      <c r="Z196" s="14" t="n"/>
      <c r="AA196" s="16" t="n"/>
      <c r="AB196" s="14" t="n"/>
      <c r="AC196" s="16" t="n"/>
      <c r="AD196" s="14" t="n"/>
      <c r="AE196" s="14" t="n"/>
      <c r="AF196" s="14" t="n"/>
      <c r="AG196" s="14" t="n"/>
      <c r="AH196" s="14" t="n"/>
      <c r="AL196" s="12" t="n"/>
      <c r="AM196" s="12" t="n"/>
      <c r="AP196" s="14" t="n"/>
      <c r="AR196" s="14" t="n"/>
      <c r="AT196" s="15" t="n"/>
      <c r="AU196" s="15" t="n"/>
      <c r="AV196" s="16" t="n"/>
    </row>
    <row r="197">
      <c r="A197" s="12" t="n"/>
      <c r="B197">
        <f>IF(ISBLANK(X197),0,IF(X197&gt;=0.65, "BB", "AMZ"))</f>
        <v/>
      </c>
      <c r="C197">
        <f>IF(AND(L197&lt;N197,L197&lt;P197), MIN(L197,K197), IFERROR(SUM(IFERROR(L197*$B$2,0), IFERROR(N197*$C$2,0), IFERROR(P197*$D$2,0))/SUM(IF(L197&gt;0,$B$2,0), IF(N197&gt;0,$C$2,0), IF(P197&gt;0,$D$2,0)), 0))</f>
        <v/>
      </c>
      <c r="D197">
        <f>IF(AND(S197&lt;U197,S197&lt;W197), MIN(S197,R197), IFERROR(SUM(IFERROR(S197*$B$2,0), IFERROR(U197*$C$2,0), IFERROR(W197*$D$2,0))/SUM(IF(S197&gt;0,$B$2,0), IF(U197&gt;0,$C$2,0), IF(W197&gt;0,$D$2,0)), 0))</f>
        <v/>
      </c>
      <c r="E197">
        <f>IF(B197="BB",C197,MIN(C197,D197*(1-$F$2)))</f>
        <v/>
      </c>
      <c r="F197">
        <f>IF(ISBLANK(AL197),1,LEN(AL197)-LEN(SUBSTITUTE(AL197,",",""))+1)</f>
        <v/>
      </c>
      <c r="G197">
        <f>IF(F197=1,1,IF(OR(ISBLANK(AN197),AN197=0),"Manual",AN197/MAX(SUMIF($AK:$AK,AM197,$AL:$AL),1)))</f>
        <v/>
      </c>
      <c r="H197">
        <f>IF(F197=1, 1, 0)</f>
        <v/>
      </c>
      <c r="I197" s="12" t="n"/>
      <c r="J197" s="12" t="n"/>
      <c r="M197" s="16" t="n"/>
      <c r="O197" s="16" t="n"/>
      <c r="T197" s="16" t="n"/>
      <c r="V197" s="16" t="n"/>
      <c r="X197" s="16" t="n"/>
      <c r="Y197" s="14" t="n"/>
      <c r="Z197" s="14" t="n"/>
      <c r="AA197" s="16" t="n"/>
      <c r="AB197" s="14" t="n"/>
      <c r="AC197" s="16" t="n"/>
      <c r="AD197" s="14" t="n"/>
      <c r="AE197" s="14" t="n"/>
      <c r="AF197" s="14" t="n"/>
      <c r="AG197" s="14" t="n"/>
      <c r="AH197" s="14" t="n"/>
      <c r="AL197" s="12" t="n"/>
      <c r="AM197" s="12" t="n"/>
      <c r="AP197" s="14" t="n"/>
      <c r="AR197" s="14" t="n"/>
      <c r="AT197" s="15" t="n"/>
      <c r="AU197" s="15" t="n"/>
      <c r="AV197" s="16" t="n"/>
    </row>
    <row r="198">
      <c r="A198" s="12" t="n"/>
      <c r="B198">
        <f>IF(ISBLANK(X198),0,IF(X198&gt;=0.65, "BB", "AMZ"))</f>
        <v/>
      </c>
      <c r="C198">
        <f>IF(AND(L198&lt;N198,L198&lt;P198), MIN(L198,K198), IFERROR(SUM(IFERROR(L198*$B$2,0), IFERROR(N198*$C$2,0), IFERROR(P198*$D$2,0))/SUM(IF(L198&gt;0,$B$2,0), IF(N198&gt;0,$C$2,0), IF(P198&gt;0,$D$2,0)), 0))</f>
        <v/>
      </c>
      <c r="D198">
        <f>IF(AND(S198&lt;U198,S198&lt;W198), MIN(S198,R198), IFERROR(SUM(IFERROR(S198*$B$2,0), IFERROR(U198*$C$2,0), IFERROR(W198*$D$2,0))/SUM(IF(S198&gt;0,$B$2,0), IF(U198&gt;0,$C$2,0), IF(W198&gt;0,$D$2,0)), 0))</f>
        <v/>
      </c>
      <c r="E198">
        <f>IF(B198="BB",C198,MIN(C198,D198*(1-$F$2)))</f>
        <v/>
      </c>
      <c r="F198">
        <f>IF(ISBLANK(AL198),1,LEN(AL198)-LEN(SUBSTITUTE(AL198,",",""))+1)</f>
        <v/>
      </c>
      <c r="G198">
        <f>IF(F198=1,1,IF(OR(ISBLANK(AN198),AN198=0),"Manual",AN198/MAX(SUMIF($AK:$AK,AM198,$AL:$AL),1)))</f>
        <v/>
      </c>
      <c r="H198">
        <f>IF(F198=1, 1, 0)</f>
        <v/>
      </c>
      <c r="I198" s="12" t="n"/>
      <c r="J198" s="12" t="n"/>
      <c r="M198" s="16" t="n"/>
      <c r="O198" s="16" t="n"/>
      <c r="T198" s="16" t="n"/>
      <c r="V198" s="16" t="n"/>
      <c r="X198" s="16" t="n"/>
      <c r="Y198" s="14" t="n"/>
      <c r="Z198" s="14" t="n"/>
      <c r="AA198" s="16" t="n"/>
      <c r="AB198" s="14" t="n"/>
      <c r="AC198" s="16" t="n"/>
      <c r="AD198" s="14" t="n"/>
      <c r="AE198" s="14" t="n"/>
      <c r="AF198" s="14" t="n"/>
      <c r="AG198" s="14" t="n"/>
      <c r="AH198" s="14" t="n"/>
      <c r="AL198" s="12" t="n"/>
      <c r="AM198" s="12" t="n"/>
      <c r="AP198" s="14" t="n"/>
      <c r="AR198" s="14" t="n"/>
      <c r="AT198" s="15" t="n"/>
      <c r="AU198" s="15" t="n"/>
      <c r="AV198" s="16" t="n"/>
    </row>
    <row r="199">
      <c r="A199" s="12" t="n"/>
      <c r="B199">
        <f>IF(ISBLANK(X199),0,IF(X199&gt;=0.65, "BB", "AMZ"))</f>
        <v/>
      </c>
      <c r="C199">
        <f>IF(AND(L199&lt;N199,L199&lt;P199), MIN(L199,K199), IFERROR(SUM(IFERROR(L199*$B$2,0), IFERROR(N199*$C$2,0), IFERROR(P199*$D$2,0))/SUM(IF(L199&gt;0,$B$2,0), IF(N199&gt;0,$C$2,0), IF(P199&gt;0,$D$2,0)), 0))</f>
        <v/>
      </c>
      <c r="D199">
        <f>IF(AND(S199&lt;U199,S199&lt;W199), MIN(S199,R199), IFERROR(SUM(IFERROR(S199*$B$2,0), IFERROR(U199*$C$2,0), IFERROR(W199*$D$2,0))/SUM(IF(S199&gt;0,$B$2,0), IF(U199&gt;0,$C$2,0), IF(W199&gt;0,$D$2,0)), 0))</f>
        <v/>
      </c>
      <c r="E199">
        <f>IF(B199="BB",C199,MIN(C199,D199*(1-$F$2)))</f>
        <v/>
      </c>
      <c r="F199">
        <f>IF(ISBLANK(AL199),1,LEN(AL199)-LEN(SUBSTITUTE(AL199,",",""))+1)</f>
        <v/>
      </c>
      <c r="G199">
        <f>IF(F199=1,1,IF(OR(ISBLANK(AN199),AN199=0),"Manual",AN199/MAX(SUMIF($AK:$AK,AM199,$AL:$AL),1)))</f>
        <v/>
      </c>
      <c r="H199">
        <f>IF(F199=1, 1, 0)</f>
        <v/>
      </c>
      <c r="I199" s="12" t="n"/>
      <c r="J199" s="12" t="n"/>
      <c r="M199" s="16" t="n"/>
      <c r="O199" s="16" t="n"/>
      <c r="T199" s="16" t="n"/>
      <c r="V199" s="16" t="n"/>
      <c r="X199" s="16" t="n"/>
      <c r="Y199" s="14" t="n"/>
      <c r="Z199" s="14" t="n"/>
      <c r="AA199" s="16" t="n"/>
      <c r="AB199" s="14" t="n"/>
      <c r="AC199" s="16" t="n"/>
      <c r="AD199" s="14" t="n"/>
      <c r="AE199" s="14" t="n"/>
      <c r="AF199" s="14" t="n"/>
      <c r="AG199" s="14" t="n"/>
      <c r="AH199" s="14" t="n"/>
      <c r="AL199" s="12" t="n"/>
      <c r="AM199" s="12" t="n"/>
      <c r="AP199" s="14" t="n"/>
      <c r="AR199" s="14" t="n"/>
      <c r="AT199" s="15" t="n"/>
      <c r="AU199" s="15" t="n"/>
      <c r="AV199" s="16" t="n"/>
    </row>
    <row r="200">
      <c r="A200" s="12" t="n"/>
      <c r="B200">
        <f>IF(ISBLANK(X200),0,IF(X200&gt;=0.65, "BB", "AMZ"))</f>
        <v/>
      </c>
      <c r="C200">
        <f>IF(AND(L200&lt;N200,L200&lt;P200), MIN(L200,K200), IFERROR(SUM(IFERROR(L200*$B$2,0), IFERROR(N200*$C$2,0), IFERROR(P200*$D$2,0))/SUM(IF(L200&gt;0,$B$2,0), IF(N200&gt;0,$C$2,0), IF(P200&gt;0,$D$2,0)), 0))</f>
        <v/>
      </c>
      <c r="D200">
        <f>IF(AND(S200&lt;U200,S200&lt;W200), MIN(S200,R200), IFERROR(SUM(IFERROR(S200*$B$2,0), IFERROR(U200*$C$2,0), IFERROR(W200*$D$2,0))/SUM(IF(S200&gt;0,$B$2,0), IF(U200&gt;0,$C$2,0), IF(W200&gt;0,$D$2,0)), 0))</f>
        <v/>
      </c>
      <c r="E200">
        <f>IF(B200="BB",C200,MIN(C200,D200*(1-$F$2)))</f>
        <v/>
      </c>
      <c r="F200">
        <f>IF(ISBLANK(AL200),1,LEN(AL200)-LEN(SUBSTITUTE(AL200,",",""))+1)</f>
        <v/>
      </c>
      <c r="G200">
        <f>IF(F200=1,1,IF(OR(ISBLANK(AN200),AN200=0),"Manual",AN200/MAX(SUMIF($AK:$AK,AM200,$AL:$AL),1)))</f>
        <v/>
      </c>
      <c r="H200">
        <f>IF(F200=1, 1, 0)</f>
        <v/>
      </c>
      <c r="I200" s="12" t="n"/>
      <c r="J200" s="12" t="n"/>
      <c r="M200" s="16" t="n"/>
      <c r="O200" s="16" t="n"/>
      <c r="T200" s="16" t="n"/>
      <c r="V200" s="16" t="n"/>
      <c r="X200" s="16" t="n"/>
      <c r="Y200" s="14" t="n"/>
      <c r="Z200" s="14" t="n"/>
      <c r="AA200" s="16" t="n"/>
      <c r="AB200" s="14" t="n"/>
      <c r="AC200" s="16" t="n"/>
      <c r="AD200" s="14" t="n"/>
      <c r="AE200" s="14" t="n"/>
      <c r="AF200" s="14" t="n"/>
      <c r="AG200" s="14" t="n"/>
      <c r="AH200" s="14" t="n"/>
      <c r="AL200" s="12" t="n"/>
      <c r="AM200" s="12" t="n"/>
      <c r="AP200" s="14" t="n"/>
      <c r="AR200" s="14" t="n"/>
      <c r="AT200" s="15" t="n"/>
      <c r="AU200" s="15" t="n"/>
      <c r="AV200" s="16" t="n"/>
    </row>
    <row r="201">
      <c r="A201" s="12" t="n"/>
      <c r="B201">
        <f>IF(ISBLANK(X201),0,IF(X201&gt;=0.65, "BB", "AMZ"))</f>
        <v/>
      </c>
      <c r="C201">
        <f>IF(AND(L201&lt;N201,L201&lt;P201), MIN(L201,K201), IFERROR(SUM(IFERROR(L201*$B$2,0), IFERROR(N201*$C$2,0), IFERROR(P201*$D$2,0))/SUM(IF(L201&gt;0,$B$2,0), IF(N201&gt;0,$C$2,0), IF(P201&gt;0,$D$2,0)), 0))</f>
        <v/>
      </c>
      <c r="D201">
        <f>IF(AND(S201&lt;U201,S201&lt;W201), MIN(S201,R201), IFERROR(SUM(IFERROR(S201*$B$2,0), IFERROR(U201*$C$2,0), IFERROR(W201*$D$2,0))/SUM(IF(S201&gt;0,$B$2,0), IF(U201&gt;0,$C$2,0), IF(W201&gt;0,$D$2,0)), 0))</f>
        <v/>
      </c>
      <c r="E201">
        <f>IF(B201="BB",C201,MIN(C201,D201*(1-$F$2)))</f>
        <v/>
      </c>
      <c r="F201">
        <f>IF(ISBLANK(AL201),1,LEN(AL201)-LEN(SUBSTITUTE(AL201,",",""))+1)</f>
        <v/>
      </c>
      <c r="G201">
        <f>IF(F201=1,1,IF(OR(ISBLANK(AN201),AN201=0),"Manual",AN201/MAX(SUMIF($AK:$AK,AM201,$AL:$AL),1)))</f>
        <v/>
      </c>
      <c r="H201">
        <f>IF(F201=1, 1, 0)</f>
        <v/>
      </c>
      <c r="I201" s="12" t="n"/>
      <c r="J201" s="12" t="n"/>
      <c r="M201" s="16" t="n"/>
      <c r="O201" s="16" t="n"/>
      <c r="T201" s="16" t="n"/>
      <c r="V201" s="16" t="n"/>
      <c r="X201" s="16" t="n"/>
      <c r="Y201" s="14" t="n"/>
      <c r="Z201" s="14" t="n"/>
      <c r="AA201" s="16" t="n"/>
      <c r="AB201" s="14" t="n"/>
      <c r="AC201" s="16" t="n"/>
      <c r="AD201" s="14" t="n"/>
      <c r="AE201" s="14" t="n"/>
      <c r="AF201" s="14" t="n"/>
      <c r="AG201" s="14" t="n"/>
      <c r="AH201" s="14" t="n"/>
      <c r="AL201" s="12" t="n"/>
      <c r="AM201" s="12" t="n"/>
      <c r="AP201" s="14" t="n"/>
      <c r="AR201" s="14" t="n"/>
      <c r="AT201" s="15" t="n"/>
      <c r="AU201" s="15" t="n"/>
      <c r="AV201" s="16" t="n"/>
    </row>
    <row r="202">
      <c r="A202" s="12" t="n"/>
      <c r="B202">
        <f>IF(ISBLANK(X202),0,IF(X202&gt;=0.65, "BB", "AMZ"))</f>
        <v/>
      </c>
      <c r="C202">
        <f>IF(AND(L202&lt;N202,L202&lt;P202), MIN(L202,K202), IFERROR(SUM(IFERROR(L202*$B$2,0), IFERROR(N202*$C$2,0), IFERROR(P202*$D$2,0))/SUM(IF(L202&gt;0,$B$2,0), IF(N202&gt;0,$C$2,0), IF(P202&gt;0,$D$2,0)), 0))</f>
        <v/>
      </c>
      <c r="D202">
        <f>IF(AND(S202&lt;U202,S202&lt;W202), MIN(S202,R202), IFERROR(SUM(IFERROR(S202*$B$2,0), IFERROR(U202*$C$2,0), IFERROR(W202*$D$2,0))/SUM(IF(S202&gt;0,$B$2,0), IF(U202&gt;0,$C$2,0), IF(W202&gt;0,$D$2,0)), 0))</f>
        <v/>
      </c>
      <c r="E202">
        <f>IF(B202="BB",C202,MIN(C202,D202*(1-$F$2)))</f>
        <v/>
      </c>
      <c r="F202">
        <f>IF(ISBLANK(AL202),1,LEN(AL202)-LEN(SUBSTITUTE(AL202,",",""))+1)</f>
        <v/>
      </c>
      <c r="G202">
        <f>IF(F202=1,1,IF(OR(ISBLANK(AN202),AN202=0),"Manual",AN202/MAX(SUMIF($AK:$AK,AM202,$AL:$AL),1)))</f>
        <v/>
      </c>
      <c r="H202">
        <f>IF(F202=1, 1, 0)</f>
        <v/>
      </c>
      <c r="I202" s="12" t="n"/>
      <c r="J202" s="12" t="n"/>
      <c r="M202" s="16" t="n"/>
      <c r="O202" s="16" t="n"/>
      <c r="T202" s="16" t="n"/>
      <c r="V202" s="16" t="n"/>
      <c r="X202" s="16" t="n"/>
      <c r="Y202" s="14" t="n"/>
      <c r="Z202" s="14" t="n"/>
      <c r="AA202" s="16" t="n"/>
      <c r="AB202" s="14" t="n"/>
      <c r="AC202" s="16" t="n"/>
      <c r="AD202" s="14" t="n"/>
      <c r="AE202" s="14" t="n"/>
      <c r="AF202" s="14" t="n"/>
      <c r="AG202" s="14" t="n"/>
      <c r="AH202" s="14" t="n"/>
      <c r="AL202" s="12" t="n"/>
      <c r="AM202" s="12" t="n"/>
      <c r="AP202" s="14" t="n"/>
      <c r="AR202" s="14" t="n"/>
      <c r="AT202" s="15" t="n"/>
      <c r="AU202" s="15" t="n"/>
      <c r="AV202" s="16" t="n"/>
    </row>
    <row r="203">
      <c r="A203" s="12" t="n"/>
      <c r="B203">
        <f>IF(ISBLANK(X203),0,IF(X203&gt;=0.65, "BB", "AMZ"))</f>
        <v/>
      </c>
      <c r="C203">
        <f>IF(AND(L203&lt;N203,L203&lt;P203), MIN(L203,K203), IFERROR(SUM(IFERROR(L203*$B$2,0), IFERROR(N203*$C$2,0), IFERROR(P203*$D$2,0))/SUM(IF(L203&gt;0,$B$2,0), IF(N203&gt;0,$C$2,0), IF(P203&gt;0,$D$2,0)), 0))</f>
        <v/>
      </c>
      <c r="D203">
        <f>IF(AND(S203&lt;U203,S203&lt;W203), MIN(S203,R203), IFERROR(SUM(IFERROR(S203*$B$2,0), IFERROR(U203*$C$2,0), IFERROR(W203*$D$2,0))/SUM(IF(S203&gt;0,$B$2,0), IF(U203&gt;0,$C$2,0), IF(W203&gt;0,$D$2,0)), 0))</f>
        <v/>
      </c>
      <c r="E203">
        <f>IF(B203="BB",C203,MIN(C203,D203*(1-$F$2)))</f>
        <v/>
      </c>
      <c r="F203">
        <f>IF(ISBLANK(AL203),1,LEN(AL203)-LEN(SUBSTITUTE(AL203,",",""))+1)</f>
        <v/>
      </c>
      <c r="G203">
        <f>IF(F203=1,1,IF(OR(ISBLANK(AN203),AN203=0),"Manual",AN203/MAX(SUMIF($AK:$AK,AM203,$AL:$AL),1)))</f>
        <v/>
      </c>
      <c r="H203">
        <f>IF(F203=1, 1, 0)</f>
        <v/>
      </c>
      <c r="I203" s="12" t="n"/>
      <c r="J203" s="12" t="n"/>
      <c r="M203" s="16" t="n"/>
      <c r="O203" s="16" t="n"/>
      <c r="T203" s="16" t="n"/>
      <c r="V203" s="16" t="n"/>
      <c r="X203" s="16" t="n"/>
      <c r="Y203" s="14" t="n"/>
      <c r="Z203" s="14" t="n"/>
      <c r="AA203" s="16" t="n"/>
      <c r="AB203" s="14" t="n"/>
      <c r="AC203" s="16" t="n"/>
      <c r="AD203" s="14" t="n"/>
      <c r="AE203" s="14" t="n"/>
      <c r="AF203" s="14" t="n"/>
      <c r="AG203" s="14" t="n"/>
      <c r="AH203" s="14" t="n"/>
      <c r="AL203" s="12" t="n"/>
      <c r="AM203" s="12" t="n"/>
      <c r="AP203" s="14" t="n"/>
      <c r="AR203" s="14" t="n"/>
      <c r="AT203" s="15" t="n"/>
      <c r="AU203" s="15" t="n"/>
      <c r="AV203" s="1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V20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5" customWidth="1" min="2" max="2"/>
    <col width="16" customWidth="1" min="3" max="3"/>
    <col width="16" customWidth="1" min="4" max="4"/>
    <col width="14" customWidth="1" min="5" max="5"/>
    <col width="14" customWidth="1" min="6" max="6"/>
    <col width="15" customWidth="1" min="7" max="7"/>
    <col width="15" customWidth="1" min="8" max="8"/>
    <col width="12" customWidth="1" min="9" max="9"/>
    <col width="15" customWidth="1" min="10" max="10"/>
    <col width="12" customWidth="1" min="11" max="11"/>
    <col width="12" customWidth="1" min="12" max="12"/>
    <col width="15" customWidth="1" min="13" max="13"/>
    <col width="12" customWidth="1" min="14" max="14"/>
    <col width="15" customWidth="1" min="15" max="15"/>
    <col width="15" customWidth="1" min="16" max="16"/>
    <col width="14" customWidth="1" min="17" max="17"/>
    <col width="15" customWidth="1" min="18" max="18"/>
    <col width="15" customWidth="1" min="19" max="19"/>
  </cols>
  <sheetData>
    <row r="1">
      <c r="A1" s="1" t="inlineStr">
        <is>
          <t>Image</t>
        </is>
      </c>
      <c r="B1" s="1" t="inlineStr">
        <is>
          <t>Name</t>
        </is>
      </c>
      <c r="C1" s="1" t="inlineStr">
        <is>
          <t>SKU</t>
        </is>
      </c>
      <c r="D1" s="1" t="inlineStr">
        <is>
          <t>Barcode</t>
        </is>
      </c>
      <c r="E1" s="1" t="inlineStr">
        <is>
          <t>Cost Price</t>
        </is>
      </c>
      <c r="F1" s="1" t="inlineStr">
        <is>
          <t>Price</t>
        </is>
      </c>
      <c r="G1" s="1" t="inlineStr">
        <is>
          <t>Replenishment</t>
        </is>
      </c>
      <c r="H1" s="1" t="inlineStr">
        <is>
          <t>To Order</t>
        </is>
      </c>
      <c r="I1" s="1" t="inlineStr">
        <is>
          <t>Stock</t>
        </is>
      </c>
      <c r="J1" s="1" t="inlineStr">
        <is>
          <t>On Order</t>
        </is>
      </c>
      <c r="K1" s="1" t="inlineStr">
        <is>
          <t>Sales</t>
        </is>
      </c>
      <c r="L1" s="1" t="inlineStr">
        <is>
          <t>Adjusted Sales Velocity/mo</t>
        </is>
      </c>
      <c r="M1" s="1" t="inlineStr">
        <is>
          <t>Lead Time</t>
        </is>
      </c>
      <c r="N1" s="1" t="inlineStr">
        <is>
          <t>Days of Stock</t>
        </is>
      </c>
      <c r="O1" s="1" t="inlineStr">
        <is>
          <t>Vendors</t>
        </is>
      </c>
      <c r="P1" s="1" t="inlineStr">
        <is>
          <t>Brand</t>
        </is>
      </c>
      <c r="Q1" s="1" t="inlineStr">
        <is>
          <t>AVG Retail Price</t>
        </is>
      </c>
      <c r="R1" s="1" t="inlineStr">
        <is>
          <t>Replenishable</t>
        </is>
      </c>
      <c r="S1" s="1" t="inlineStr">
        <is>
          <t>In Buy Sheet?</t>
        </is>
      </c>
    </row>
    <row r="2">
      <c r="C2" s="12" t="n"/>
      <c r="D2" s="12" t="n"/>
      <c r="E2" s="17" t="n"/>
      <c r="F2" s="15" t="n"/>
      <c r="G2" s="12" t="n"/>
      <c r="I2" s="14" t="n"/>
      <c r="K2" s="14" t="n"/>
      <c r="L2" s="14" t="n"/>
      <c r="M2" s="12" t="n"/>
      <c r="N2" s="14" t="n"/>
      <c r="Q2" s="15" t="n"/>
      <c r="S2">
        <f>IF(ISERROR(MATCH(D2, BUY!$A:$A, 0)), "No", "YES")</f>
        <v/>
      </c>
    </row>
    <row r="3">
      <c r="C3" s="12" t="n"/>
      <c r="D3" s="12" t="n"/>
      <c r="E3" s="17" t="n"/>
      <c r="F3" s="15" t="n"/>
      <c r="G3" s="12" t="n"/>
      <c r="I3" s="14" t="n"/>
      <c r="K3" s="14" t="n"/>
      <c r="L3" s="14" t="n"/>
      <c r="M3" s="12" t="n"/>
      <c r="N3" s="14" t="n"/>
      <c r="Q3" s="15" t="n"/>
      <c r="S3">
        <f>IF(ISERROR(MATCH(D3, BUY!$A:$A, 0)), "No", "YES")</f>
        <v/>
      </c>
    </row>
    <row r="4">
      <c r="C4" s="12" t="n"/>
      <c r="D4" s="12" t="n"/>
      <c r="E4" s="17" t="n"/>
      <c r="F4" s="15" t="n"/>
      <c r="G4" s="12" t="n"/>
      <c r="I4" s="14" t="n"/>
      <c r="K4" s="14" t="n"/>
      <c r="L4" s="14" t="n"/>
      <c r="M4" s="12" t="n"/>
      <c r="N4" s="14" t="n"/>
      <c r="Q4" s="15" t="n"/>
      <c r="S4">
        <f>IF(ISERROR(MATCH(D4, BUY!$A:$A, 0)), "No", "YES")</f>
        <v/>
      </c>
    </row>
    <row r="5">
      <c r="C5" s="12" t="n"/>
      <c r="D5" s="12" t="n"/>
      <c r="E5" s="17" t="n"/>
      <c r="F5" s="15" t="n"/>
      <c r="G5" s="12" t="n"/>
      <c r="I5" s="14" t="n"/>
      <c r="K5" s="14" t="n"/>
      <c r="L5" s="14" t="n"/>
      <c r="M5" s="12" t="n"/>
      <c r="N5" s="14" t="n"/>
      <c r="Q5" s="15" t="n"/>
      <c r="S5">
        <f>IF(ISERROR(MATCH(D5, BUY!$A:$A, 0)), "No", "YES")</f>
        <v/>
      </c>
    </row>
    <row r="6">
      <c r="C6" s="12" t="n"/>
      <c r="D6" s="12" t="n"/>
      <c r="E6" s="17" t="n"/>
      <c r="F6" s="15" t="n"/>
      <c r="G6" s="12" t="n"/>
      <c r="I6" s="14" t="n"/>
      <c r="K6" s="14" t="n"/>
      <c r="L6" s="14" t="n"/>
      <c r="M6" s="12" t="n"/>
      <c r="N6" s="14" t="n"/>
      <c r="Q6" s="15" t="n"/>
      <c r="S6">
        <f>IF(ISERROR(MATCH(D6, BUY!$A:$A, 0)), "No", "YES")</f>
        <v/>
      </c>
    </row>
    <row r="7">
      <c r="C7" s="12" t="n"/>
      <c r="D7" s="12" t="n"/>
      <c r="E7" s="17" t="n"/>
      <c r="F7" s="15" t="n"/>
      <c r="G7" s="12" t="n"/>
      <c r="I7" s="14" t="n"/>
      <c r="K7" s="14" t="n"/>
      <c r="L7" s="14" t="n"/>
      <c r="M7" s="12" t="n"/>
      <c r="N7" s="14" t="n"/>
      <c r="Q7" s="15" t="n"/>
      <c r="S7">
        <f>IF(ISERROR(MATCH(D7, BUY!$A:$A, 0)), "No", "YES")</f>
        <v/>
      </c>
    </row>
    <row r="8">
      <c r="C8" s="12" t="n"/>
      <c r="D8" s="12" t="n"/>
      <c r="E8" s="17" t="n"/>
      <c r="F8" s="15" t="n"/>
      <c r="G8" s="12" t="n"/>
      <c r="I8" s="14" t="n"/>
      <c r="K8" s="14" t="n"/>
      <c r="L8" s="14" t="n"/>
      <c r="M8" s="12" t="n"/>
      <c r="N8" s="14" t="n"/>
      <c r="Q8" s="15" t="n"/>
      <c r="S8">
        <f>IF(ISERROR(MATCH(D8, BUY!$A:$A, 0)), "No", "YES")</f>
        <v/>
      </c>
    </row>
    <row r="9">
      <c r="C9" s="12" t="n"/>
      <c r="D9" s="12" t="n"/>
      <c r="E9" s="17" t="n"/>
      <c r="F9" s="15" t="n"/>
      <c r="G9" s="12" t="n"/>
      <c r="I9" s="14" t="n"/>
      <c r="K9" s="14" t="n"/>
      <c r="L9" s="14" t="n"/>
      <c r="M9" s="12" t="n"/>
      <c r="N9" s="14" t="n"/>
      <c r="Q9" s="15" t="n"/>
      <c r="S9">
        <f>IF(ISERROR(MATCH(D9, BUY!$A:$A, 0)), "No", "YES")</f>
        <v/>
      </c>
    </row>
    <row r="10">
      <c r="C10" s="12" t="n"/>
      <c r="D10" s="12" t="n"/>
      <c r="E10" s="17" t="n"/>
      <c r="F10" s="15" t="n"/>
      <c r="G10" s="12" t="n"/>
      <c r="I10" s="14" t="n"/>
      <c r="K10" s="14" t="n"/>
      <c r="L10" s="14" t="n"/>
      <c r="M10" s="12" t="n"/>
      <c r="N10" s="14" t="n"/>
      <c r="Q10" s="15" t="n"/>
      <c r="S10">
        <f>IF(ISERROR(MATCH(D10, BUY!$A:$A, 0)), "No", "YES")</f>
        <v/>
      </c>
    </row>
    <row r="11">
      <c r="C11" s="12" t="n"/>
      <c r="D11" s="12" t="n"/>
      <c r="E11" s="17" t="n"/>
      <c r="F11" s="15" t="n"/>
      <c r="G11" s="12" t="n"/>
      <c r="I11" s="14" t="n"/>
      <c r="K11" s="14" t="n"/>
      <c r="L11" s="14" t="n"/>
      <c r="M11" s="12" t="n"/>
      <c r="N11" s="14" t="n"/>
      <c r="Q11" s="15" t="n"/>
      <c r="S11">
        <f>IF(ISERROR(MATCH(D11, BUY!$A:$A, 0)), "No", "YES")</f>
        <v/>
      </c>
    </row>
    <row r="12">
      <c r="C12" s="12" t="n"/>
      <c r="D12" s="12" t="n"/>
      <c r="E12" s="17" t="n"/>
      <c r="F12" s="15" t="n"/>
      <c r="G12" s="12" t="n"/>
      <c r="I12" s="14" t="n"/>
      <c r="K12" s="14" t="n"/>
      <c r="L12" s="14" t="n"/>
      <c r="M12" s="12" t="n"/>
      <c r="N12" s="14" t="n"/>
      <c r="Q12" s="15" t="n"/>
      <c r="S12">
        <f>IF(ISERROR(MATCH(D12, BUY!$A:$A, 0)), "No", "YES")</f>
        <v/>
      </c>
    </row>
    <row r="13">
      <c r="C13" s="12" t="n"/>
      <c r="D13" s="12" t="n"/>
      <c r="E13" s="17" t="n"/>
      <c r="F13" s="15" t="n"/>
      <c r="G13" s="12" t="n"/>
      <c r="I13" s="14" t="n"/>
      <c r="K13" s="14" t="n"/>
      <c r="L13" s="14" t="n"/>
      <c r="M13" s="12" t="n"/>
      <c r="N13" s="14" t="n"/>
      <c r="Q13" s="15" t="n"/>
      <c r="S13">
        <f>IF(ISERROR(MATCH(D13, BUY!$A:$A, 0)), "No", "YES")</f>
        <v/>
      </c>
    </row>
    <row r="14">
      <c r="C14" s="12" t="n"/>
      <c r="D14" s="12" t="n"/>
      <c r="E14" s="17" t="n"/>
      <c r="F14" s="15" t="n"/>
      <c r="G14" s="12" t="n"/>
      <c r="I14" s="14" t="n"/>
      <c r="K14" s="14" t="n"/>
      <c r="L14" s="14" t="n"/>
      <c r="M14" s="12" t="n"/>
      <c r="N14" s="14" t="n"/>
      <c r="Q14" s="15" t="n"/>
      <c r="S14">
        <f>IF(ISERROR(MATCH(D14, BUY!$A:$A, 0)), "No", "YES")</f>
        <v/>
      </c>
    </row>
    <row r="15">
      <c r="C15" s="12" t="n"/>
      <c r="D15" s="12" t="n"/>
      <c r="E15" s="17" t="n"/>
      <c r="F15" s="15" t="n"/>
      <c r="G15" s="12" t="n"/>
      <c r="I15" s="14" t="n"/>
      <c r="K15" s="14" t="n"/>
      <c r="L15" s="14" t="n"/>
      <c r="M15" s="12" t="n"/>
      <c r="N15" s="14" t="n"/>
      <c r="Q15" s="15" t="n"/>
      <c r="S15">
        <f>IF(ISERROR(MATCH(D15, BUY!$A:$A, 0)), "No", "YES")</f>
        <v/>
      </c>
    </row>
    <row r="16">
      <c r="C16" s="12" t="n"/>
      <c r="D16" s="12" t="n"/>
      <c r="E16" s="17" t="n"/>
      <c r="F16" s="15" t="n"/>
      <c r="G16" s="12" t="n"/>
      <c r="I16" s="14" t="n"/>
      <c r="K16" s="14" t="n"/>
      <c r="L16" s="14" t="n"/>
      <c r="M16" s="12" t="n"/>
      <c r="N16" s="14" t="n"/>
      <c r="Q16" s="15" t="n"/>
      <c r="S16">
        <f>IF(ISERROR(MATCH(D16, BUY!$A:$A, 0)), "No", "YES")</f>
        <v/>
      </c>
    </row>
    <row r="17">
      <c r="C17" s="12" t="n"/>
      <c r="D17" s="12" t="n"/>
      <c r="E17" s="17" t="n"/>
      <c r="F17" s="15" t="n"/>
      <c r="G17" s="12" t="n"/>
      <c r="I17" s="14" t="n"/>
      <c r="K17" s="14" t="n"/>
      <c r="L17" s="14" t="n"/>
      <c r="M17" s="12" t="n"/>
      <c r="N17" s="14" t="n"/>
      <c r="Q17" s="15" t="n"/>
      <c r="S17">
        <f>IF(ISERROR(MATCH(D17, BUY!$A:$A, 0)), "No", "YES")</f>
        <v/>
      </c>
    </row>
    <row r="18">
      <c r="C18" s="12" t="n"/>
      <c r="D18" s="12" t="n"/>
      <c r="E18" s="17" t="n"/>
      <c r="F18" s="15" t="n"/>
      <c r="G18" s="12" t="n"/>
      <c r="I18" s="14" t="n"/>
      <c r="K18" s="14" t="n"/>
      <c r="L18" s="14" t="n"/>
      <c r="M18" s="12" t="n"/>
      <c r="N18" s="14" t="n"/>
      <c r="Q18" s="15" t="n"/>
      <c r="S18">
        <f>IF(ISERROR(MATCH(D18, BUY!$A:$A, 0)), "No", "YES")</f>
        <v/>
      </c>
    </row>
    <row r="19">
      <c r="C19" s="12" t="n"/>
      <c r="D19" s="12" t="n"/>
      <c r="E19" s="17" t="n"/>
      <c r="F19" s="15" t="n"/>
      <c r="G19" s="12" t="n"/>
      <c r="I19" s="14" t="n"/>
      <c r="K19" s="14" t="n"/>
      <c r="L19" s="14" t="n"/>
      <c r="M19" s="12" t="n"/>
      <c r="N19" s="14" t="n"/>
      <c r="Q19" s="15" t="n"/>
      <c r="S19">
        <f>IF(ISERROR(MATCH(D19, BUY!$A:$A, 0)), "No", "YES")</f>
        <v/>
      </c>
    </row>
    <row r="20">
      <c r="C20" s="12" t="n"/>
      <c r="D20" s="12" t="n"/>
      <c r="E20" s="17" t="n"/>
      <c r="F20" s="15" t="n"/>
      <c r="G20" s="12" t="n"/>
      <c r="I20" s="14" t="n"/>
      <c r="K20" s="14" t="n"/>
      <c r="L20" s="14" t="n"/>
      <c r="M20" s="12" t="n"/>
      <c r="N20" s="14" t="n"/>
      <c r="Q20" s="15" t="n"/>
      <c r="S20">
        <f>IF(ISERROR(MATCH(D20, BUY!$A:$A, 0)), "No", "YES")</f>
        <v/>
      </c>
    </row>
    <row r="21">
      <c r="C21" s="12" t="n"/>
      <c r="D21" s="12" t="n"/>
      <c r="E21" s="17" t="n"/>
      <c r="F21" s="15" t="n"/>
      <c r="G21" s="12" t="n"/>
      <c r="I21" s="14" t="n"/>
      <c r="K21" s="14" t="n"/>
      <c r="L21" s="14" t="n"/>
      <c r="M21" s="12" t="n"/>
      <c r="N21" s="14" t="n"/>
      <c r="Q21" s="15" t="n"/>
      <c r="S21">
        <f>IF(ISERROR(MATCH(D21, BUY!$A:$A, 0)), "No", "YES")</f>
        <v/>
      </c>
    </row>
    <row r="22">
      <c r="C22" s="12" t="n"/>
      <c r="D22" s="12" t="n"/>
      <c r="E22" s="17" t="n"/>
      <c r="F22" s="15" t="n"/>
      <c r="G22" s="12" t="n"/>
      <c r="I22" s="14" t="n"/>
      <c r="K22" s="14" t="n"/>
      <c r="L22" s="14" t="n"/>
      <c r="M22" s="12" t="n"/>
      <c r="N22" s="14" t="n"/>
      <c r="Q22" s="15" t="n"/>
      <c r="S22">
        <f>IF(ISERROR(MATCH(D22, BUY!$A:$A, 0)), "No", "YES")</f>
        <v/>
      </c>
    </row>
    <row r="23">
      <c r="C23" s="12" t="n"/>
      <c r="D23" s="12" t="n"/>
      <c r="E23" s="17" t="n"/>
      <c r="F23" s="15" t="n"/>
      <c r="G23" s="12" t="n"/>
      <c r="I23" s="14" t="n"/>
      <c r="K23" s="14" t="n"/>
      <c r="L23" s="14" t="n"/>
      <c r="M23" s="12" t="n"/>
      <c r="N23" s="14" t="n"/>
      <c r="Q23" s="15" t="n"/>
      <c r="S23">
        <f>IF(ISERROR(MATCH(D23, BUY!$A:$A, 0)), "No", "YES")</f>
        <v/>
      </c>
    </row>
    <row r="24">
      <c r="C24" s="12" t="n"/>
      <c r="D24" s="12" t="n"/>
      <c r="E24" s="17" t="n"/>
      <c r="F24" s="15" t="n"/>
      <c r="G24" s="12" t="n"/>
      <c r="I24" s="14" t="n"/>
      <c r="K24" s="14" t="n"/>
      <c r="L24" s="14" t="n"/>
      <c r="M24" s="12" t="n"/>
      <c r="N24" s="14" t="n"/>
      <c r="Q24" s="15" t="n"/>
      <c r="S24">
        <f>IF(ISERROR(MATCH(D24, BUY!$A:$A, 0)), "No", "YES")</f>
        <v/>
      </c>
    </row>
    <row r="25">
      <c r="C25" s="12" t="n"/>
      <c r="D25" s="12" t="n"/>
      <c r="E25" s="17" t="n"/>
      <c r="F25" s="15" t="n"/>
      <c r="G25" s="12" t="n"/>
      <c r="I25" s="14" t="n"/>
      <c r="K25" s="14" t="n"/>
      <c r="L25" s="14" t="n"/>
      <c r="M25" s="12" t="n"/>
      <c r="N25" s="14" t="n"/>
      <c r="Q25" s="15" t="n"/>
      <c r="S25">
        <f>IF(ISERROR(MATCH(D25, BUY!$A:$A, 0)), "No", "YES")</f>
        <v/>
      </c>
    </row>
    <row r="26">
      <c r="C26" s="12" t="n"/>
      <c r="D26" s="12" t="n"/>
      <c r="E26" s="17" t="n"/>
      <c r="F26" s="15" t="n"/>
      <c r="G26" s="12" t="n"/>
      <c r="I26" s="14" t="n"/>
      <c r="K26" s="14" t="n"/>
      <c r="L26" s="14" t="n"/>
      <c r="M26" s="12" t="n"/>
      <c r="N26" s="14" t="n"/>
      <c r="Q26" s="15" t="n"/>
      <c r="S26">
        <f>IF(ISERROR(MATCH(D26, BUY!$A:$A, 0)), "No", "YES")</f>
        <v/>
      </c>
    </row>
    <row r="27">
      <c r="C27" s="12" t="n"/>
      <c r="D27" s="12" t="n"/>
      <c r="E27" s="17" t="n"/>
      <c r="F27" s="15" t="n"/>
      <c r="G27" s="12" t="n"/>
      <c r="I27" s="14" t="n"/>
      <c r="K27" s="14" t="n"/>
      <c r="L27" s="14" t="n"/>
      <c r="M27" s="12" t="n"/>
      <c r="N27" s="14" t="n"/>
      <c r="Q27" s="15" t="n"/>
      <c r="S27">
        <f>IF(ISERROR(MATCH(D27, BUY!$A:$A, 0)), "No", "YES")</f>
        <v/>
      </c>
    </row>
    <row r="28">
      <c r="C28" s="12" t="n"/>
      <c r="D28" s="12" t="n"/>
      <c r="E28" s="17" t="n"/>
      <c r="F28" s="15" t="n"/>
      <c r="G28" s="12" t="n"/>
      <c r="I28" s="14" t="n"/>
      <c r="K28" s="14" t="n"/>
      <c r="L28" s="14" t="n"/>
      <c r="M28" s="12" t="n"/>
      <c r="N28" s="14" t="n"/>
      <c r="Q28" s="15" t="n"/>
      <c r="S28">
        <f>IF(ISERROR(MATCH(D28, BUY!$A:$A, 0)), "No", "YES")</f>
        <v/>
      </c>
    </row>
    <row r="29">
      <c r="C29" s="12" t="n"/>
      <c r="D29" s="12" t="n"/>
      <c r="E29" s="17" t="n"/>
      <c r="F29" s="15" t="n"/>
      <c r="G29" s="12" t="n"/>
      <c r="I29" s="14" t="n"/>
      <c r="K29" s="14" t="n"/>
      <c r="L29" s="14" t="n"/>
      <c r="M29" s="12" t="n"/>
      <c r="N29" s="14" t="n"/>
      <c r="Q29" s="15" t="n"/>
      <c r="S29">
        <f>IF(ISERROR(MATCH(D29, BUY!$A:$A, 0)), "No", "YES")</f>
        <v/>
      </c>
    </row>
    <row r="30">
      <c r="C30" s="12" t="n"/>
      <c r="D30" s="12" t="n"/>
      <c r="E30" s="17" t="n"/>
      <c r="F30" s="15" t="n"/>
      <c r="G30" s="12" t="n"/>
      <c r="I30" s="14" t="n"/>
      <c r="K30" s="14" t="n"/>
      <c r="L30" s="14" t="n"/>
      <c r="M30" s="12" t="n"/>
      <c r="N30" s="14" t="n"/>
      <c r="Q30" s="15" t="n"/>
      <c r="S30">
        <f>IF(ISERROR(MATCH(D30, BUY!$A:$A, 0)), "No", "YES")</f>
        <v/>
      </c>
    </row>
    <row r="31">
      <c r="C31" s="12" t="n"/>
      <c r="D31" s="12" t="n"/>
      <c r="E31" s="17" t="n"/>
      <c r="F31" s="15" t="n"/>
      <c r="G31" s="12" t="n"/>
      <c r="I31" s="14" t="n"/>
      <c r="K31" s="14" t="n"/>
      <c r="L31" s="14" t="n"/>
      <c r="M31" s="12" t="n"/>
      <c r="N31" s="14" t="n"/>
      <c r="Q31" s="15" t="n"/>
      <c r="S31">
        <f>IF(ISERROR(MATCH(D31, BUY!$A:$A, 0)), "No", "YES")</f>
        <v/>
      </c>
    </row>
    <row r="32">
      <c r="C32" s="12" t="n"/>
      <c r="D32" s="12" t="n"/>
      <c r="E32" s="17" t="n"/>
      <c r="F32" s="15" t="n"/>
      <c r="G32" s="12" t="n"/>
      <c r="I32" s="14" t="n"/>
      <c r="K32" s="14" t="n"/>
      <c r="L32" s="14" t="n"/>
      <c r="M32" s="12" t="n"/>
      <c r="N32" s="14" t="n"/>
      <c r="Q32" s="15" t="n"/>
      <c r="S32">
        <f>IF(ISERROR(MATCH(D32, BUY!$A:$A, 0)), "No", "YES")</f>
        <v/>
      </c>
    </row>
    <row r="33">
      <c r="C33" s="12" t="n"/>
      <c r="D33" s="12" t="n"/>
      <c r="E33" s="17" t="n"/>
      <c r="F33" s="15" t="n"/>
      <c r="G33" s="12" t="n"/>
      <c r="I33" s="14" t="n"/>
      <c r="K33" s="14" t="n"/>
      <c r="L33" s="14" t="n"/>
      <c r="M33" s="12" t="n"/>
      <c r="N33" s="14" t="n"/>
      <c r="Q33" s="15" t="n"/>
      <c r="S33">
        <f>IF(ISERROR(MATCH(D33, BUY!$A:$A, 0)), "No", "YES")</f>
        <v/>
      </c>
    </row>
    <row r="34">
      <c r="C34" s="12" t="n"/>
      <c r="D34" s="12" t="n"/>
      <c r="E34" s="17" t="n"/>
      <c r="F34" s="15" t="n"/>
      <c r="G34" s="12" t="n"/>
      <c r="I34" s="14" t="n"/>
      <c r="K34" s="14" t="n"/>
      <c r="L34" s="14" t="n"/>
      <c r="M34" s="12" t="n"/>
      <c r="N34" s="14" t="n"/>
      <c r="Q34" s="15" t="n"/>
      <c r="S34">
        <f>IF(ISERROR(MATCH(D34, BUY!$A:$A, 0)), "No", "YES")</f>
        <v/>
      </c>
    </row>
    <row r="35">
      <c r="C35" s="12" t="n"/>
      <c r="D35" s="12" t="n"/>
      <c r="E35" s="17" t="n"/>
      <c r="F35" s="15" t="n"/>
      <c r="G35" s="12" t="n"/>
      <c r="I35" s="14" t="n"/>
      <c r="K35" s="14" t="n"/>
      <c r="L35" s="14" t="n"/>
      <c r="M35" s="12" t="n"/>
      <c r="N35" s="14" t="n"/>
      <c r="Q35" s="15" t="n"/>
      <c r="S35">
        <f>IF(ISERROR(MATCH(D35, BUY!$A:$A, 0)), "No", "YES")</f>
        <v/>
      </c>
    </row>
    <row r="36">
      <c r="C36" s="12" t="n"/>
      <c r="D36" s="12" t="n"/>
      <c r="E36" s="17" t="n"/>
      <c r="F36" s="15" t="n"/>
      <c r="G36" s="12" t="n"/>
      <c r="I36" s="14" t="n"/>
      <c r="K36" s="14" t="n"/>
      <c r="L36" s="14" t="n"/>
      <c r="M36" s="12" t="n"/>
      <c r="N36" s="14" t="n"/>
      <c r="Q36" s="15" t="n"/>
      <c r="S36">
        <f>IF(ISERROR(MATCH(D36, BUY!$A:$A, 0)), "No", "YES")</f>
        <v/>
      </c>
    </row>
    <row r="37">
      <c r="C37" s="12" t="n"/>
      <c r="D37" s="12" t="n"/>
      <c r="E37" s="17" t="n"/>
      <c r="F37" s="15" t="n"/>
      <c r="G37" s="12" t="n"/>
      <c r="I37" s="14" t="n"/>
      <c r="K37" s="14" t="n"/>
      <c r="L37" s="14" t="n"/>
      <c r="M37" s="12" t="n"/>
      <c r="N37" s="14" t="n"/>
      <c r="Q37" s="15" t="n"/>
      <c r="S37">
        <f>IF(ISERROR(MATCH(D37, BUY!$A:$A, 0)), "No", "YES")</f>
        <v/>
      </c>
    </row>
    <row r="38">
      <c r="C38" s="12" t="n"/>
      <c r="D38" s="12" t="n"/>
      <c r="E38" s="17" t="n"/>
      <c r="F38" s="15" t="n"/>
      <c r="G38" s="12" t="n"/>
      <c r="I38" s="14" t="n"/>
      <c r="K38" s="14" t="n"/>
      <c r="L38" s="14" t="n"/>
      <c r="M38" s="12" t="n"/>
      <c r="N38" s="14" t="n"/>
      <c r="Q38" s="15" t="n"/>
      <c r="S38">
        <f>IF(ISERROR(MATCH(D38, BUY!$A:$A, 0)), "No", "YES")</f>
        <v/>
      </c>
    </row>
    <row r="39">
      <c r="C39" s="12" t="n"/>
      <c r="D39" s="12" t="n"/>
      <c r="E39" s="17" t="n"/>
      <c r="F39" s="15" t="n"/>
      <c r="G39" s="12" t="n"/>
      <c r="I39" s="14" t="n"/>
      <c r="K39" s="14" t="n"/>
      <c r="L39" s="14" t="n"/>
      <c r="M39" s="12" t="n"/>
      <c r="N39" s="14" t="n"/>
      <c r="Q39" s="15" t="n"/>
      <c r="S39">
        <f>IF(ISERROR(MATCH(D39, BUY!$A:$A, 0)), "No", "YES")</f>
        <v/>
      </c>
    </row>
    <row r="40">
      <c r="C40" s="12" t="n"/>
      <c r="D40" s="12" t="n"/>
      <c r="E40" s="17" t="n"/>
      <c r="F40" s="15" t="n"/>
      <c r="G40" s="12" t="n"/>
      <c r="I40" s="14" t="n"/>
      <c r="K40" s="14" t="n"/>
      <c r="L40" s="14" t="n"/>
      <c r="M40" s="12" t="n"/>
      <c r="N40" s="14" t="n"/>
      <c r="Q40" s="15" t="n"/>
      <c r="S40">
        <f>IF(ISERROR(MATCH(D40, BUY!$A:$A, 0)), "No", "YES")</f>
        <v/>
      </c>
    </row>
    <row r="41">
      <c r="C41" s="12" t="n"/>
      <c r="D41" s="12" t="n"/>
      <c r="E41" s="17" t="n"/>
      <c r="F41" s="15" t="n"/>
      <c r="G41" s="12" t="n"/>
      <c r="I41" s="14" t="n"/>
      <c r="K41" s="14" t="n"/>
      <c r="L41" s="14" t="n"/>
      <c r="M41" s="12" t="n"/>
      <c r="N41" s="14" t="n"/>
      <c r="Q41" s="15" t="n"/>
      <c r="S41">
        <f>IF(ISERROR(MATCH(D41, BUY!$A:$A, 0)), "No", "YES")</f>
        <v/>
      </c>
    </row>
    <row r="42">
      <c r="C42" s="12" t="n"/>
      <c r="D42" s="12" t="n"/>
      <c r="E42" s="17" t="n"/>
      <c r="F42" s="15" t="n"/>
      <c r="G42" s="12" t="n"/>
      <c r="I42" s="14" t="n"/>
      <c r="K42" s="14" t="n"/>
      <c r="L42" s="14" t="n"/>
      <c r="M42" s="12" t="n"/>
      <c r="N42" s="14" t="n"/>
      <c r="Q42" s="15" t="n"/>
      <c r="S42">
        <f>IF(ISERROR(MATCH(D42, BUY!$A:$A, 0)), "No", "YES")</f>
        <v/>
      </c>
    </row>
    <row r="43">
      <c r="C43" s="12" t="n"/>
      <c r="D43" s="12" t="n"/>
      <c r="E43" s="17" t="n"/>
      <c r="F43" s="15" t="n"/>
      <c r="G43" s="12" t="n"/>
      <c r="I43" s="14" t="n"/>
      <c r="K43" s="14" t="n"/>
      <c r="L43" s="14" t="n"/>
      <c r="M43" s="12" t="n"/>
      <c r="N43" s="14" t="n"/>
      <c r="Q43" s="15" t="n"/>
      <c r="S43">
        <f>IF(ISERROR(MATCH(D43, BUY!$A:$A, 0)), "No", "YES")</f>
        <v/>
      </c>
    </row>
    <row r="44">
      <c r="C44" s="12" t="n"/>
      <c r="D44" s="12" t="n"/>
      <c r="E44" s="17" t="n"/>
      <c r="F44" s="15" t="n"/>
      <c r="G44" s="12" t="n"/>
      <c r="I44" s="14" t="n"/>
      <c r="K44" s="14" t="n"/>
      <c r="L44" s="14" t="n"/>
      <c r="M44" s="12" t="n"/>
      <c r="N44" s="14" t="n"/>
      <c r="Q44" s="15" t="n"/>
      <c r="S44">
        <f>IF(ISERROR(MATCH(D44, BUY!$A:$A, 0)), "No", "YES")</f>
        <v/>
      </c>
    </row>
    <row r="45">
      <c r="C45" s="12" t="n"/>
      <c r="D45" s="12" t="n"/>
      <c r="E45" s="17" t="n"/>
      <c r="F45" s="15" t="n"/>
      <c r="G45" s="12" t="n"/>
      <c r="I45" s="14" t="n"/>
      <c r="K45" s="14" t="n"/>
      <c r="L45" s="14" t="n"/>
      <c r="M45" s="12" t="n"/>
      <c r="N45" s="14" t="n"/>
      <c r="Q45" s="15" t="n"/>
      <c r="S45">
        <f>IF(ISERROR(MATCH(D45, BUY!$A:$A, 0)), "No", "YES")</f>
        <v/>
      </c>
    </row>
    <row r="46">
      <c r="C46" s="12" t="n"/>
      <c r="D46" s="12" t="n"/>
      <c r="E46" s="17" t="n"/>
      <c r="F46" s="15" t="n"/>
      <c r="G46" s="12" t="n"/>
      <c r="I46" s="14" t="n"/>
      <c r="K46" s="14" t="n"/>
      <c r="L46" s="14" t="n"/>
      <c r="M46" s="12" t="n"/>
      <c r="N46" s="14" t="n"/>
      <c r="Q46" s="15" t="n"/>
      <c r="S46">
        <f>IF(ISERROR(MATCH(D46, BUY!$A:$A, 0)), "No", "YES")</f>
        <v/>
      </c>
    </row>
    <row r="47">
      <c r="C47" s="12" t="n"/>
      <c r="D47" s="12" t="n"/>
      <c r="E47" s="17" t="n"/>
      <c r="F47" s="15" t="n"/>
      <c r="G47" s="12" t="n"/>
      <c r="I47" s="14" t="n"/>
      <c r="K47" s="14" t="n"/>
      <c r="L47" s="14" t="n"/>
      <c r="M47" s="12" t="n"/>
      <c r="N47" s="14" t="n"/>
      <c r="Q47" s="15" t="n"/>
      <c r="S47">
        <f>IF(ISERROR(MATCH(D47, BUY!$A:$A, 0)), "No", "YES")</f>
        <v/>
      </c>
    </row>
    <row r="48">
      <c r="C48" s="12" t="n"/>
      <c r="D48" s="12" t="n"/>
      <c r="E48" s="17" t="n"/>
      <c r="F48" s="15" t="n"/>
      <c r="G48" s="12" t="n"/>
      <c r="I48" s="14" t="n"/>
      <c r="K48" s="14" t="n"/>
      <c r="L48" s="14" t="n"/>
      <c r="M48" s="12" t="n"/>
      <c r="N48" s="14" t="n"/>
      <c r="Q48" s="15" t="n"/>
      <c r="S48">
        <f>IF(ISERROR(MATCH(D48, BUY!$A:$A, 0)), "No", "YES")</f>
        <v/>
      </c>
    </row>
    <row r="49">
      <c r="C49" s="12" t="n"/>
      <c r="D49" s="12" t="n"/>
      <c r="E49" s="17" t="n"/>
      <c r="F49" s="15" t="n"/>
      <c r="G49" s="12" t="n"/>
      <c r="I49" s="14" t="n"/>
      <c r="K49" s="14" t="n"/>
      <c r="L49" s="14" t="n"/>
      <c r="M49" s="12" t="n"/>
      <c r="N49" s="14" t="n"/>
      <c r="Q49" s="15" t="n"/>
      <c r="S49">
        <f>IF(ISERROR(MATCH(D49, BUY!$A:$A, 0)), "No", "YES")</f>
        <v/>
      </c>
    </row>
    <row r="50">
      <c r="C50" s="12" t="n"/>
      <c r="D50" s="12" t="n"/>
      <c r="E50" s="17" t="n"/>
      <c r="F50" s="15" t="n"/>
      <c r="G50" s="12" t="n"/>
      <c r="I50" s="14" t="n"/>
      <c r="K50" s="14" t="n"/>
      <c r="L50" s="14" t="n"/>
      <c r="M50" s="12" t="n"/>
      <c r="N50" s="14" t="n"/>
      <c r="Q50" s="15" t="n"/>
      <c r="S50">
        <f>IF(ISERROR(MATCH(D50, BUY!$A:$A, 0)), "No", "YES")</f>
        <v/>
      </c>
    </row>
    <row r="51">
      <c r="C51" s="12" t="n"/>
      <c r="D51" s="12" t="n"/>
      <c r="E51" s="17" t="n"/>
      <c r="F51" s="15" t="n"/>
      <c r="G51" s="12" t="n"/>
      <c r="I51" s="14" t="n"/>
      <c r="K51" s="14" t="n"/>
      <c r="L51" s="14" t="n"/>
      <c r="M51" s="12" t="n"/>
      <c r="N51" s="14" t="n"/>
      <c r="Q51" s="15" t="n"/>
      <c r="S51">
        <f>IF(ISERROR(MATCH(D51, BUY!$A:$A, 0)), "No", "YES")</f>
        <v/>
      </c>
    </row>
    <row r="52">
      <c r="C52" s="12" t="n"/>
      <c r="D52" s="12" t="n"/>
      <c r="E52" s="17" t="n"/>
      <c r="F52" s="15" t="n"/>
      <c r="G52" s="12" t="n"/>
      <c r="I52" s="14" t="n"/>
      <c r="K52" s="14" t="n"/>
      <c r="L52" s="14" t="n"/>
      <c r="M52" s="12" t="n"/>
      <c r="N52" s="14" t="n"/>
      <c r="Q52" s="15" t="n"/>
      <c r="S52">
        <f>IF(ISERROR(MATCH(D52, BUY!$A:$A, 0)), "No", "YES")</f>
        <v/>
      </c>
    </row>
    <row r="53">
      <c r="C53" s="12" t="n"/>
      <c r="D53" s="12" t="n"/>
      <c r="E53" s="17" t="n"/>
      <c r="F53" s="15" t="n"/>
      <c r="G53" s="12" t="n"/>
      <c r="I53" s="14" t="n"/>
      <c r="K53" s="14" t="n"/>
      <c r="L53" s="14" t="n"/>
      <c r="M53" s="12" t="n"/>
      <c r="N53" s="14" t="n"/>
      <c r="Q53" s="15" t="n"/>
      <c r="S53">
        <f>IF(ISERROR(MATCH(D53, BUY!$A:$A, 0)), "No", "YES")</f>
        <v/>
      </c>
    </row>
    <row r="54">
      <c r="C54" s="12" t="n"/>
      <c r="D54" s="12" t="n"/>
      <c r="E54" s="17" t="n"/>
      <c r="F54" s="15" t="n"/>
      <c r="G54" s="12" t="n"/>
      <c r="I54" s="14" t="n"/>
      <c r="K54" s="14" t="n"/>
      <c r="L54" s="14" t="n"/>
      <c r="M54" s="12" t="n"/>
      <c r="N54" s="14" t="n"/>
      <c r="Q54" s="15" t="n"/>
      <c r="S54">
        <f>IF(ISERROR(MATCH(D54, BUY!$A:$A, 0)), "No", "YES")</f>
        <v/>
      </c>
    </row>
    <row r="55">
      <c r="C55" s="12" t="n"/>
      <c r="D55" s="12" t="n"/>
      <c r="E55" s="17" t="n"/>
      <c r="F55" s="15" t="n"/>
      <c r="G55" s="12" t="n"/>
      <c r="I55" s="14" t="n"/>
      <c r="K55" s="14" t="n"/>
      <c r="L55" s="14" t="n"/>
      <c r="M55" s="12" t="n"/>
      <c r="N55" s="14" t="n"/>
      <c r="Q55" s="15" t="n"/>
      <c r="S55">
        <f>IF(ISERROR(MATCH(D55, BUY!$A:$A, 0)), "No", "YES")</f>
        <v/>
      </c>
    </row>
    <row r="56">
      <c r="C56" s="12" t="n"/>
      <c r="D56" s="12" t="n"/>
      <c r="E56" s="17" t="n"/>
      <c r="F56" s="15" t="n"/>
      <c r="G56" s="12" t="n"/>
      <c r="I56" s="14" t="n"/>
      <c r="K56" s="14" t="n"/>
      <c r="L56" s="14" t="n"/>
      <c r="M56" s="12" t="n"/>
      <c r="N56" s="14" t="n"/>
      <c r="Q56" s="15" t="n"/>
      <c r="S56">
        <f>IF(ISERROR(MATCH(D56, BUY!$A:$A, 0)), "No", "YES")</f>
        <v/>
      </c>
    </row>
    <row r="57">
      <c r="C57" s="12" t="n"/>
      <c r="D57" s="12" t="n"/>
      <c r="E57" s="17" t="n"/>
      <c r="F57" s="15" t="n"/>
      <c r="G57" s="12" t="n"/>
      <c r="I57" s="14" t="n"/>
      <c r="K57" s="14" t="n"/>
      <c r="L57" s="14" t="n"/>
      <c r="M57" s="12" t="n"/>
      <c r="N57" s="14" t="n"/>
      <c r="Q57" s="15" t="n"/>
      <c r="S57">
        <f>IF(ISERROR(MATCH(D57, BUY!$A:$A, 0)), "No", "YES")</f>
        <v/>
      </c>
    </row>
    <row r="58">
      <c r="C58" s="12" t="n"/>
      <c r="D58" s="12" t="n"/>
      <c r="E58" s="17" t="n"/>
      <c r="F58" s="15" t="n"/>
      <c r="G58" s="12" t="n"/>
      <c r="I58" s="14" t="n"/>
      <c r="K58" s="14" t="n"/>
      <c r="L58" s="14" t="n"/>
      <c r="M58" s="12" t="n"/>
      <c r="N58" s="14" t="n"/>
      <c r="Q58" s="15" t="n"/>
      <c r="S58">
        <f>IF(ISERROR(MATCH(D58, BUY!$A:$A, 0)), "No", "YES")</f>
        <v/>
      </c>
    </row>
    <row r="59">
      <c r="C59" s="12" t="n"/>
      <c r="D59" s="12" t="n"/>
      <c r="E59" s="17" t="n"/>
      <c r="F59" s="15" t="n"/>
      <c r="G59" s="12" t="n"/>
      <c r="I59" s="14" t="n"/>
      <c r="K59" s="14" t="n"/>
      <c r="L59" s="14" t="n"/>
      <c r="M59" s="12" t="n"/>
      <c r="N59" s="14" t="n"/>
      <c r="Q59" s="15" t="n"/>
      <c r="S59">
        <f>IF(ISERROR(MATCH(D59, BUY!$A:$A, 0)), "No", "YES")</f>
        <v/>
      </c>
    </row>
    <row r="60">
      <c r="C60" s="12" t="n"/>
      <c r="D60" s="12" t="n"/>
      <c r="E60" s="17" t="n"/>
      <c r="F60" s="15" t="n"/>
      <c r="G60" s="12" t="n"/>
      <c r="I60" s="14" t="n"/>
      <c r="K60" s="14" t="n"/>
      <c r="L60" s="14" t="n"/>
      <c r="M60" s="12" t="n"/>
      <c r="N60" s="14" t="n"/>
      <c r="Q60" s="15" t="n"/>
      <c r="S60">
        <f>IF(ISERROR(MATCH(D60, BUY!$A:$A, 0)), "No", "YES")</f>
        <v/>
      </c>
    </row>
    <row r="61">
      <c r="C61" s="12" t="n"/>
      <c r="D61" s="12" t="n"/>
      <c r="E61" s="17" t="n"/>
      <c r="F61" s="15" t="n"/>
      <c r="G61" s="12" t="n"/>
      <c r="I61" s="14" t="n"/>
      <c r="K61" s="14" t="n"/>
      <c r="L61" s="14" t="n"/>
      <c r="M61" s="12" t="n"/>
      <c r="N61" s="14" t="n"/>
      <c r="Q61" s="15" t="n"/>
      <c r="S61">
        <f>IF(ISERROR(MATCH(D61, BUY!$A:$A, 0)), "No", "YES")</f>
        <v/>
      </c>
    </row>
    <row r="62">
      <c r="C62" s="12" t="n"/>
      <c r="D62" s="12" t="n"/>
      <c r="E62" s="17" t="n"/>
      <c r="F62" s="15" t="n"/>
      <c r="G62" s="12" t="n"/>
      <c r="I62" s="14" t="n"/>
      <c r="K62" s="14" t="n"/>
      <c r="L62" s="14" t="n"/>
      <c r="M62" s="12" t="n"/>
      <c r="N62" s="14" t="n"/>
      <c r="Q62" s="15" t="n"/>
      <c r="S62">
        <f>IF(ISERROR(MATCH(D62, BUY!$A:$A, 0)), "No", "YES")</f>
        <v/>
      </c>
    </row>
    <row r="63">
      <c r="C63" s="12" t="n"/>
      <c r="D63" s="12" t="n"/>
      <c r="E63" s="17" t="n"/>
      <c r="F63" s="15" t="n"/>
      <c r="G63" s="12" t="n"/>
      <c r="I63" s="14" t="n"/>
      <c r="K63" s="14" t="n"/>
      <c r="L63" s="14" t="n"/>
      <c r="M63" s="12" t="n"/>
      <c r="N63" s="14" t="n"/>
      <c r="Q63" s="15" t="n"/>
      <c r="S63">
        <f>IF(ISERROR(MATCH(D63, BUY!$A:$A, 0)), "No", "YES")</f>
        <v/>
      </c>
    </row>
    <row r="64">
      <c r="C64" s="12" t="n"/>
      <c r="D64" s="12" t="n"/>
      <c r="E64" s="17" t="n"/>
      <c r="F64" s="15" t="n"/>
      <c r="G64" s="12" t="n"/>
      <c r="I64" s="14" t="n"/>
      <c r="K64" s="14" t="n"/>
      <c r="L64" s="14" t="n"/>
      <c r="M64" s="12" t="n"/>
      <c r="N64" s="14" t="n"/>
      <c r="Q64" s="15" t="n"/>
      <c r="S64">
        <f>IF(ISERROR(MATCH(D64, BUY!$A:$A, 0)), "No", "YES")</f>
        <v/>
      </c>
    </row>
    <row r="65">
      <c r="C65" s="12" t="n"/>
      <c r="D65" s="12" t="n"/>
      <c r="E65" s="17" t="n"/>
      <c r="F65" s="15" t="n"/>
      <c r="G65" s="12" t="n"/>
      <c r="I65" s="14" t="n"/>
      <c r="K65" s="14" t="n"/>
      <c r="L65" s="14" t="n"/>
      <c r="M65" s="12" t="n"/>
      <c r="N65" s="14" t="n"/>
      <c r="Q65" s="15" t="n"/>
      <c r="S65">
        <f>IF(ISERROR(MATCH(D65, BUY!$A:$A, 0)), "No", "YES")</f>
        <v/>
      </c>
    </row>
    <row r="66">
      <c r="C66" s="12" t="n"/>
      <c r="D66" s="12" t="n"/>
      <c r="E66" s="17" t="n"/>
      <c r="F66" s="15" t="n"/>
      <c r="G66" s="12" t="n"/>
      <c r="I66" s="14" t="n"/>
      <c r="K66" s="14" t="n"/>
      <c r="L66" s="14" t="n"/>
      <c r="M66" s="12" t="n"/>
      <c r="N66" s="14" t="n"/>
      <c r="Q66" s="15" t="n"/>
      <c r="S66">
        <f>IF(ISERROR(MATCH(D66, BUY!$A:$A, 0)), "No", "YES")</f>
        <v/>
      </c>
    </row>
    <row r="67">
      <c r="C67" s="12" t="n"/>
      <c r="D67" s="12" t="n"/>
      <c r="E67" s="17" t="n"/>
      <c r="F67" s="15" t="n"/>
      <c r="G67" s="12" t="n"/>
      <c r="I67" s="14" t="n"/>
      <c r="K67" s="14" t="n"/>
      <c r="L67" s="14" t="n"/>
      <c r="M67" s="12" t="n"/>
      <c r="N67" s="14" t="n"/>
      <c r="Q67" s="15" t="n"/>
      <c r="S67">
        <f>IF(ISERROR(MATCH(D67, BUY!$A:$A, 0)), "No", "YES")</f>
        <v/>
      </c>
    </row>
    <row r="68">
      <c r="C68" s="12" t="n"/>
      <c r="D68" s="12" t="n"/>
      <c r="E68" s="17" t="n"/>
      <c r="F68" s="15" t="n"/>
      <c r="G68" s="12" t="n"/>
      <c r="I68" s="14" t="n"/>
      <c r="K68" s="14" t="n"/>
      <c r="L68" s="14" t="n"/>
      <c r="M68" s="12" t="n"/>
      <c r="N68" s="14" t="n"/>
      <c r="Q68" s="15" t="n"/>
      <c r="S68">
        <f>IF(ISERROR(MATCH(D68, BUY!$A:$A, 0)), "No", "YES")</f>
        <v/>
      </c>
    </row>
    <row r="69">
      <c r="C69" s="12" t="n"/>
      <c r="D69" s="12" t="n"/>
      <c r="E69" s="17" t="n"/>
      <c r="F69" s="15" t="n"/>
      <c r="G69" s="12" t="n"/>
      <c r="I69" s="14" t="n"/>
      <c r="K69" s="14" t="n"/>
      <c r="L69" s="14" t="n"/>
      <c r="M69" s="12" t="n"/>
      <c r="N69" s="14" t="n"/>
      <c r="Q69" s="15" t="n"/>
      <c r="S69">
        <f>IF(ISERROR(MATCH(D69, BUY!$A:$A, 0)), "No", "YES")</f>
        <v/>
      </c>
    </row>
    <row r="70">
      <c r="C70" s="12" t="n"/>
      <c r="D70" s="12" t="n"/>
      <c r="E70" s="17" t="n"/>
      <c r="F70" s="15" t="n"/>
      <c r="G70" s="12" t="n"/>
      <c r="I70" s="14" t="n"/>
      <c r="K70" s="14" t="n"/>
      <c r="L70" s="14" t="n"/>
      <c r="M70" s="12" t="n"/>
      <c r="N70" s="14" t="n"/>
      <c r="Q70" s="15" t="n"/>
      <c r="S70">
        <f>IF(ISERROR(MATCH(D70, BUY!$A:$A, 0)), "No", "YES")</f>
        <v/>
      </c>
    </row>
    <row r="71">
      <c r="C71" s="12" t="n"/>
      <c r="D71" s="12" t="n"/>
      <c r="E71" s="17" t="n"/>
      <c r="F71" s="15" t="n"/>
      <c r="G71" s="12" t="n"/>
      <c r="I71" s="14" t="n"/>
      <c r="K71" s="14" t="n"/>
      <c r="L71" s="14" t="n"/>
      <c r="M71" s="12" t="n"/>
      <c r="N71" s="14" t="n"/>
      <c r="Q71" s="15" t="n"/>
      <c r="S71">
        <f>IF(ISERROR(MATCH(D71, BUY!$A:$A, 0)), "No", "YES")</f>
        <v/>
      </c>
    </row>
    <row r="72">
      <c r="C72" s="12" t="n"/>
      <c r="D72" s="12" t="n"/>
      <c r="E72" s="17" t="n"/>
      <c r="F72" s="15" t="n"/>
      <c r="G72" s="12" t="n"/>
      <c r="I72" s="14" t="n"/>
      <c r="K72" s="14" t="n"/>
      <c r="L72" s="14" t="n"/>
      <c r="M72" s="12" t="n"/>
      <c r="N72" s="14" t="n"/>
      <c r="Q72" s="15" t="n"/>
      <c r="S72">
        <f>IF(ISERROR(MATCH(D72, BUY!$A:$A, 0)), "No", "YES")</f>
        <v/>
      </c>
    </row>
    <row r="73">
      <c r="C73" s="12" t="n"/>
      <c r="D73" s="12" t="n"/>
      <c r="E73" s="17" t="n"/>
      <c r="F73" s="15" t="n"/>
      <c r="G73" s="12" t="n"/>
      <c r="I73" s="14" t="n"/>
      <c r="K73" s="14" t="n"/>
      <c r="L73" s="14" t="n"/>
      <c r="M73" s="12" t="n"/>
      <c r="N73" s="14" t="n"/>
      <c r="Q73" s="15" t="n"/>
      <c r="S73">
        <f>IF(ISERROR(MATCH(D73, BUY!$A:$A, 0)), "No", "YES")</f>
        <v/>
      </c>
    </row>
    <row r="74">
      <c r="C74" s="12" t="n"/>
      <c r="D74" s="12" t="n"/>
      <c r="E74" s="17" t="n"/>
      <c r="F74" s="15" t="n"/>
      <c r="G74" s="12" t="n"/>
      <c r="I74" s="14" t="n"/>
      <c r="K74" s="14" t="n"/>
      <c r="L74" s="14" t="n"/>
      <c r="M74" s="12" t="n"/>
      <c r="N74" s="14" t="n"/>
      <c r="Q74" s="15" t="n"/>
      <c r="S74">
        <f>IF(ISERROR(MATCH(D74, BUY!$A:$A, 0)), "No", "YES")</f>
        <v/>
      </c>
    </row>
    <row r="75">
      <c r="C75" s="12" t="n"/>
      <c r="D75" s="12" t="n"/>
      <c r="E75" s="17" t="n"/>
      <c r="F75" s="15" t="n"/>
      <c r="G75" s="12" t="n"/>
      <c r="I75" s="14" t="n"/>
      <c r="K75" s="14" t="n"/>
      <c r="L75" s="14" t="n"/>
      <c r="M75" s="12" t="n"/>
      <c r="N75" s="14" t="n"/>
      <c r="Q75" s="15" t="n"/>
      <c r="S75">
        <f>IF(ISERROR(MATCH(D75, BUY!$A:$A, 0)), "No", "YES")</f>
        <v/>
      </c>
    </row>
    <row r="76">
      <c r="C76" s="12" t="n"/>
      <c r="D76" s="12" t="n"/>
      <c r="E76" s="17" t="n"/>
      <c r="F76" s="15" t="n"/>
      <c r="G76" s="12" t="n"/>
      <c r="I76" s="14" t="n"/>
      <c r="K76" s="14" t="n"/>
      <c r="L76" s="14" t="n"/>
      <c r="M76" s="12" t="n"/>
      <c r="N76" s="14" t="n"/>
      <c r="Q76" s="15" t="n"/>
      <c r="S76">
        <f>IF(ISERROR(MATCH(D76, BUY!$A:$A, 0)), "No", "YES")</f>
        <v/>
      </c>
    </row>
    <row r="77">
      <c r="C77" s="12" t="n"/>
      <c r="D77" s="12" t="n"/>
      <c r="E77" s="17" t="n"/>
      <c r="F77" s="15" t="n"/>
      <c r="G77" s="12" t="n"/>
      <c r="I77" s="14" t="n"/>
      <c r="K77" s="14" t="n"/>
      <c r="L77" s="14" t="n"/>
      <c r="M77" s="12" t="n"/>
      <c r="N77" s="14" t="n"/>
      <c r="Q77" s="15" t="n"/>
      <c r="S77">
        <f>IF(ISERROR(MATCH(D77, BUY!$A:$A, 0)), "No", "YES")</f>
        <v/>
      </c>
    </row>
    <row r="78">
      <c r="C78" s="12" t="n"/>
      <c r="D78" s="12" t="n"/>
      <c r="E78" s="17" t="n"/>
      <c r="F78" s="15" t="n"/>
      <c r="G78" s="12" t="n"/>
      <c r="I78" s="14" t="n"/>
      <c r="K78" s="14" t="n"/>
      <c r="L78" s="14" t="n"/>
      <c r="M78" s="12" t="n"/>
      <c r="N78" s="14" t="n"/>
      <c r="Q78" s="15" t="n"/>
      <c r="S78">
        <f>IF(ISERROR(MATCH(D78, BUY!$A:$A, 0)), "No", "YES")</f>
        <v/>
      </c>
    </row>
    <row r="79">
      <c r="C79" s="12" t="n"/>
      <c r="D79" s="12" t="n"/>
      <c r="E79" s="17" t="n"/>
      <c r="F79" s="15" t="n"/>
      <c r="G79" s="12" t="n"/>
      <c r="I79" s="14" t="n"/>
      <c r="K79" s="14" t="n"/>
      <c r="L79" s="14" t="n"/>
      <c r="M79" s="12" t="n"/>
      <c r="N79" s="14" t="n"/>
      <c r="Q79" s="15" t="n"/>
      <c r="S79">
        <f>IF(ISERROR(MATCH(D79, BUY!$A:$A, 0)), "No", "YES")</f>
        <v/>
      </c>
    </row>
    <row r="80">
      <c r="C80" s="12" t="n"/>
      <c r="D80" s="12" t="n"/>
      <c r="E80" s="17" t="n"/>
      <c r="F80" s="15" t="n"/>
      <c r="G80" s="12" t="n"/>
      <c r="I80" s="14" t="n"/>
      <c r="K80" s="14" t="n"/>
      <c r="L80" s="14" t="n"/>
      <c r="M80" s="12" t="n"/>
      <c r="N80" s="14" t="n"/>
      <c r="Q80" s="15" t="n"/>
      <c r="S80">
        <f>IF(ISERROR(MATCH(D80, BUY!$A:$A, 0)), "No", "YES")</f>
        <v/>
      </c>
    </row>
    <row r="81">
      <c r="C81" s="12" t="n"/>
      <c r="D81" s="12" t="n"/>
      <c r="E81" s="17" t="n"/>
      <c r="F81" s="15" t="n"/>
      <c r="G81" s="12" t="n"/>
      <c r="I81" s="14" t="n"/>
      <c r="K81" s="14" t="n"/>
      <c r="L81" s="14" t="n"/>
      <c r="M81" s="12" t="n"/>
      <c r="N81" s="14" t="n"/>
      <c r="Q81" s="15" t="n"/>
      <c r="S81">
        <f>IF(ISERROR(MATCH(D81, BUY!$A:$A, 0)), "No", "YES")</f>
        <v/>
      </c>
    </row>
    <row r="82">
      <c r="C82" s="12" t="n"/>
      <c r="D82" s="12" t="n"/>
      <c r="E82" s="17" t="n"/>
      <c r="F82" s="15" t="n"/>
      <c r="G82" s="12" t="n"/>
      <c r="I82" s="14" t="n"/>
      <c r="K82" s="14" t="n"/>
      <c r="L82" s="14" t="n"/>
      <c r="M82" s="12" t="n"/>
      <c r="N82" s="14" t="n"/>
      <c r="Q82" s="15" t="n"/>
      <c r="S82">
        <f>IF(ISERROR(MATCH(D82, BUY!$A:$A, 0)), "No", "YES")</f>
        <v/>
      </c>
    </row>
    <row r="83">
      <c r="C83" s="12" t="n"/>
      <c r="D83" s="12" t="n"/>
      <c r="E83" s="17" t="n"/>
      <c r="F83" s="15" t="n"/>
      <c r="G83" s="12" t="n"/>
      <c r="I83" s="14" t="n"/>
      <c r="K83" s="14" t="n"/>
      <c r="L83" s="14" t="n"/>
      <c r="M83" s="12" t="n"/>
      <c r="N83" s="14" t="n"/>
      <c r="Q83" s="15" t="n"/>
      <c r="S83">
        <f>IF(ISERROR(MATCH(D83, BUY!$A:$A, 0)), "No", "YES")</f>
        <v/>
      </c>
    </row>
    <row r="84">
      <c r="C84" s="12" t="n"/>
      <c r="D84" s="12" t="n"/>
      <c r="E84" s="17" t="n"/>
      <c r="F84" s="15" t="n"/>
      <c r="G84" s="12" t="n"/>
      <c r="I84" s="14" t="n"/>
      <c r="K84" s="14" t="n"/>
      <c r="L84" s="14" t="n"/>
      <c r="M84" s="12" t="n"/>
      <c r="N84" s="14" t="n"/>
      <c r="Q84" s="15" t="n"/>
      <c r="S84">
        <f>IF(ISERROR(MATCH(D84, BUY!$A:$A, 0)), "No", "YES")</f>
        <v/>
      </c>
    </row>
    <row r="85">
      <c r="C85" s="12" t="n"/>
      <c r="D85" s="12" t="n"/>
      <c r="E85" s="17" t="n"/>
      <c r="F85" s="15" t="n"/>
      <c r="G85" s="12" t="n"/>
      <c r="I85" s="14" t="n"/>
      <c r="K85" s="14" t="n"/>
      <c r="L85" s="14" t="n"/>
      <c r="M85" s="12" t="n"/>
      <c r="N85" s="14" t="n"/>
      <c r="Q85" s="15" t="n"/>
      <c r="S85">
        <f>IF(ISERROR(MATCH(D85, BUY!$A:$A, 0)), "No", "YES")</f>
        <v/>
      </c>
    </row>
    <row r="86">
      <c r="C86" s="12" t="n"/>
      <c r="D86" s="12" t="n"/>
      <c r="E86" s="17" t="n"/>
      <c r="F86" s="15" t="n"/>
      <c r="G86" s="12" t="n"/>
      <c r="I86" s="14" t="n"/>
      <c r="K86" s="14" t="n"/>
      <c r="L86" s="14" t="n"/>
      <c r="M86" s="12" t="n"/>
      <c r="N86" s="14" t="n"/>
      <c r="Q86" s="15" t="n"/>
      <c r="S86">
        <f>IF(ISERROR(MATCH(D86, BUY!$A:$A, 0)), "No", "YES")</f>
        <v/>
      </c>
    </row>
    <row r="87">
      <c r="C87" s="12" t="n"/>
      <c r="D87" s="12" t="n"/>
      <c r="E87" s="17" t="n"/>
      <c r="F87" s="15" t="n"/>
      <c r="G87" s="12" t="n"/>
      <c r="I87" s="14" t="n"/>
      <c r="K87" s="14" t="n"/>
      <c r="L87" s="14" t="n"/>
      <c r="M87" s="12" t="n"/>
      <c r="N87" s="14" t="n"/>
      <c r="Q87" s="15" t="n"/>
      <c r="S87">
        <f>IF(ISERROR(MATCH(D87, BUY!$A:$A, 0)), "No", "YES")</f>
        <v/>
      </c>
    </row>
    <row r="88">
      <c r="C88" s="12" t="n"/>
      <c r="D88" s="12" t="n"/>
      <c r="E88" s="17" t="n"/>
      <c r="F88" s="15" t="n"/>
      <c r="G88" s="12" t="n"/>
      <c r="I88" s="14" t="n"/>
      <c r="K88" s="14" t="n"/>
      <c r="L88" s="14" t="n"/>
      <c r="M88" s="12" t="n"/>
      <c r="N88" s="14" t="n"/>
      <c r="Q88" s="15" t="n"/>
      <c r="S88">
        <f>IF(ISERROR(MATCH(D88, BUY!$A:$A, 0)), "No", "YES")</f>
        <v/>
      </c>
    </row>
    <row r="89">
      <c r="C89" s="12" t="n"/>
      <c r="D89" s="12" t="n"/>
      <c r="E89" s="17" t="n"/>
      <c r="F89" s="15" t="n"/>
      <c r="G89" s="12" t="n"/>
      <c r="I89" s="14" t="n"/>
      <c r="K89" s="14" t="n"/>
      <c r="L89" s="14" t="n"/>
      <c r="M89" s="12" t="n"/>
      <c r="N89" s="14" t="n"/>
      <c r="Q89" s="15" t="n"/>
      <c r="S89">
        <f>IF(ISERROR(MATCH(D89, BUY!$A:$A, 0)), "No", "YES")</f>
        <v/>
      </c>
    </row>
    <row r="90">
      <c r="C90" s="12" t="n"/>
      <c r="D90" s="12" t="n"/>
      <c r="E90" s="17" t="n"/>
      <c r="F90" s="15" t="n"/>
      <c r="G90" s="12" t="n"/>
      <c r="I90" s="14" t="n"/>
      <c r="K90" s="14" t="n"/>
      <c r="L90" s="14" t="n"/>
      <c r="M90" s="12" t="n"/>
      <c r="N90" s="14" t="n"/>
      <c r="Q90" s="15" t="n"/>
      <c r="S90">
        <f>IF(ISERROR(MATCH(D90, BUY!$A:$A, 0)), "No", "YES")</f>
        <v/>
      </c>
    </row>
    <row r="91">
      <c r="C91" s="12" t="n"/>
      <c r="D91" s="12" t="n"/>
      <c r="E91" s="17" t="n"/>
      <c r="F91" s="15" t="n"/>
      <c r="G91" s="12" t="n"/>
      <c r="I91" s="14" t="n"/>
      <c r="K91" s="14" t="n"/>
      <c r="L91" s="14" t="n"/>
      <c r="M91" s="12" t="n"/>
      <c r="N91" s="14" t="n"/>
      <c r="Q91" s="15" t="n"/>
      <c r="S91">
        <f>IF(ISERROR(MATCH(D91, BUY!$A:$A, 0)), "No", "YES")</f>
        <v/>
      </c>
    </row>
    <row r="92">
      <c r="C92" s="12" t="n"/>
      <c r="D92" s="12" t="n"/>
      <c r="E92" s="17" t="n"/>
      <c r="F92" s="15" t="n"/>
      <c r="G92" s="12" t="n"/>
      <c r="I92" s="14" t="n"/>
      <c r="K92" s="14" t="n"/>
      <c r="L92" s="14" t="n"/>
      <c r="M92" s="12" t="n"/>
      <c r="N92" s="14" t="n"/>
      <c r="Q92" s="15" t="n"/>
      <c r="S92">
        <f>IF(ISERROR(MATCH(D92, BUY!$A:$A, 0)), "No", "YES")</f>
        <v/>
      </c>
    </row>
    <row r="93">
      <c r="C93" s="12" t="n"/>
      <c r="D93" s="12" t="n"/>
      <c r="E93" s="17" t="n"/>
      <c r="F93" s="15" t="n"/>
      <c r="G93" s="12" t="n"/>
      <c r="I93" s="14" t="n"/>
      <c r="K93" s="14" t="n"/>
      <c r="L93" s="14" t="n"/>
      <c r="M93" s="12" t="n"/>
      <c r="N93" s="14" t="n"/>
      <c r="Q93" s="15" t="n"/>
      <c r="S93">
        <f>IF(ISERROR(MATCH(D93, BUY!$A:$A, 0)), "No", "YES")</f>
        <v/>
      </c>
    </row>
    <row r="94">
      <c r="C94" s="12" t="n"/>
      <c r="D94" s="12" t="n"/>
      <c r="E94" s="17" t="n"/>
      <c r="F94" s="15" t="n"/>
      <c r="G94" s="12" t="n"/>
      <c r="I94" s="14" t="n"/>
      <c r="K94" s="14" t="n"/>
      <c r="L94" s="14" t="n"/>
      <c r="M94" s="12" t="n"/>
      <c r="N94" s="14" t="n"/>
      <c r="Q94" s="15" t="n"/>
      <c r="S94">
        <f>IF(ISERROR(MATCH(D94, BUY!$A:$A, 0)), "No", "YES")</f>
        <v/>
      </c>
    </row>
    <row r="95">
      <c r="C95" s="12" t="n"/>
      <c r="D95" s="12" t="n"/>
      <c r="E95" s="17" t="n"/>
      <c r="F95" s="15" t="n"/>
      <c r="G95" s="12" t="n"/>
      <c r="I95" s="14" t="n"/>
      <c r="K95" s="14" t="n"/>
      <c r="L95" s="14" t="n"/>
      <c r="M95" s="12" t="n"/>
      <c r="N95" s="14" t="n"/>
      <c r="Q95" s="15" t="n"/>
      <c r="S95">
        <f>IF(ISERROR(MATCH(D95, BUY!$A:$A, 0)), "No", "YES")</f>
        <v/>
      </c>
    </row>
    <row r="96">
      <c r="C96" s="12" t="n"/>
      <c r="D96" s="12" t="n"/>
      <c r="E96" s="17" t="n"/>
      <c r="F96" s="15" t="n"/>
      <c r="G96" s="12" t="n"/>
      <c r="I96" s="14" t="n"/>
      <c r="K96" s="14" t="n"/>
      <c r="L96" s="14" t="n"/>
      <c r="M96" s="12" t="n"/>
      <c r="N96" s="14" t="n"/>
      <c r="Q96" s="15" t="n"/>
      <c r="S96">
        <f>IF(ISERROR(MATCH(D96, BUY!$A:$A, 0)), "No", "YES")</f>
        <v/>
      </c>
    </row>
    <row r="97">
      <c r="C97" s="12" t="n"/>
      <c r="D97" s="12" t="n"/>
      <c r="E97" s="17" t="n"/>
      <c r="F97" s="15" t="n"/>
      <c r="G97" s="12" t="n"/>
      <c r="I97" s="14" t="n"/>
      <c r="K97" s="14" t="n"/>
      <c r="L97" s="14" t="n"/>
      <c r="M97" s="12" t="n"/>
      <c r="N97" s="14" t="n"/>
      <c r="Q97" s="15" t="n"/>
      <c r="S97">
        <f>IF(ISERROR(MATCH(D97, BUY!$A:$A, 0)), "No", "YES")</f>
        <v/>
      </c>
    </row>
    <row r="98">
      <c r="C98" s="12" t="n"/>
      <c r="D98" s="12" t="n"/>
      <c r="E98" s="17" t="n"/>
      <c r="F98" s="15" t="n"/>
      <c r="G98" s="12" t="n"/>
      <c r="I98" s="14" t="n"/>
      <c r="K98" s="14" t="n"/>
      <c r="L98" s="14" t="n"/>
      <c r="M98" s="12" t="n"/>
      <c r="N98" s="14" t="n"/>
      <c r="Q98" s="15" t="n"/>
      <c r="S98">
        <f>IF(ISERROR(MATCH(D98, BUY!$A:$A, 0)), "No", "YES")</f>
        <v/>
      </c>
    </row>
    <row r="99">
      <c r="C99" s="12" t="n"/>
      <c r="D99" s="12" t="n"/>
      <c r="E99" s="17" t="n"/>
      <c r="F99" s="15" t="n"/>
      <c r="G99" s="12" t="n"/>
      <c r="I99" s="14" t="n"/>
      <c r="K99" s="14" t="n"/>
      <c r="L99" s="14" t="n"/>
      <c r="M99" s="12" t="n"/>
      <c r="N99" s="14" t="n"/>
      <c r="Q99" s="15" t="n"/>
      <c r="S99">
        <f>IF(ISERROR(MATCH(D99, BUY!$A:$A, 0)), "No", "YES")</f>
        <v/>
      </c>
    </row>
    <row r="100">
      <c r="C100" s="12" t="n"/>
      <c r="D100" s="12" t="n"/>
      <c r="E100" s="17" t="n"/>
      <c r="F100" s="15" t="n"/>
      <c r="G100" s="12" t="n"/>
      <c r="I100" s="14" t="n"/>
      <c r="K100" s="14" t="n"/>
      <c r="L100" s="14" t="n"/>
      <c r="M100" s="12" t="n"/>
      <c r="N100" s="14" t="n"/>
      <c r="Q100" s="15" t="n"/>
      <c r="S100">
        <f>IF(ISERROR(MATCH(D100, BUY!$A:$A, 0)), "No", "YES")</f>
        <v/>
      </c>
    </row>
    <row r="101">
      <c r="C101" s="12" t="n"/>
      <c r="D101" s="12" t="n"/>
      <c r="E101" s="17" t="n"/>
      <c r="F101" s="15" t="n"/>
      <c r="G101" s="12" t="n"/>
      <c r="I101" s="14" t="n"/>
      <c r="K101" s="14" t="n"/>
      <c r="L101" s="14" t="n"/>
      <c r="M101" s="12" t="n"/>
      <c r="N101" s="14" t="n"/>
      <c r="Q101" s="15" t="n"/>
      <c r="S101">
        <f>IF(ISERROR(MATCH(D101, BUY!$A:$A, 0)), "No", "YES")</f>
        <v/>
      </c>
    </row>
    <row r="102">
      <c r="C102" s="12" t="n"/>
      <c r="D102" s="12" t="n"/>
      <c r="E102" s="17" t="n"/>
      <c r="F102" s="15" t="n"/>
      <c r="G102" s="12" t="n"/>
      <c r="I102" s="14" t="n"/>
      <c r="K102" s="14" t="n"/>
      <c r="L102" s="14" t="n"/>
      <c r="M102" s="12" t="n"/>
      <c r="N102" s="14" t="n"/>
      <c r="Q102" s="15" t="n"/>
      <c r="S102">
        <f>IF(ISERROR(MATCH(D102, BUY!$A:$A, 0)), "No", "YES")</f>
        <v/>
      </c>
    </row>
    <row r="103">
      <c r="C103" s="12" t="n"/>
      <c r="D103" s="12" t="n"/>
      <c r="E103" s="17" t="n"/>
      <c r="F103" s="15" t="n"/>
      <c r="G103" s="12" t="n"/>
      <c r="I103" s="14" t="n"/>
      <c r="K103" s="14" t="n"/>
      <c r="L103" s="14" t="n"/>
      <c r="M103" s="12" t="n"/>
      <c r="N103" s="14" t="n"/>
      <c r="Q103" s="15" t="n"/>
      <c r="S103">
        <f>IF(ISERROR(MATCH(D103, BUY!$A:$A, 0)), "No", "YES")</f>
        <v/>
      </c>
    </row>
    <row r="104">
      <c r="C104" s="12" t="n"/>
      <c r="D104" s="12" t="n"/>
      <c r="E104" s="17" t="n"/>
      <c r="F104" s="15" t="n"/>
      <c r="G104" s="12" t="n"/>
      <c r="I104" s="14" t="n"/>
      <c r="K104" s="14" t="n"/>
      <c r="L104" s="14" t="n"/>
      <c r="M104" s="12" t="n"/>
      <c r="N104" s="14" t="n"/>
      <c r="Q104" s="15" t="n"/>
      <c r="S104">
        <f>IF(ISERROR(MATCH(D104, BUY!$A:$A, 0)), "No", "YES")</f>
        <v/>
      </c>
    </row>
    <row r="105">
      <c r="C105" s="12" t="n"/>
      <c r="D105" s="12" t="n"/>
      <c r="E105" s="17" t="n"/>
      <c r="F105" s="15" t="n"/>
      <c r="G105" s="12" t="n"/>
      <c r="I105" s="14" t="n"/>
      <c r="K105" s="14" t="n"/>
      <c r="L105" s="14" t="n"/>
      <c r="M105" s="12" t="n"/>
      <c r="N105" s="14" t="n"/>
      <c r="Q105" s="15" t="n"/>
      <c r="S105">
        <f>IF(ISERROR(MATCH(D105, BUY!$A:$A, 0)), "No", "YES")</f>
        <v/>
      </c>
    </row>
    <row r="106">
      <c r="C106" s="12" t="n"/>
      <c r="D106" s="12" t="n"/>
      <c r="E106" s="17" t="n"/>
      <c r="F106" s="15" t="n"/>
      <c r="G106" s="12" t="n"/>
      <c r="I106" s="14" t="n"/>
      <c r="K106" s="14" t="n"/>
      <c r="L106" s="14" t="n"/>
      <c r="M106" s="12" t="n"/>
      <c r="N106" s="14" t="n"/>
      <c r="Q106" s="15" t="n"/>
      <c r="S106">
        <f>IF(ISERROR(MATCH(D106, BUY!$A:$A, 0)), "No", "YES")</f>
        <v/>
      </c>
    </row>
    <row r="107">
      <c r="C107" s="12" t="n"/>
      <c r="D107" s="12" t="n"/>
      <c r="E107" s="17" t="n"/>
      <c r="F107" s="15" t="n"/>
      <c r="G107" s="12" t="n"/>
      <c r="I107" s="14" t="n"/>
      <c r="K107" s="14" t="n"/>
      <c r="L107" s="14" t="n"/>
      <c r="M107" s="12" t="n"/>
      <c r="N107" s="14" t="n"/>
      <c r="Q107" s="15" t="n"/>
      <c r="S107">
        <f>IF(ISERROR(MATCH(D107, BUY!$A:$A, 0)), "No", "YES")</f>
        <v/>
      </c>
    </row>
    <row r="108">
      <c r="C108" s="12" t="n"/>
      <c r="D108" s="12" t="n"/>
      <c r="E108" s="17" t="n"/>
      <c r="F108" s="15" t="n"/>
      <c r="G108" s="12" t="n"/>
      <c r="I108" s="14" t="n"/>
      <c r="K108" s="14" t="n"/>
      <c r="L108" s="14" t="n"/>
      <c r="M108" s="12" t="n"/>
      <c r="N108" s="14" t="n"/>
      <c r="Q108" s="15" t="n"/>
      <c r="S108">
        <f>IF(ISERROR(MATCH(D108, BUY!$A:$A, 0)), "No", "YES")</f>
        <v/>
      </c>
    </row>
    <row r="109">
      <c r="C109" s="12" t="n"/>
      <c r="D109" s="12" t="n"/>
      <c r="E109" s="17" t="n"/>
      <c r="F109" s="15" t="n"/>
      <c r="G109" s="12" t="n"/>
      <c r="I109" s="14" t="n"/>
      <c r="K109" s="14" t="n"/>
      <c r="L109" s="14" t="n"/>
      <c r="M109" s="12" t="n"/>
      <c r="N109" s="14" t="n"/>
      <c r="Q109" s="15" t="n"/>
      <c r="S109">
        <f>IF(ISERROR(MATCH(D109, BUY!$A:$A, 0)), "No", "YES")</f>
        <v/>
      </c>
    </row>
    <row r="110">
      <c r="C110" s="12" t="n"/>
      <c r="D110" s="12" t="n"/>
      <c r="E110" s="17" t="n"/>
      <c r="F110" s="15" t="n"/>
      <c r="G110" s="12" t="n"/>
      <c r="I110" s="14" t="n"/>
      <c r="K110" s="14" t="n"/>
      <c r="L110" s="14" t="n"/>
      <c r="M110" s="12" t="n"/>
      <c r="N110" s="14" t="n"/>
      <c r="Q110" s="15" t="n"/>
      <c r="S110">
        <f>IF(ISERROR(MATCH(D110, BUY!$A:$A, 0)), "No", "YES")</f>
        <v/>
      </c>
    </row>
    <row r="111">
      <c r="C111" s="12" t="n"/>
      <c r="D111" s="12" t="n"/>
      <c r="E111" s="17" t="n"/>
      <c r="F111" s="15" t="n"/>
      <c r="G111" s="12" t="n"/>
      <c r="I111" s="14" t="n"/>
      <c r="K111" s="14" t="n"/>
      <c r="L111" s="14" t="n"/>
      <c r="M111" s="12" t="n"/>
      <c r="N111" s="14" t="n"/>
      <c r="Q111" s="15" t="n"/>
      <c r="S111">
        <f>IF(ISERROR(MATCH(D111, BUY!$A:$A, 0)), "No", "YES")</f>
        <v/>
      </c>
    </row>
    <row r="112">
      <c r="C112" s="12" t="n"/>
      <c r="D112" s="12" t="n"/>
      <c r="E112" s="17" t="n"/>
      <c r="F112" s="15" t="n"/>
      <c r="G112" s="12" t="n"/>
      <c r="I112" s="14" t="n"/>
      <c r="K112" s="14" t="n"/>
      <c r="L112" s="14" t="n"/>
      <c r="M112" s="12" t="n"/>
      <c r="N112" s="14" t="n"/>
      <c r="Q112" s="15" t="n"/>
      <c r="S112">
        <f>IF(ISERROR(MATCH(D112, BUY!$A:$A, 0)), "No", "YES")</f>
        <v/>
      </c>
    </row>
    <row r="113">
      <c r="C113" s="12" t="n"/>
      <c r="D113" s="12" t="n"/>
      <c r="E113" s="17" t="n"/>
      <c r="F113" s="15" t="n"/>
      <c r="G113" s="12" t="n"/>
      <c r="I113" s="14" t="n"/>
      <c r="K113" s="14" t="n"/>
      <c r="L113" s="14" t="n"/>
      <c r="M113" s="12" t="n"/>
      <c r="N113" s="14" t="n"/>
      <c r="Q113" s="15" t="n"/>
      <c r="S113">
        <f>IF(ISERROR(MATCH(D113, BUY!$A:$A, 0)), "No", "YES")</f>
        <v/>
      </c>
    </row>
    <row r="114">
      <c r="C114" s="12" t="n"/>
      <c r="D114" s="12" t="n"/>
      <c r="E114" s="17" t="n"/>
      <c r="F114" s="15" t="n"/>
      <c r="G114" s="12" t="n"/>
      <c r="I114" s="14" t="n"/>
      <c r="K114" s="14" t="n"/>
      <c r="L114" s="14" t="n"/>
      <c r="M114" s="12" t="n"/>
      <c r="N114" s="14" t="n"/>
      <c r="Q114" s="15" t="n"/>
      <c r="S114">
        <f>IF(ISERROR(MATCH(D114, BUY!$A:$A, 0)), "No", "YES")</f>
        <v/>
      </c>
    </row>
    <row r="115">
      <c r="C115" s="12" t="n"/>
      <c r="D115" s="12" t="n"/>
      <c r="E115" s="17" t="n"/>
      <c r="F115" s="15" t="n"/>
      <c r="G115" s="12" t="n"/>
      <c r="I115" s="14" t="n"/>
      <c r="K115" s="14" t="n"/>
      <c r="L115" s="14" t="n"/>
      <c r="M115" s="12" t="n"/>
      <c r="N115" s="14" t="n"/>
      <c r="Q115" s="15" t="n"/>
      <c r="S115">
        <f>IF(ISERROR(MATCH(D115, BUY!$A:$A, 0)), "No", "YES")</f>
        <v/>
      </c>
    </row>
    <row r="116">
      <c r="C116" s="12" t="n"/>
      <c r="D116" s="12" t="n"/>
      <c r="E116" s="17" t="n"/>
      <c r="F116" s="15" t="n"/>
      <c r="G116" s="12" t="n"/>
      <c r="I116" s="14" t="n"/>
      <c r="K116" s="14" t="n"/>
      <c r="L116" s="14" t="n"/>
      <c r="M116" s="12" t="n"/>
      <c r="N116" s="14" t="n"/>
      <c r="Q116" s="15" t="n"/>
      <c r="S116">
        <f>IF(ISERROR(MATCH(D116, BUY!$A:$A, 0)), "No", "YES")</f>
        <v/>
      </c>
    </row>
    <row r="117">
      <c r="C117" s="12" t="n"/>
      <c r="D117" s="12" t="n"/>
      <c r="E117" s="17" t="n"/>
      <c r="F117" s="15" t="n"/>
      <c r="G117" s="12" t="n"/>
      <c r="I117" s="14" t="n"/>
      <c r="K117" s="14" t="n"/>
      <c r="L117" s="14" t="n"/>
      <c r="M117" s="12" t="n"/>
      <c r="N117" s="14" t="n"/>
      <c r="Q117" s="15" t="n"/>
      <c r="S117">
        <f>IF(ISERROR(MATCH(D117, BUY!$A:$A, 0)), "No", "YES")</f>
        <v/>
      </c>
    </row>
    <row r="118">
      <c r="C118" s="12" t="n"/>
      <c r="D118" s="12" t="n"/>
      <c r="E118" s="17" t="n"/>
      <c r="F118" s="15" t="n"/>
      <c r="G118" s="12" t="n"/>
      <c r="I118" s="14" t="n"/>
      <c r="K118" s="14" t="n"/>
      <c r="L118" s="14" t="n"/>
      <c r="M118" s="12" t="n"/>
      <c r="N118" s="14" t="n"/>
      <c r="Q118" s="15" t="n"/>
      <c r="S118">
        <f>IF(ISERROR(MATCH(D118, BUY!$A:$A, 0)), "No", "YES")</f>
        <v/>
      </c>
    </row>
    <row r="119">
      <c r="C119" s="12" t="n"/>
      <c r="D119" s="12" t="n"/>
      <c r="E119" s="17" t="n"/>
      <c r="F119" s="15" t="n"/>
      <c r="G119" s="12" t="n"/>
      <c r="I119" s="14" t="n"/>
      <c r="K119" s="14" t="n"/>
      <c r="L119" s="14" t="n"/>
      <c r="M119" s="12" t="n"/>
      <c r="N119" s="14" t="n"/>
      <c r="Q119" s="15" t="n"/>
      <c r="S119">
        <f>IF(ISERROR(MATCH(D119, BUY!$A:$A, 0)), "No", "YES")</f>
        <v/>
      </c>
    </row>
    <row r="120">
      <c r="C120" s="12" t="n"/>
      <c r="D120" s="12" t="n"/>
      <c r="E120" s="17" t="n"/>
      <c r="F120" s="15" t="n"/>
      <c r="G120" s="12" t="n"/>
      <c r="I120" s="14" t="n"/>
      <c r="K120" s="14" t="n"/>
      <c r="L120" s="14" t="n"/>
      <c r="M120" s="12" t="n"/>
      <c r="N120" s="14" t="n"/>
      <c r="Q120" s="15" t="n"/>
      <c r="S120">
        <f>IF(ISERROR(MATCH(D120, BUY!$A:$A, 0)), "No", "YES")</f>
        <v/>
      </c>
    </row>
    <row r="121">
      <c r="C121" s="12" t="n"/>
      <c r="D121" s="12" t="n"/>
      <c r="E121" s="17" t="n"/>
      <c r="F121" s="15" t="n"/>
      <c r="G121" s="12" t="n"/>
      <c r="I121" s="14" t="n"/>
      <c r="K121" s="14" t="n"/>
      <c r="L121" s="14" t="n"/>
      <c r="M121" s="12" t="n"/>
      <c r="N121" s="14" t="n"/>
      <c r="Q121" s="15" t="n"/>
      <c r="S121">
        <f>IF(ISERROR(MATCH(D121, BUY!$A:$A, 0)), "No", "YES")</f>
        <v/>
      </c>
    </row>
    <row r="122">
      <c r="C122" s="12" t="n"/>
      <c r="D122" s="12" t="n"/>
      <c r="E122" s="17" t="n"/>
      <c r="F122" s="15" t="n"/>
      <c r="G122" s="12" t="n"/>
      <c r="I122" s="14" t="n"/>
      <c r="K122" s="14" t="n"/>
      <c r="L122" s="14" t="n"/>
      <c r="M122" s="12" t="n"/>
      <c r="N122" s="14" t="n"/>
      <c r="Q122" s="15" t="n"/>
      <c r="S122">
        <f>IF(ISERROR(MATCH(D122, BUY!$A:$A, 0)), "No", "YES")</f>
        <v/>
      </c>
    </row>
    <row r="123">
      <c r="C123" s="12" t="n"/>
      <c r="D123" s="12" t="n"/>
      <c r="E123" s="17" t="n"/>
      <c r="F123" s="15" t="n"/>
      <c r="G123" s="12" t="n"/>
      <c r="I123" s="14" t="n"/>
      <c r="K123" s="14" t="n"/>
      <c r="L123" s="14" t="n"/>
      <c r="M123" s="12" t="n"/>
      <c r="N123" s="14" t="n"/>
      <c r="Q123" s="15" t="n"/>
      <c r="S123">
        <f>IF(ISERROR(MATCH(D123, BUY!$A:$A, 0)), "No", "YES")</f>
        <v/>
      </c>
    </row>
    <row r="124">
      <c r="C124" s="12" t="n"/>
      <c r="D124" s="12" t="n"/>
      <c r="E124" s="17" t="n"/>
      <c r="F124" s="15" t="n"/>
      <c r="G124" s="12" t="n"/>
      <c r="I124" s="14" t="n"/>
      <c r="K124" s="14" t="n"/>
      <c r="L124" s="14" t="n"/>
      <c r="M124" s="12" t="n"/>
      <c r="N124" s="14" t="n"/>
      <c r="Q124" s="15" t="n"/>
      <c r="S124">
        <f>IF(ISERROR(MATCH(D124, BUY!$A:$A, 0)), "No", "YES")</f>
        <v/>
      </c>
    </row>
    <row r="125">
      <c r="C125" s="12" t="n"/>
      <c r="D125" s="12" t="n"/>
      <c r="E125" s="17" t="n"/>
      <c r="F125" s="15" t="n"/>
      <c r="G125" s="12" t="n"/>
      <c r="I125" s="14" t="n"/>
      <c r="K125" s="14" t="n"/>
      <c r="L125" s="14" t="n"/>
      <c r="M125" s="12" t="n"/>
      <c r="N125" s="14" t="n"/>
      <c r="Q125" s="15" t="n"/>
      <c r="S125">
        <f>IF(ISERROR(MATCH(D125, BUY!$A:$A, 0)), "No", "YES")</f>
        <v/>
      </c>
    </row>
    <row r="126">
      <c r="C126" s="12" t="n"/>
      <c r="D126" s="12" t="n"/>
      <c r="E126" s="17" t="n"/>
      <c r="F126" s="15" t="n"/>
      <c r="G126" s="12" t="n"/>
      <c r="I126" s="14" t="n"/>
      <c r="K126" s="14" t="n"/>
      <c r="L126" s="14" t="n"/>
      <c r="M126" s="12" t="n"/>
      <c r="N126" s="14" t="n"/>
      <c r="Q126" s="15" t="n"/>
      <c r="S126">
        <f>IF(ISERROR(MATCH(D126, BUY!$A:$A, 0)), "No", "YES")</f>
        <v/>
      </c>
    </row>
    <row r="127">
      <c r="C127" s="12" t="n"/>
      <c r="D127" s="12" t="n"/>
      <c r="E127" s="17" t="n"/>
      <c r="F127" s="15" t="n"/>
      <c r="G127" s="12" t="n"/>
      <c r="I127" s="14" t="n"/>
      <c r="K127" s="14" t="n"/>
      <c r="L127" s="14" t="n"/>
      <c r="M127" s="12" t="n"/>
      <c r="N127" s="14" t="n"/>
      <c r="Q127" s="15" t="n"/>
      <c r="S127">
        <f>IF(ISERROR(MATCH(D127, BUY!$A:$A, 0)), "No", "YES")</f>
        <v/>
      </c>
    </row>
    <row r="128">
      <c r="C128" s="12" t="n"/>
      <c r="D128" s="12" t="n"/>
      <c r="E128" s="17" t="n"/>
      <c r="F128" s="15" t="n"/>
      <c r="G128" s="12" t="n"/>
      <c r="I128" s="14" t="n"/>
      <c r="K128" s="14" t="n"/>
      <c r="L128" s="14" t="n"/>
      <c r="M128" s="12" t="n"/>
      <c r="N128" s="14" t="n"/>
      <c r="Q128" s="15" t="n"/>
      <c r="S128">
        <f>IF(ISERROR(MATCH(D128, BUY!$A:$A, 0)), "No", "YES")</f>
        <v/>
      </c>
    </row>
    <row r="129">
      <c r="C129" s="12" t="n"/>
      <c r="D129" s="12" t="n"/>
      <c r="E129" s="17" t="n"/>
      <c r="F129" s="15" t="n"/>
      <c r="G129" s="12" t="n"/>
      <c r="I129" s="14" t="n"/>
      <c r="K129" s="14" t="n"/>
      <c r="L129" s="14" t="n"/>
      <c r="M129" s="12" t="n"/>
      <c r="N129" s="14" t="n"/>
      <c r="Q129" s="15" t="n"/>
      <c r="S129">
        <f>IF(ISERROR(MATCH(D129, BUY!$A:$A, 0)), "No", "YES")</f>
        <v/>
      </c>
    </row>
    <row r="130">
      <c r="C130" s="12" t="n"/>
      <c r="D130" s="12" t="n"/>
      <c r="E130" s="17" t="n"/>
      <c r="F130" s="15" t="n"/>
      <c r="G130" s="12" t="n"/>
      <c r="I130" s="14" t="n"/>
      <c r="K130" s="14" t="n"/>
      <c r="L130" s="14" t="n"/>
      <c r="M130" s="12" t="n"/>
      <c r="N130" s="14" t="n"/>
      <c r="Q130" s="15" t="n"/>
      <c r="S130">
        <f>IF(ISERROR(MATCH(D130, BUY!$A:$A, 0)), "No", "YES")</f>
        <v/>
      </c>
    </row>
    <row r="131">
      <c r="C131" s="12" t="n"/>
      <c r="D131" s="12" t="n"/>
      <c r="E131" s="17" t="n"/>
      <c r="F131" s="15" t="n"/>
      <c r="G131" s="12" t="n"/>
      <c r="I131" s="14" t="n"/>
      <c r="K131" s="14" t="n"/>
      <c r="L131" s="14" t="n"/>
      <c r="M131" s="12" t="n"/>
      <c r="N131" s="14" t="n"/>
      <c r="Q131" s="15" t="n"/>
      <c r="S131">
        <f>IF(ISERROR(MATCH(D131, BUY!$A:$A, 0)), "No", "YES")</f>
        <v/>
      </c>
    </row>
    <row r="132">
      <c r="C132" s="12" t="n"/>
      <c r="D132" s="12" t="n"/>
      <c r="E132" s="17" t="n"/>
      <c r="F132" s="15" t="n"/>
      <c r="G132" s="12" t="n"/>
      <c r="I132" s="14" t="n"/>
      <c r="K132" s="14" t="n"/>
      <c r="L132" s="14" t="n"/>
      <c r="M132" s="12" t="n"/>
      <c r="N132" s="14" t="n"/>
      <c r="Q132" s="15" t="n"/>
      <c r="S132">
        <f>IF(ISERROR(MATCH(D132, BUY!$A:$A, 0)), "No", "YES")</f>
        <v/>
      </c>
    </row>
    <row r="133">
      <c r="C133" s="12" t="n"/>
      <c r="D133" s="12" t="n"/>
      <c r="E133" s="17" t="n"/>
      <c r="F133" s="15" t="n"/>
      <c r="G133" s="12" t="n"/>
      <c r="I133" s="14" t="n"/>
      <c r="K133" s="14" t="n"/>
      <c r="L133" s="14" t="n"/>
      <c r="M133" s="12" t="n"/>
      <c r="N133" s="14" t="n"/>
      <c r="Q133" s="15" t="n"/>
      <c r="S133">
        <f>IF(ISERROR(MATCH(D133, BUY!$A:$A, 0)), "No", "YES")</f>
        <v/>
      </c>
    </row>
    <row r="134">
      <c r="C134" s="12" t="n"/>
      <c r="D134" s="12" t="n"/>
      <c r="E134" s="17" t="n"/>
      <c r="F134" s="15" t="n"/>
      <c r="G134" s="12" t="n"/>
      <c r="I134" s="14" t="n"/>
      <c r="K134" s="14" t="n"/>
      <c r="L134" s="14" t="n"/>
      <c r="M134" s="12" t="n"/>
      <c r="N134" s="14" t="n"/>
      <c r="Q134" s="15" t="n"/>
      <c r="S134">
        <f>IF(ISERROR(MATCH(D134, BUY!$A:$A, 0)), "No", "YES")</f>
        <v/>
      </c>
    </row>
    <row r="135">
      <c r="C135" s="12" t="n"/>
      <c r="D135" s="12" t="n"/>
      <c r="E135" s="17" t="n"/>
      <c r="F135" s="15" t="n"/>
      <c r="G135" s="12" t="n"/>
      <c r="I135" s="14" t="n"/>
      <c r="K135" s="14" t="n"/>
      <c r="L135" s="14" t="n"/>
      <c r="M135" s="12" t="n"/>
      <c r="N135" s="14" t="n"/>
      <c r="Q135" s="15" t="n"/>
      <c r="S135">
        <f>IF(ISERROR(MATCH(D135, BUY!$A:$A, 0)), "No", "YES")</f>
        <v/>
      </c>
    </row>
    <row r="136">
      <c r="C136" s="12" t="n"/>
      <c r="D136" s="12" t="n"/>
      <c r="E136" s="17" t="n"/>
      <c r="F136" s="15" t="n"/>
      <c r="G136" s="12" t="n"/>
      <c r="I136" s="14" t="n"/>
      <c r="K136" s="14" t="n"/>
      <c r="L136" s="14" t="n"/>
      <c r="M136" s="12" t="n"/>
      <c r="N136" s="14" t="n"/>
      <c r="Q136" s="15" t="n"/>
      <c r="S136">
        <f>IF(ISERROR(MATCH(D136, BUY!$A:$A, 0)), "No", "YES")</f>
        <v/>
      </c>
    </row>
    <row r="137">
      <c r="C137" s="12" t="n"/>
      <c r="D137" s="12" t="n"/>
      <c r="E137" s="17" t="n"/>
      <c r="F137" s="15" t="n"/>
      <c r="G137" s="12" t="n"/>
      <c r="I137" s="14" t="n"/>
      <c r="K137" s="14" t="n"/>
      <c r="L137" s="14" t="n"/>
      <c r="M137" s="12" t="n"/>
      <c r="N137" s="14" t="n"/>
      <c r="Q137" s="15" t="n"/>
      <c r="S137">
        <f>IF(ISERROR(MATCH(D137, BUY!$A:$A, 0)), "No", "YES")</f>
        <v/>
      </c>
    </row>
    <row r="138">
      <c r="C138" s="12" t="n"/>
      <c r="D138" s="12" t="n"/>
      <c r="E138" s="17" t="n"/>
      <c r="F138" s="15" t="n"/>
      <c r="G138" s="12" t="n"/>
      <c r="I138" s="14" t="n"/>
      <c r="K138" s="14" t="n"/>
      <c r="L138" s="14" t="n"/>
      <c r="M138" s="12" t="n"/>
      <c r="N138" s="14" t="n"/>
      <c r="Q138" s="15" t="n"/>
      <c r="S138">
        <f>IF(ISERROR(MATCH(D138, BUY!$A:$A, 0)), "No", "YES")</f>
        <v/>
      </c>
    </row>
    <row r="139">
      <c r="C139" s="12" t="n"/>
      <c r="D139" s="12" t="n"/>
      <c r="E139" s="17" t="n"/>
      <c r="F139" s="15" t="n"/>
      <c r="G139" s="12" t="n"/>
      <c r="I139" s="14" t="n"/>
      <c r="K139" s="14" t="n"/>
      <c r="L139" s="14" t="n"/>
      <c r="M139" s="12" t="n"/>
      <c r="N139" s="14" t="n"/>
      <c r="Q139" s="15" t="n"/>
      <c r="S139">
        <f>IF(ISERROR(MATCH(D139, BUY!$A:$A, 0)), "No", "YES")</f>
        <v/>
      </c>
    </row>
    <row r="140">
      <c r="C140" s="12" t="n"/>
      <c r="D140" s="12" t="n"/>
      <c r="E140" s="17" t="n"/>
      <c r="F140" s="15" t="n"/>
      <c r="G140" s="12" t="n"/>
      <c r="I140" s="14" t="n"/>
      <c r="K140" s="14" t="n"/>
      <c r="L140" s="14" t="n"/>
      <c r="M140" s="12" t="n"/>
      <c r="N140" s="14" t="n"/>
      <c r="Q140" s="15" t="n"/>
      <c r="S140">
        <f>IF(ISERROR(MATCH(D140, BUY!$A:$A, 0)), "No", "YES")</f>
        <v/>
      </c>
    </row>
    <row r="141">
      <c r="C141" s="12" t="n"/>
      <c r="D141" s="12" t="n"/>
      <c r="E141" s="17" t="n"/>
      <c r="F141" s="15" t="n"/>
      <c r="G141" s="12" t="n"/>
      <c r="I141" s="14" t="n"/>
      <c r="K141" s="14" t="n"/>
      <c r="L141" s="14" t="n"/>
      <c r="M141" s="12" t="n"/>
      <c r="N141" s="14" t="n"/>
      <c r="Q141" s="15" t="n"/>
      <c r="S141">
        <f>IF(ISERROR(MATCH(D141, BUY!$A:$A, 0)), "No", "YES")</f>
        <v/>
      </c>
    </row>
    <row r="142">
      <c r="C142" s="12" t="n"/>
      <c r="D142" s="12" t="n"/>
      <c r="E142" s="17" t="n"/>
      <c r="F142" s="15" t="n"/>
      <c r="G142" s="12" t="n"/>
      <c r="I142" s="14" t="n"/>
      <c r="K142" s="14" t="n"/>
      <c r="L142" s="14" t="n"/>
      <c r="M142" s="12" t="n"/>
      <c r="N142" s="14" t="n"/>
      <c r="Q142" s="15" t="n"/>
      <c r="S142">
        <f>IF(ISERROR(MATCH(D142, BUY!$A:$A, 0)), "No", "YES")</f>
        <v/>
      </c>
    </row>
    <row r="143">
      <c r="C143" s="12" t="n"/>
      <c r="D143" s="12" t="n"/>
      <c r="E143" s="17" t="n"/>
      <c r="F143" s="15" t="n"/>
      <c r="G143" s="12" t="n"/>
      <c r="I143" s="14" t="n"/>
      <c r="K143" s="14" t="n"/>
      <c r="L143" s="14" t="n"/>
      <c r="M143" s="12" t="n"/>
      <c r="N143" s="14" t="n"/>
      <c r="Q143" s="15" t="n"/>
      <c r="S143">
        <f>IF(ISERROR(MATCH(D143, BUY!$A:$A, 0)), "No", "YES")</f>
        <v/>
      </c>
    </row>
    <row r="144">
      <c r="C144" s="12" t="n"/>
      <c r="D144" s="12" t="n"/>
      <c r="E144" s="17" t="n"/>
      <c r="F144" s="15" t="n"/>
      <c r="G144" s="12" t="n"/>
      <c r="I144" s="14" t="n"/>
      <c r="K144" s="14" t="n"/>
      <c r="L144" s="14" t="n"/>
      <c r="M144" s="12" t="n"/>
      <c r="N144" s="14" t="n"/>
      <c r="Q144" s="15" t="n"/>
      <c r="S144">
        <f>IF(ISERROR(MATCH(D144, BUY!$A:$A, 0)), "No", "YES")</f>
        <v/>
      </c>
    </row>
    <row r="145">
      <c r="C145" s="12" t="n"/>
      <c r="D145" s="12" t="n"/>
      <c r="E145" s="17" t="n"/>
      <c r="F145" s="15" t="n"/>
      <c r="G145" s="12" t="n"/>
      <c r="I145" s="14" t="n"/>
      <c r="K145" s="14" t="n"/>
      <c r="L145" s="14" t="n"/>
      <c r="M145" s="12" t="n"/>
      <c r="N145" s="14" t="n"/>
      <c r="Q145" s="15" t="n"/>
      <c r="S145">
        <f>IF(ISERROR(MATCH(D145, BUY!$A:$A, 0)), "No", "YES")</f>
        <v/>
      </c>
    </row>
    <row r="146">
      <c r="C146" s="12" t="n"/>
      <c r="D146" s="12" t="n"/>
      <c r="E146" s="17" t="n"/>
      <c r="F146" s="15" t="n"/>
      <c r="G146" s="12" t="n"/>
      <c r="I146" s="14" t="n"/>
      <c r="K146" s="14" t="n"/>
      <c r="L146" s="14" t="n"/>
      <c r="M146" s="12" t="n"/>
      <c r="N146" s="14" t="n"/>
      <c r="Q146" s="15" t="n"/>
      <c r="S146">
        <f>IF(ISERROR(MATCH(D146, BUY!$A:$A, 0)), "No", "YES")</f>
        <v/>
      </c>
    </row>
    <row r="147">
      <c r="C147" s="12" t="n"/>
      <c r="D147" s="12" t="n"/>
      <c r="E147" s="17" t="n"/>
      <c r="F147" s="15" t="n"/>
      <c r="G147" s="12" t="n"/>
      <c r="I147" s="14" t="n"/>
      <c r="K147" s="14" t="n"/>
      <c r="L147" s="14" t="n"/>
      <c r="M147" s="12" t="n"/>
      <c r="N147" s="14" t="n"/>
      <c r="Q147" s="15" t="n"/>
      <c r="S147">
        <f>IF(ISERROR(MATCH(D147, BUY!$A:$A, 0)), "No", "YES")</f>
        <v/>
      </c>
    </row>
    <row r="148">
      <c r="C148" s="12" t="n"/>
      <c r="D148" s="12" t="n"/>
      <c r="E148" s="17" t="n"/>
      <c r="F148" s="15" t="n"/>
      <c r="G148" s="12" t="n"/>
      <c r="I148" s="14" t="n"/>
      <c r="K148" s="14" t="n"/>
      <c r="L148" s="14" t="n"/>
      <c r="M148" s="12" t="n"/>
      <c r="N148" s="14" t="n"/>
      <c r="Q148" s="15" t="n"/>
      <c r="S148">
        <f>IF(ISERROR(MATCH(D148, BUY!$A:$A, 0)), "No", "YES")</f>
        <v/>
      </c>
    </row>
    <row r="149">
      <c r="C149" s="12" t="n"/>
      <c r="D149" s="12" t="n"/>
      <c r="E149" s="17" t="n"/>
      <c r="F149" s="15" t="n"/>
      <c r="G149" s="12" t="n"/>
      <c r="I149" s="14" t="n"/>
      <c r="K149" s="14" t="n"/>
      <c r="L149" s="14" t="n"/>
      <c r="M149" s="12" t="n"/>
      <c r="N149" s="14" t="n"/>
      <c r="Q149" s="15" t="n"/>
      <c r="S149">
        <f>IF(ISERROR(MATCH(D149, BUY!$A:$A, 0)), "No", "YES")</f>
        <v/>
      </c>
    </row>
    <row r="150">
      <c r="C150" s="12" t="n"/>
      <c r="D150" s="12" t="n"/>
      <c r="E150" s="17" t="n"/>
      <c r="F150" s="15" t="n"/>
      <c r="G150" s="12" t="n"/>
      <c r="I150" s="14" t="n"/>
      <c r="K150" s="14" t="n"/>
      <c r="L150" s="14" t="n"/>
      <c r="M150" s="12" t="n"/>
      <c r="N150" s="14" t="n"/>
      <c r="Q150" s="15" t="n"/>
      <c r="S150">
        <f>IF(ISERROR(MATCH(D150, BUY!$A:$A, 0)), "No", "YES")</f>
        <v/>
      </c>
    </row>
    <row r="151">
      <c r="C151" s="12" t="n"/>
      <c r="D151" s="12" t="n"/>
      <c r="E151" s="17" t="n"/>
      <c r="F151" s="15" t="n"/>
      <c r="G151" s="12" t="n"/>
      <c r="I151" s="14" t="n"/>
      <c r="K151" s="14" t="n"/>
      <c r="L151" s="14" t="n"/>
      <c r="M151" s="12" t="n"/>
      <c r="N151" s="14" t="n"/>
      <c r="Q151" s="15" t="n"/>
      <c r="S151">
        <f>IF(ISERROR(MATCH(D151, BUY!$A:$A, 0)), "No", "YES")</f>
        <v/>
      </c>
    </row>
    <row r="152">
      <c r="C152" s="12" t="n"/>
      <c r="D152" s="12" t="n"/>
      <c r="E152" s="17" t="n"/>
      <c r="F152" s="15" t="n"/>
      <c r="G152" s="12" t="n"/>
      <c r="I152" s="14" t="n"/>
      <c r="K152" s="14" t="n"/>
      <c r="L152" s="14" t="n"/>
      <c r="M152" s="12" t="n"/>
      <c r="N152" s="14" t="n"/>
      <c r="Q152" s="15" t="n"/>
      <c r="S152">
        <f>IF(ISERROR(MATCH(D152, BUY!$A:$A, 0)), "No", "YES")</f>
        <v/>
      </c>
    </row>
    <row r="153">
      <c r="C153" s="12" t="n"/>
      <c r="D153" s="12" t="n"/>
      <c r="E153" s="17" t="n"/>
      <c r="F153" s="15" t="n"/>
      <c r="G153" s="12" t="n"/>
      <c r="I153" s="14" t="n"/>
      <c r="K153" s="14" t="n"/>
      <c r="L153" s="14" t="n"/>
      <c r="M153" s="12" t="n"/>
      <c r="N153" s="14" t="n"/>
      <c r="Q153" s="15" t="n"/>
      <c r="S153">
        <f>IF(ISERROR(MATCH(D153, BUY!$A:$A, 0)), "No", "YES")</f>
        <v/>
      </c>
    </row>
    <row r="154">
      <c r="C154" s="12" t="n"/>
      <c r="D154" s="12" t="n"/>
      <c r="E154" s="17" t="n"/>
      <c r="F154" s="15" t="n"/>
      <c r="G154" s="12" t="n"/>
      <c r="I154" s="14" t="n"/>
      <c r="K154" s="14" t="n"/>
      <c r="L154" s="14" t="n"/>
      <c r="M154" s="12" t="n"/>
      <c r="N154" s="14" t="n"/>
      <c r="Q154" s="15" t="n"/>
      <c r="S154">
        <f>IF(ISERROR(MATCH(D154, BUY!$A:$A, 0)), "No", "YES")</f>
        <v/>
      </c>
    </row>
    <row r="155">
      <c r="C155" s="12" t="n"/>
      <c r="D155" s="12" t="n"/>
      <c r="E155" s="17" t="n"/>
      <c r="F155" s="15" t="n"/>
      <c r="G155" s="12" t="n"/>
      <c r="I155" s="14" t="n"/>
      <c r="K155" s="14" t="n"/>
      <c r="L155" s="14" t="n"/>
      <c r="M155" s="12" t="n"/>
      <c r="N155" s="14" t="n"/>
      <c r="Q155" s="15" t="n"/>
      <c r="S155">
        <f>IF(ISERROR(MATCH(D155, BUY!$A:$A, 0)), "No", "YES")</f>
        <v/>
      </c>
    </row>
    <row r="156">
      <c r="C156" s="12" t="n"/>
      <c r="D156" s="12" t="n"/>
      <c r="E156" s="17" t="n"/>
      <c r="F156" s="15" t="n"/>
      <c r="G156" s="12" t="n"/>
      <c r="I156" s="14" t="n"/>
      <c r="K156" s="14" t="n"/>
      <c r="L156" s="14" t="n"/>
      <c r="M156" s="12" t="n"/>
      <c r="N156" s="14" t="n"/>
      <c r="Q156" s="15" t="n"/>
      <c r="S156">
        <f>IF(ISERROR(MATCH(D156, BUY!$A:$A, 0)), "No", "YES")</f>
        <v/>
      </c>
    </row>
    <row r="157">
      <c r="C157" s="12" t="n"/>
      <c r="D157" s="12" t="n"/>
      <c r="E157" s="17" t="n"/>
      <c r="F157" s="15" t="n"/>
      <c r="G157" s="12" t="n"/>
      <c r="I157" s="14" t="n"/>
      <c r="K157" s="14" t="n"/>
      <c r="L157" s="14" t="n"/>
      <c r="M157" s="12" t="n"/>
      <c r="N157" s="14" t="n"/>
      <c r="Q157" s="15" t="n"/>
      <c r="S157">
        <f>IF(ISERROR(MATCH(D157, BUY!$A:$A, 0)), "No", "YES")</f>
        <v/>
      </c>
    </row>
    <row r="158">
      <c r="C158" s="12" t="n"/>
      <c r="D158" s="12" t="n"/>
      <c r="E158" s="17" t="n"/>
      <c r="F158" s="15" t="n"/>
      <c r="G158" s="12" t="n"/>
      <c r="I158" s="14" t="n"/>
      <c r="K158" s="14" t="n"/>
      <c r="L158" s="14" t="n"/>
      <c r="M158" s="12" t="n"/>
      <c r="N158" s="14" t="n"/>
      <c r="Q158" s="15" t="n"/>
      <c r="S158">
        <f>IF(ISERROR(MATCH(D158, BUY!$A:$A, 0)), "No", "YES")</f>
        <v/>
      </c>
    </row>
    <row r="159">
      <c r="C159" s="12" t="n"/>
      <c r="D159" s="12" t="n"/>
      <c r="E159" s="17" t="n"/>
      <c r="F159" s="15" t="n"/>
      <c r="G159" s="12" t="n"/>
      <c r="I159" s="14" t="n"/>
      <c r="K159" s="14" t="n"/>
      <c r="L159" s="14" t="n"/>
      <c r="M159" s="12" t="n"/>
      <c r="N159" s="14" t="n"/>
      <c r="Q159" s="15" t="n"/>
      <c r="S159">
        <f>IF(ISERROR(MATCH(D159, BUY!$A:$A, 0)), "No", "YES")</f>
        <v/>
      </c>
    </row>
    <row r="160">
      <c r="C160" s="12" t="n"/>
      <c r="D160" s="12" t="n"/>
      <c r="E160" s="17" t="n"/>
      <c r="F160" s="15" t="n"/>
      <c r="G160" s="12" t="n"/>
      <c r="I160" s="14" t="n"/>
      <c r="K160" s="14" t="n"/>
      <c r="L160" s="14" t="n"/>
      <c r="M160" s="12" t="n"/>
      <c r="N160" s="14" t="n"/>
      <c r="Q160" s="15" t="n"/>
      <c r="S160">
        <f>IF(ISERROR(MATCH(D160, BUY!$A:$A, 0)), "No", "YES")</f>
        <v/>
      </c>
    </row>
    <row r="161">
      <c r="C161" s="12" t="n"/>
      <c r="D161" s="12" t="n"/>
      <c r="E161" s="17" t="n"/>
      <c r="F161" s="15" t="n"/>
      <c r="G161" s="12" t="n"/>
      <c r="I161" s="14" t="n"/>
      <c r="K161" s="14" t="n"/>
      <c r="L161" s="14" t="n"/>
      <c r="M161" s="12" t="n"/>
      <c r="N161" s="14" t="n"/>
      <c r="Q161" s="15" t="n"/>
      <c r="S161">
        <f>IF(ISERROR(MATCH(D161, BUY!$A:$A, 0)), "No", "YES")</f>
        <v/>
      </c>
    </row>
    <row r="162">
      <c r="C162" s="12" t="n"/>
      <c r="D162" s="12" t="n"/>
      <c r="E162" s="17" t="n"/>
      <c r="F162" s="15" t="n"/>
      <c r="G162" s="12" t="n"/>
      <c r="I162" s="14" t="n"/>
      <c r="K162" s="14" t="n"/>
      <c r="L162" s="14" t="n"/>
      <c r="M162" s="12" t="n"/>
      <c r="N162" s="14" t="n"/>
      <c r="Q162" s="15" t="n"/>
      <c r="S162">
        <f>IF(ISERROR(MATCH(D162, BUY!$A:$A, 0)), "No", "YES")</f>
        <v/>
      </c>
    </row>
    <row r="163">
      <c r="C163" s="12" t="n"/>
      <c r="D163" s="12" t="n"/>
      <c r="E163" s="17" t="n"/>
      <c r="F163" s="15" t="n"/>
      <c r="G163" s="12" t="n"/>
      <c r="I163" s="14" t="n"/>
      <c r="K163" s="14" t="n"/>
      <c r="L163" s="14" t="n"/>
      <c r="M163" s="12" t="n"/>
      <c r="N163" s="14" t="n"/>
      <c r="Q163" s="15" t="n"/>
      <c r="S163">
        <f>IF(ISERROR(MATCH(D163, BUY!$A:$A, 0)), "No", "YES")</f>
        <v/>
      </c>
    </row>
    <row r="164">
      <c r="C164" s="12" t="n"/>
      <c r="D164" s="12" t="n"/>
      <c r="E164" s="17" t="n"/>
      <c r="F164" s="15" t="n"/>
      <c r="G164" s="12" t="n"/>
      <c r="I164" s="14" t="n"/>
      <c r="K164" s="14" t="n"/>
      <c r="L164" s="14" t="n"/>
      <c r="M164" s="12" t="n"/>
      <c r="N164" s="14" t="n"/>
      <c r="Q164" s="15" t="n"/>
      <c r="S164">
        <f>IF(ISERROR(MATCH(D164, BUY!$A:$A, 0)), "No", "YES")</f>
        <v/>
      </c>
    </row>
    <row r="165">
      <c r="C165" s="12" t="n"/>
      <c r="D165" s="12" t="n"/>
      <c r="E165" s="17" t="n"/>
      <c r="F165" s="15" t="n"/>
      <c r="G165" s="12" t="n"/>
      <c r="I165" s="14" t="n"/>
      <c r="K165" s="14" t="n"/>
      <c r="L165" s="14" t="n"/>
      <c r="M165" s="12" t="n"/>
      <c r="N165" s="14" t="n"/>
      <c r="Q165" s="15" t="n"/>
      <c r="S165">
        <f>IF(ISERROR(MATCH(D165, BUY!$A:$A, 0)), "No", "YES")</f>
        <v/>
      </c>
    </row>
    <row r="166">
      <c r="C166" s="12" t="n"/>
      <c r="D166" s="12" t="n"/>
      <c r="E166" s="17" t="n"/>
      <c r="F166" s="15" t="n"/>
      <c r="G166" s="12" t="n"/>
      <c r="I166" s="14" t="n"/>
      <c r="K166" s="14" t="n"/>
      <c r="L166" s="14" t="n"/>
      <c r="M166" s="12" t="n"/>
      <c r="N166" s="14" t="n"/>
      <c r="Q166" s="15" t="n"/>
      <c r="S166">
        <f>IF(ISERROR(MATCH(D166, BUY!$A:$A, 0)), "No", "YES")</f>
        <v/>
      </c>
    </row>
    <row r="167">
      <c r="C167" s="12" t="n"/>
      <c r="D167" s="12" t="n"/>
      <c r="E167" s="17" t="n"/>
      <c r="F167" s="15" t="n"/>
      <c r="G167" s="12" t="n"/>
      <c r="I167" s="14" t="n"/>
      <c r="K167" s="14" t="n"/>
      <c r="L167" s="14" t="n"/>
      <c r="M167" s="12" t="n"/>
      <c r="N167" s="14" t="n"/>
      <c r="Q167" s="15" t="n"/>
      <c r="S167">
        <f>IF(ISERROR(MATCH(D167, BUY!$A:$A, 0)), "No", "YES")</f>
        <v/>
      </c>
    </row>
    <row r="168">
      <c r="C168" s="12" t="n"/>
      <c r="D168" s="12" t="n"/>
      <c r="E168" s="17" t="n"/>
      <c r="F168" s="15" t="n"/>
      <c r="G168" s="12" t="n"/>
      <c r="I168" s="14" t="n"/>
      <c r="K168" s="14" t="n"/>
      <c r="L168" s="14" t="n"/>
      <c r="M168" s="12" t="n"/>
      <c r="N168" s="14" t="n"/>
      <c r="Q168" s="15" t="n"/>
      <c r="S168">
        <f>IF(ISERROR(MATCH(D168, BUY!$A:$A, 0)), "No", "YES")</f>
        <v/>
      </c>
    </row>
    <row r="169">
      <c r="C169" s="12" t="n"/>
      <c r="D169" s="12" t="n"/>
      <c r="E169" s="17" t="n"/>
      <c r="F169" s="15" t="n"/>
      <c r="G169" s="12" t="n"/>
      <c r="I169" s="14" t="n"/>
      <c r="K169" s="14" t="n"/>
      <c r="L169" s="14" t="n"/>
      <c r="M169" s="12" t="n"/>
      <c r="N169" s="14" t="n"/>
      <c r="Q169" s="15" t="n"/>
      <c r="S169">
        <f>IF(ISERROR(MATCH(D169, BUY!$A:$A, 0)), "No", "YES")</f>
        <v/>
      </c>
    </row>
    <row r="170">
      <c r="C170" s="12" t="n"/>
      <c r="D170" s="12" t="n"/>
      <c r="E170" s="17" t="n"/>
      <c r="F170" s="15" t="n"/>
      <c r="G170" s="12" t="n"/>
      <c r="I170" s="14" t="n"/>
      <c r="K170" s="14" t="n"/>
      <c r="L170" s="14" t="n"/>
      <c r="M170" s="12" t="n"/>
      <c r="N170" s="14" t="n"/>
      <c r="Q170" s="15" t="n"/>
      <c r="S170">
        <f>IF(ISERROR(MATCH(D170, BUY!$A:$A, 0)), "No", "YES")</f>
        <v/>
      </c>
    </row>
    <row r="171">
      <c r="C171" s="12" t="n"/>
      <c r="D171" s="12" t="n"/>
      <c r="E171" s="17" t="n"/>
      <c r="F171" s="15" t="n"/>
      <c r="G171" s="12" t="n"/>
      <c r="I171" s="14" t="n"/>
      <c r="K171" s="14" t="n"/>
      <c r="L171" s="14" t="n"/>
      <c r="M171" s="12" t="n"/>
      <c r="N171" s="14" t="n"/>
      <c r="Q171" s="15" t="n"/>
      <c r="S171">
        <f>IF(ISERROR(MATCH(D171, BUY!$A:$A, 0)), "No", "YES")</f>
        <v/>
      </c>
    </row>
    <row r="172">
      <c r="C172" s="12" t="n"/>
      <c r="D172" s="12" t="n"/>
      <c r="E172" s="17" t="n"/>
      <c r="F172" s="15" t="n"/>
      <c r="G172" s="12" t="n"/>
      <c r="I172" s="14" t="n"/>
      <c r="K172" s="14" t="n"/>
      <c r="L172" s="14" t="n"/>
      <c r="M172" s="12" t="n"/>
      <c r="N172" s="14" t="n"/>
      <c r="Q172" s="15" t="n"/>
      <c r="S172">
        <f>IF(ISERROR(MATCH(D172, BUY!$A:$A, 0)), "No", "YES")</f>
        <v/>
      </c>
    </row>
    <row r="173">
      <c r="C173" s="12" t="n"/>
      <c r="D173" s="12" t="n"/>
      <c r="E173" s="17" t="n"/>
      <c r="F173" s="15" t="n"/>
      <c r="G173" s="12" t="n"/>
      <c r="I173" s="14" t="n"/>
      <c r="K173" s="14" t="n"/>
      <c r="L173" s="14" t="n"/>
      <c r="M173" s="12" t="n"/>
      <c r="N173" s="14" t="n"/>
      <c r="Q173" s="15" t="n"/>
      <c r="S173">
        <f>IF(ISERROR(MATCH(D173, BUY!$A:$A, 0)), "No", "YES")</f>
        <v/>
      </c>
    </row>
    <row r="174">
      <c r="C174" s="12" t="n"/>
      <c r="D174" s="12" t="n"/>
      <c r="E174" s="17" t="n"/>
      <c r="F174" s="15" t="n"/>
      <c r="G174" s="12" t="n"/>
      <c r="I174" s="14" t="n"/>
      <c r="K174" s="14" t="n"/>
      <c r="L174" s="14" t="n"/>
      <c r="M174" s="12" t="n"/>
      <c r="N174" s="14" t="n"/>
      <c r="Q174" s="15" t="n"/>
      <c r="S174">
        <f>IF(ISERROR(MATCH(D174, BUY!$A:$A, 0)), "No", "YES")</f>
        <v/>
      </c>
    </row>
    <row r="175">
      <c r="C175" s="12" t="n"/>
      <c r="D175" s="12" t="n"/>
      <c r="E175" s="17" t="n"/>
      <c r="F175" s="15" t="n"/>
      <c r="G175" s="12" t="n"/>
      <c r="I175" s="14" t="n"/>
      <c r="K175" s="14" t="n"/>
      <c r="L175" s="14" t="n"/>
      <c r="M175" s="12" t="n"/>
      <c r="N175" s="14" t="n"/>
      <c r="Q175" s="15" t="n"/>
      <c r="S175">
        <f>IF(ISERROR(MATCH(D175, BUY!$A:$A, 0)), "No", "YES")</f>
        <v/>
      </c>
    </row>
    <row r="176">
      <c r="C176" s="12" t="n"/>
      <c r="D176" s="12" t="n"/>
      <c r="E176" s="17" t="n"/>
      <c r="F176" s="15" t="n"/>
      <c r="G176" s="12" t="n"/>
      <c r="I176" s="14" t="n"/>
      <c r="K176" s="14" t="n"/>
      <c r="L176" s="14" t="n"/>
      <c r="M176" s="12" t="n"/>
      <c r="N176" s="14" t="n"/>
      <c r="Q176" s="15" t="n"/>
      <c r="S176">
        <f>IF(ISERROR(MATCH(D176, BUY!$A:$A, 0)), "No", "YES")</f>
        <v/>
      </c>
    </row>
    <row r="177">
      <c r="C177" s="12" t="n"/>
      <c r="D177" s="12" t="n"/>
      <c r="E177" s="17" t="n"/>
      <c r="F177" s="15" t="n"/>
      <c r="G177" s="12" t="n"/>
      <c r="I177" s="14" t="n"/>
      <c r="K177" s="14" t="n"/>
      <c r="L177" s="14" t="n"/>
      <c r="M177" s="12" t="n"/>
      <c r="N177" s="14" t="n"/>
      <c r="Q177" s="15" t="n"/>
      <c r="S177">
        <f>IF(ISERROR(MATCH(D177, BUY!$A:$A, 0)), "No", "YES")</f>
        <v/>
      </c>
    </row>
    <row r="178">
      <c r="C178" s="12" t="n"/>
      <c r="D178" s="12" t="n"/>
      <c r="E178" s="17" t="n"/>
      <c r="F178" s="15" t="n"/>
      <c r="G178" s="12" t="n"/>
      <c r="I178" s="14" t="n"/>
      <c r="K178" s="14" t="n"/>
      <c r="L178" s="14" t="n"/>
      <c r="M178" s="12" t="n"/>
      <c r="N178" s="14" t="n"/>
      <c r="Q178" s="15" t="n"/>
      <c r="S178">
        <f>IF(ISERROR(MATCH(D178, BUY!$A:$A, 0)), "No", "YES")</f>
        <v/>
      </c>
    </row>
    <row r="179">
      <c r="C179" s="12" t="n"/>
      <c r="D179" s="12" t="n"/>
      <c r="E179" s="17" t="n"/>
      <c r="F179" s="15" t="n"/>
      <c r="G179" s="12" t="n"/>
      <c r="I179" s="14" t="n"/>
      <c r="K179" s="14" t="n"/>
      <c r="L179" s="14" t="n"/>
      <c r="M179" s="12" t="n"/>
      <c r="N179" s="14" t="n"/>
      <c r="Q179" s="15" t="n"/>
      <c r="S179">
        <f>IF(ISERROR(MATCH(D179, BUY!$A:$A, 0)), "No", "YES")</f>
        <v/>
      </c>
    </row>
    <row r="180">
      <c r="C180" s="12" t="n"/>
      <c r="D180" s="12" t="n"/>
      <c r="E180" s="17" t="n"/>
      <c r="F180" s="15" t="n"/>
      <c r="G180" s="12" t="n"/>
      <c r="I180" s="14" t="n"/>
      <c r="K180" s="14" t="n"/>
      <c r="L180" s="14" t="n"/>
      <c r="M180" s="12" t="n"/>
      <c r="N180" s="14" t="n"/>
      <c r="Q180" s="15" t="n"/>
      <c r="S180">
        <f>IF(ISERROR(MATCH(D180, BUY!$A:$A, 0)), "No", "YES")</f>
        <v/>
      </c>
    </row>
    <row r="181">
      <c r="C181" s="12" t="n"/>
      <c r="D181" s="12" t="n"/>
      <c r="E181" s="17" t="n"/>
      <c r="F181" s="15" t="n"/>
      <c r="G181" s="12" t="n"/>
      <c r="I181" s="14" t="n"/>
      <c r="K181" s="14" t="n"/>
      <c r="L181" s="14" t="n"/>
      <c r="M181" s="12" t="n"/>
      <c r="N181" s="14" t="n"/>
      <c r="Q181" s="15" t="n"/>
      <c r="S181">
        <f>IF(ISERROR(MATCH(D181, BUY!$A:$A, 0)), "No", "YES")</f>
        <v/>
      </c>
    </row>
    <row r="182">
      <c r="C182" s="12" t="n"/>
      <c r="D182" s="12" t="n"/>
      <c r="E182" s="17" t="n"/>
      <c r="F182" s="15" t="n"/>
      <c r="G182" s="12" t="n"/>
      <c r="I182" s="14" t="n"/>
      <c r="K182" s="14" t="n"/>
      <c r="L182" s="14" t="n"/>
      <c r="M182" s="12" t="n"/>
      <c r="N182" s="14" t="n"/>
      <c r="Q182" s="15" t="n"/>
      <c r="S182">
        <f>IF(ISERROR(MATCH(D182, BUY!$A:$A, 0)), "No", "YES")</f>
        <v/>
      </c>
    </row>
    <row r="183">
      <c r="C183" s="12" t="n"/>
      <c r="D183" s="12" t="n"/>
      <c r="E183" s="17" t="n"/>
      <c r="F183" s="15" t="n"/>
      <c r="G183" s="12" t="n"/>
      <c r="I183" s="14" t="n"/>
      <c r="K183" s="14" t="n"/>
      <c r="L183" s="14" t="n"/>
      <c r="M183" s="12" t="n"/>
      <c r="N183" s="14" t="n"/>
      <c r="Q183" s="15" t="n"/>
      <c r="S183">
        <f>IF(ISERROR(MATCH(D183, BUY!$A:$A, 0)), "No", "YES")</f>
        <v/>
      </c>
    </row>
    <row r="184">
      <c r="C184" s="12" t="n"/>
      <c r="D184" s="12" t="n"/>
      <c r="E184" s="17" t="n"/>
      <c r="F184" s="15" t="n"/>
      <c r="G184" s="12" t="n"/>
      <c r="I184" s="14" t="n"/>
      <c r="K184" s="14" t="n"/>
      <c r="L184" s="14" t="n"/>
      <c r="M184" s="12" t="n"/>
      <c r="N184" s="14" t="n"/>
      <c r="Q184" s="15" t="n"/>
      <c r="S184">
        <f>IF(ISERROR(MATCH(D184, BUY!$A:$A, 0)), "No", "YES")</f>
        <v/>
      </c>
    </row>
    <row r="185">
      <c r="C185" s="12" t="n"/>
      <c r="D185" s="12" t="n"/>
      <c r="E185" s="17" t="n"/>
      <c r="F185" s="15" t="n"/>
      <c r="G185" s="12" t="n"/>
      <c r="I185" s="14" t="n"/>
      <c r="K185" s="14" t="n"/>
      <c r="L185" s="14" t="n"/>
      <c r="M185" s="12" t="n"/>
      <c r="N185" s="14" t="n"/>
      <c r="Q185" s="15" t="n"/>
      <c r="S185">
        <f>IF(ISERROR(MATCH(D185, BUY!$A:$A, 0)), "No", "YES")</f>
        <v/>
      </c>
    </row>
    <row r="186">
      <c r="C186" s="12" t="n"/>
      <c r="D186" s="12" t="n"/>
      <c r="E186" s="17" t="n"/>
      <c r="F186" s="15" t="n"/>
      <c r="G186" s="12" t="n"/>
      <c r="I186" s="14" t="n"/>
      <c r="K186" s="14" t="n"/>
      <c r="L186" s="14" t="n"/>
      <c r="M186" s="12" t="n"/>
      <c r="N186" s="14" t="n"/>
      <c r="Q186" s="15" t="n"/>
      <c r="S186">
        <f>IF(ISERROR(MATCH(D186, BUY!$A:$A, 0)), "No", "YES")</f>
        <v/>
      </c>
    </row>
    <row r="187">
      <c r="C187" s="12" t="n"/>
      <c r="D187" s="12" t="n"/>
      <c r="E187" s="17" t="n"/>
      <c r="F187" s="15" t="n"/>
      <c r="G187" s="12" t="n"/>
      <c r="I187" s="14" t="n"/>
      <c r="K187" s="14" t="n"/>
      <c r="L187" s="14" t="n"/>
      <c r="M187" s="12" t="n"/>
      <c r="N187" s="14" t="n"/>
      <c r="Q187" s="15" t="n"/>
      <c r="S187">
        <f>IF(ISERROR(MATCH(D187, BUY!$A:$A, 0)), "No", "YES")</f>
        <v/>
      </c>
    </row>
    <row r="188">
      <c r="C188" s="12" t="n"/>
      <c r="D188" s="12" t="n"/>
      <c r="E188" s="17" t="n"/>
      <c r="F188" s="15" t="n"/>
      <c r="G188" s="12" t="n"/>
      <c r="I188" s="14" t="n"/>
      <c r="K188" s="14" t="n"/>
      <c r="L188" s="14" t="n"/>
      <c r="M188" s="12" t="n"/>
      <c r="N188" s="14" t="n"/>
      <c r="Q188" s="15" t="n"/>
      <c r="S188">
        <f>IF(ISERROR(MATCH(D188, BUY!$A:$A, 0)), "No", "YES")</f>
        <v/>
      </c>
    </row>
    <row r="189">
      <c r="C189" s="12" t="n"/>
      <c r="D189" s="12" t="n"/>
      <c r="E189" s="17" t="n"/>
      <c r="F189" s="15" t="n"/>
      <c r="G189" s="12" t="n"/>
      <c r="I189" s="14" t="n"/>
      <c r="K189" s="14" t="n"/>
      <c r="L189" s="14" t="n"/>
      <c r="M189" s="12" t="n"/>
      <c r="N189" s="14" t="n"/>
      <c r="Q189" s="15" t="n"/>
      <c r="S189">
        <f>IF(ISERROR(MATCH(D189, BUY!$A:$A, 0)), "No", "YES")</f>
        <v/>
      </c>
    </row>
    <row r="190">
      <c r="C190" s="12" t="n"/>
      <c r="D190" s="12" t="n"/>
      <c r="E190" s="17" t="n"/>
      <c r="F190" s="15" t="n"/>
      <c r="G190" s="12" t="n"/>
      <c r="I190" s="14" t="n"/>
      <c r="K190" s="14" t="n"/>
      <c r="L190" s="14" t="n"/>
      <c r="M190" s="12" t="n"/>
      <c r="N190" s="14" t="n"/>
      <c r="Q190" s="15" t="n"/>
      <c r="S190">
        <f>IF(ISERROR(MATCH(D190, BUY!$A:$A, 0)), "No", "YES")</f>
        <v/>
      </c>
    </row>
    <row r="191">
      <c r="C191" s="12" t="n"/>
      <c r="D191" s="12" t="n"/>
      <c r="E191" s="17" t="n"/>
      <c r="F191" s="15" t="n"/>
      <c r="G191" s="12" t="n"/>
      <c r="I191" s="14" t="n"/>
      <c r="K191" s="14" t="n"/>
      <c r="L191" s="14" t="n"/>
      <c r="M191" s="12" t="n"/>
      <c r="N191" s="14" t="n"/>
      <c r="Q191" s="15" t="n"/>
      <c r="S191">
        <f>IF(ISERROR(MATCH(D191, BUY!$A:$A, 0)), "No", "YES")</f>
        <v/>
      </c>
    </row>
    <row r="192">
      <c r="C192" s="12" t="n"/>
      <c r="D192" s="12" t="n"/>
      <c r="E192" s="17" t="n"/>
      <c r="F192" s="15" t="n"/>
      <c r="G192" s="12" t="n"/>
      <c r="I192" s="14" t="n"/>
      <c r="K192" s="14" t="n"/>
      <c r="L192" s="14" t="n"/>
      <c r="M192" s="12" t="n"/>
      <c r="N192" s="14" t="n"/>
      <c r="Q192" s="15" t="n"/>
      <c r="S192">
        <f>IF(ISERROR(MATCH(D192, BUY!$A:$A, 0)), "No", "YES")</f>
        <v/>
      </c>
    </row>
    <row r="193">
      <c r="C193" s="12" t="n"/>
      <c r="D193" s="12" t="n"/>
      <c r="E193" s="17" t="n"/>
      <c r="F193" s="15" t="n"/>
      <c r="G193" s="12" t="n"/>
      <c r="I193" s="14" t="n"/>
      <c r="K193" s="14" t="n"/>
      <c r="L193" s="14" t="n"/>
      <c r="M193" s="12" t="n"/>
      <c r="N193" s="14" t="n"/>
      <c r="Q193" s="15" t="n"/>
      <c r="S193">
        <f>IF(ISERROR(MATCH(D193, BUY!$A:$A, 0)), "No", "YES")</f>
        <v/>
      </c>
    </row>
    <row r="194">
      <c r="C194" s="12" t="n"/>
      <c r="D194" s="12" t="n"/>
      <c r="E194" s="17" t="n"/>
      <c r="F194" s="15" t="n"/>
      <c r="G194" s="12" t="n"/>
      <c r="I194" s="14" t="n"/>
      <c r="K194" s="14" t="n"/>
      <c r="L194" s="14" t="n"/>
      <c r="M194" s="12" t="n"/>
      <c r="N194" s="14" t="n"/>
      <c r="Q194" s="15" t="n"/>
      <c r="S194">
        <f>IF(ISERROR(MATCH(D194, BUY!$A:$A, 0)), "No", "YES")</f>
        <v/>
      </c>
    </row>
    <row r="195">
      <c r="C195" s="12" t="n"/>
      <c r="D195" s="12" t="n"/>
      <c r="E195" s="17" t="n"/>
      <c r="F195" s="15" t="n"/>
      <c r="G195" s="12" t="n"/>
      <c r="I195" s="14" t="n"/>
      <c r="K195" s="14" t="n"/>
      <c r="L195" s="14" t="n"/>
      <c r="M195" s="12" t="n"/>
      <c r="N195" s="14" t="n"/>
      <c r="Q195" s="15" t="n"/>
      <c r="S195">
        <f>IF(ISERROR(MATCH(D195, BUY!$A:$A, 0)), "No", "YES")</f>
        <v/>
      </c>
    </row>
    <row r="196">
      <c r="C196" s="12" t="n"/>
      <c r="D196" s="12" t="n"/>
      <c r="E196" s="17" t="n"/>
      <c r="F196" s="15" t="n"/>
      <c r="G196" s="12" t="n"/>
      <c r="I196" s="14" t="n"/>
      <c r="K196" s="14" t="n"/>
      <c r="L196" s="14" t="n"/>
      <c r="M196" s="12" t="n"/>
      <c r="N196" s="14" t="n"/>
      <c r="Q196" s="15" t="n"/>
      <c r="S196">
        <f>IF(ISERROR(MATCH(D196, BUY!$A:$A, 0)), "No", "YES")</f>
        <v/>
      </c>
    </row>
    <row r="197">
      <c r="C197" s="12" t="n"/>
      <c r="D197" s="12" t="n"/>
      <c r="E197" s="17" t="n"/>
      <c r="F197" s="15" t="n"/>
      <c r="G197" s="12" t="n"/>
      <c r="I197" s="14" t="n"/>
      <c r="K197" s="14" t="n"/>
      <c r="L197" s="14" t="n"/>
      <c r="M197" s="12" t="n"/>
      <c r="N197" s="14" t="n"/>
      <c r="Q197" s="15" t="n"/>
      <c r="S197">
        <f>IF(ISERROR(MATCH(D197, BUY!$A:$A, 0)), "No", "YES")</f>
        <v/>
      </c>
    </row>
    <row r="198">
      <c r="C198" s="12" t="n"/>
      <c r="D198" s="12" t="n"/>
      <c r="E198" s="17" t="n"/>
      <c r="F198" s="15" t="n"/>
      <c r="G198" s="12" t="n"/>
      <c r="I198" s="14" t="n"/>
      <c r="K198" s="14" t="n"/>
      <c r="L198" s="14" t="n"/>
      <c r="M198" s="12" t="n"/>
      <c r="N198" s="14" t="n"/>
      <c r="Q198" s="15" t="n"/>
      <c r="S198">
        <f>IF(ISERROR(MATCH(D198, BUY!$A:$A, 0)), "No", "YES")</f>
        <v/>
      </c>
    </row>
    <row r="199">
      <c r="C199" s="12" t="n"/>
      <c r="D199" s="12" t="n"/>
      <c r="E199" s="17" t="n"/>
      <c r="F199" s="15" t="n"/>
      <c r="G199" s="12" t="n"/>
      <c r="I199" s="14" t="n"/>
      <c r="K199" s="14" t="n"/>
      <c r="L199" s="14" t="n"/>
      <c r="M199" s="12" t="n"/>
      <c r="N199" s="14" t="n"/>
      <c r="Q199" s="15" t="n"/>
      <c r="S199">
        <f>IF(ISERROR(MATCH(D199, BUY!$A:$A, 0)), "No", "YES")</f>
        <v/>
      </c>
    </row>
    <row r="200">
      <c r="C200" s="12" t="n"/>
      <c r="D200" s="12" t="n"/>
      <c r="E200" s="17" t="n"/>
      <c r="F200" s="15" t="n"/>
      <c r="G200" s="12" t="n"/>
      <c r="I200" s="14" t="n"/>
      <c r="K200" s="14" t="n"/>
      <c r="L200" s="14" t="n"/>
      <c r="M200" s="12" t="n"/>
      <c r="N200" s="14" t="n"/>
      <c r="Q200" s="15" t="n"/>
      <c r="S200">
        <f>IF(ISERROR(MATCH(D200, BUY!$A:$A, 0)), "No", "YES")</f>
        <v/>
      </c>
    </row>
    <row r="201">
      <c r="C201" s="12" t="n"/>
      <c r="D201" s="12" t="n"/>
      <c r="E201" s="17" t="n"/>
      <c r="F201" s="15" t="n"/>
      <c r="G201" s="12" t="n"/>
      <c r="I201" s="14" t="n"/>
      <c r="K201" s="14" t="n"/>
      <c r="L201" s="14" t="n"/>
      <c r="M201" s="12" t="n"/>
      <c r="N201" s="14" t="n"/>
      <c r="Q201" s="15" t="n"/>
      <c r="S201">
        <f>IF(ISERROR(MATCH(D201, BUY!$A:$A, 0)), "No", "YES")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S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2026-01-05T16:13:55Z</dcterms:created>
  <dcterms:modified xsi:type="dcterms:W3CDTF">2026-01-05T16:13:56Z</dcterms:modified>
</cp:coreProperties>
</file>