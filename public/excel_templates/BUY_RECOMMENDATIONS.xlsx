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RESEARCH" sheetId="2" state="visible" r:id="rId2"/>
    <sheet name="ORDER" sheetId="3" state="visible" r:id="rId3"/>
    <sheet name="KEEPA" sheetId="4" state="visible" r:id="rId4"/>
    <sheet name="IP Q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9" fontId="0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 Est Qty</t>
        </is>
      </c>
      <c r="C1" s="1" t="inlineStr">
        <is>
          <t>Min Sell Price</t>
        </is>
      </c>
      <c r="D1" s="1" t="inlineStr">
        <is>
          <t>Max BSR</t>
        </is>
      </c>
      <c r="E1" s="1" t="inlineStr">
        <is>
          <t>Total Profit</t>
        </is>
      </c>
      <c r="F1" s="1" t="inlineStr">
        <is>
          <t>Overall ROI</t>
        </is>
      </c>
      <c r="G1" s="1" t="inlineStr">
        <is>
          <t>Total Sales</t>
        </is>
      </c>
      <c r="K1" s="1" t="inlineStr">
        <is>
          <t>Max Order Qty</t>
        </is>
      </c>
      <c r="L1" s="1" t="inlineStr">
        <is>
          <t>Days of Stock</t>
        </is>
      </c>
      <c r="M1" s="1" t="inlineStr">
        <is>
          <t>Supplier Commission</t>
        </is>
      </c>
      <c r="N1" s="1" t="inlineStr">
        <is>
          <t>Discount</t>
        </is>
      </c>
      <c r="O1" s="1" t="inlineStr">
        <is>
          <t>Total Units</t>
        </is>
      </c>
      <c r="P1" s="1" t="inlineStr">
        <is>
          <t>Total Amount</t>
        </is>
      </c>
      <c r="Q1" s="1" t="inlineStr">
        <is>
          <t>AMZ Less</t>
        </is>
      </c>
      <c r="R1" s="1" t="inlineStr">
        <is>
          <t>Case Pk Default</t>
        </is>
      </c>
      <c r="S1" s="1" t="inlineStr">
        <is>
          <t>Min ROI</t>
        </is>
      </c>
      <c r="T1" s="1" t="inlineStr">
        <is>
          <t>25%</t>
        </is>
      </c>
      <c r="U1" s="1" t="inlineStr">
        <is>
          <t>20%</t>
        </is>
      </c>
      <c r="X1" s="1" t="inlineStr">
        <is>
          <t>Max BSR 30</t>
        </is>
      </c>
      <c r="Y1" s="1" t="inlineStr">
        <is>
          <t>Max Chng 30</t>
        </is>
      </c>
      <c r="Z1" s="1" t="inlineStr">
        <is>
          <t>Max BSR 90</t>
        </is>
      </c>
      <c r="AA1" s="1" t="inlineStr">
        <is>
          <t>Max Chng 90</t>
        </is>
      </c>
      <c r="AB1" s="1" t="inlineStr">
        <is>
          <t>Min Est Qty</t>
        </is>
      </c>
      <c r="AC1" s="1" t="inlineStr">
        <is>
          <t>Var Opp</t>
        </is>
      </c>
      <c r="AD1" s="1" t="inlineStr">
        <is>
          <t>Max AMZ OOS</t>
        </is>
      </c>
      <c r="AE1" s="1" t="inlineStr">
        <is>
          <t>Max Bbox OOS</t>
        </is>
      </c>
    </row>
    <row r="2">
      <c r="B2" s="2" t="n">
        <v>30</v>
      </c>
      <c r="C2" s="3" t="n">
        <v>9</v>
      </c>
      <c r="D2" s="2" t="n">
        <v>100000</v>
      </c>
      <c r="E2" s="2">
        <f>SUM(F4:F204)</f>
        <v/>
      </c>
      <c r="F2" s="2" t="n">
        <v>0</v>
      </c>
      <c r="G2" s="2">
        <f>SUM(P4:P204)</f>
        <v/>
      </c>
      <c r="K2" s="2" t="n">
        <v>240</v>
      </c>
      <c r="L2" s="2" t="n">
        <v>60</v>
      </c>
      <c r="M2" s="2" t="n">
        <v>0</v>
      </c>
      <c r="N2" s="2" t="n">
        <v>0</v>
      </c>
      <c r="O2" s="2">
        <f>SUM(O4:O204)</f>
        <v/>
      </c>
      <c r="P2" s="2">
        <f>SUM(P4:P204)</f>
        <v/>
      </c>
      <c r="Q2" s="4" t="n">
        <v>0.05</v>
      </c>
      <c r="R2" s="2" t="n">
        <v>12</v>
      </c>
      <c r="S2" s="2" t="inlineStr">
        <is>
          <t>Min Profit</t>
        </is>
      </c>
      <c r="T2" s="3" t="n">
        <v>1.5</v>
      </c>
      <c r="U2" s="3" t="n">
        <v>2</v>
      </c>
      <c r="X2" s="2" t="n">
        <v>125000</v>
      </c>
      <c r="Y2" s="4" t="n">
        <v>0.5</v>
      </c>
      <c r="Z2" s="2" t="n">
        <v>150000</v>
      </c>
      <c r="AA2" s="4" t="n">
        <v>0.75</v>
      </c>
      <c r="AB2" s="2" t="n">
        <v>300</v>
      </c>
      <c r="AC2" s="4" t="n">
        <v>0.07000000000000001</v>
      </c>
      <c r="AD2" s="4" t="n">
        <v>0.35</v>
      </c>
      <c r="AE2" s="4" t="n">
        <v>0.5</v>
      </c>
    </row>
    <row r="3">
      <c r="A3" s="5" t="inlineStr">
        <is>
          <t>ASIN</t>
        </is>
      </c>
      <c r="B3" s="5" t="inlineStr">
        <is>
          <t>AMZ Title</t>
        </is>
      </c>
      <c r="C3" s="5" t="inlineStr">
        <is>
          <t>Est. Qty</t>
        </is>
      </c>
      <c r="D3" s="5" t="inlineStr">
        <is>
          <t>Sell Price</t>
        </is>
      </c>
      <c r="E3" s="5" t="inlineStr">
        <is>
          <t>Current BSR</t>
        </is>
      </c>
      <c r="F3" s="5" t="inlineStr">
        <is>
          <t>Profit</t>
        </is>
      </c>
      <c r="G3" s="5" t="inlineStr">
        <is>
          <t>ROI</t>
        </is>
      </c>
      <c r="H3" s="5" t="inlineStr">
        <is>
          <t>Sales Opp.</t>
        </is>
      </c>
      <c r="I3" s="5" t="inlineStr">
        <is>
          <t>Suggested Pk</t>
        </is>
      </c>
      <c r="J3" s="5" t="inlineStr">
        <is>
          <t>Pack Qty</t>
        </is>
      </c>
      <c r="K3" s="5" t="inlineStr">
        <is>
          <t>Odr Qty (Pk)</t>
        </is>
      </c>
      <c r="L3" s="5" t="inlineStr">
        <is>
          <t>Item Code</t>
        </is>
      </c>
      <c r="M3" s="5" t="inlineStr">
        <is>
          <t>Description</t>
        </is>
      </c>
      <c r="N3" s="5" t="inlineStr">
        <is>
          <t>Cost</t>
        </is>
      </c>
      <c r="O3" s="5" t="inlineStr">
        <is>
          <t>Order Qty (Unit)</t>
        </is>
      </c>
      <c r="P3" s="5" t="inlineStr">
        <is>
          <t>Order Amount</t>
        </is>
      </c>
      <c r="Q3" s="5" t="inlineStr">
        <is>
          <t>Var Weight</t>
        </is>
      </c>
      <c r="R3" s="5" t="inlineStr">
        <is>
          <t>Case Pack</t>
        </is>
      </c>
      <c r="S3" s="5" t="inlineStr">
        <is>
          <t>Offers 90d</t>
        </is>
      </c>
      <c r="T3" s="5" t="inlineStr">
        <is>
          <t>ROI/Profit</t>
        </is>
      </c>
      <c r="U3" s="5" t="inlineStr">
        <is>
          <t>Visible</t>
        </is>
      </c>
      <c r="V3" s="5" t="inlineStr">
        <is>
          <t>Var. Opp.</t>
        </is>
      </c>
      <c r="W3" s="5" t="inlineStr">
        <is>
          <t>Use Qty</t>
        </is>
      </c>
      <c r="X3" s="5" t="inlineStr">
        <is>
          <t>BSR 30 Avg</t>
        </is>
      </c>
      <c r="Y3" s="5" t="inlineStr">
        <is>
          <t>% Chng30</t>
        </is>
      </c>
      <c r="Z3" s="5" t="inlineStr">
        <is>
          <t>BSR 90 Avg</t>
        </is>
      </c>
      <c r="AA3" s="5" t="inlineStr">
        <is>
          <t>% Chng90</t>
        </is>
      </c>
      <c r="AB3" s="5" t="inlineStr">
        <is>
          <t>Avail. Qty</t>
        </is>
      </c>
      <c r="AC3" s="5" t="inlineStr">
        <is>
          <t>AMZ Boss</t>
        </is>
      </c>
      <c r="AD3" s="5" t="inlineStr">
        <is>
          <t>AMZ OOS</t>
        </is>
      </c>
      <c r="AE3" s="5" t="inlineStr">
        <is>
          <t>Bbox OOS</t>
        </is>
      </c>
      <c r="AF3" s="5" t="inlineStr">
        <is>
          <t>Brand</t>
        </is>
      </c>
      <c r="AG3" s="5" t="inlineStr">
        <is>
          <t>Keepa Link</t>
        </is>
      </c>
      <c r="AH3" s="5" t="inlineStr">
        <is>
          <t>AMZ Product Page</t>
        </is>
      </c>
      <c r="AI3" s="5" t="inlineStr">
        <is>
          <t>Check Gated in SC</t>
        </is>
      </c>
      <c r="AJ3" s="5" t="inlineStr">
        <is>
          <t>Extra1</t>
        </is>
      </c>
      <c r="AK3" s="5" t="inlineStr">
        <is>
          <t>Extra2</t>
        </is>
      </c>
      <c r="AL3" s="5" t="inlineStr">
        <is>
          <t>Extra3</t>
        </is>
      </c>
    </row>
    <row r="4">
      <c r="D4">
        <f>IFERROR(VLOOKUP(A4, RESEARCH!$A$4:$AS$5000, 14, FALSE), 0)</f>
        <v/>
      </c>
      <c r="E4">
        <f>IFERROR(VLOOKUP(A4, RESEARCH!$A$4:$AS$5000, 8, FALSE), 0)</f>
        <v/>
      </c>
      <c r="F4">
        <f>D4-N4</f>
        <v/>
      </c>
      <c r="G4">
        <f>IF(N4=0,0,F4/N4)</f>
        <v/>
      </c>
      <c r="H4">
        <f>IFERROR(VLOOKUP(A4, RESEARCH!$A$4:$AS$5000, 9, FALSE), 0)</f>
        <v/>
      </c>
      <c r="L4">
        <f>IF(H4=0, 999, AB4/(H4/30))</f>
        <v/>
      </c>
      <c r="N4">
        <f>IFERROR(VLOOKUP(A4, RESEARCH!$A$4:$AS$5000, 13, FALSE), 0)</f>
        <v/>
      </c>
      <c r="O4">
        <f>MAX(0, ($L$2 * (H4/30)) - AB4)</f>
        <v/>
      </c>
      <c r="P4">
        <f>N4*O4</f>
        <v/>
      </c>
      <c r="X4">
        <f>IFERROR(VLOOKUP(A4, KEEPA!$A$4:$AW$5000, 26, FALSE), 0)</f>
        <v/>
      </c>
      <c r="Y4">
        <f>IF(X4=0,0,(X4-E4)/X4)</f>
        <v/>
      </c>
      <c r="Z4">
        <f>IFERROR(VLOOKUP(A4, KEEPA!$A$4:$AW$5000, 28, FALSE), 0)</f>
        <v/>
      </c>
      <c r="AA4">
        <f>IF(Z4=0,0,(Z4-E4)/Z4)</f>
        <v/>
      </c>
    </row>
    <row r="5">
      <c r="D5">
        <f>IFERROR(VLOOKUP(A5, RESEARCH!$A$4:$AS$5000, 14, FALSE), 0)</f>
        <v/>
      </c>
      <c r="E5">
        <f>IFERROR(VLOOKUP(A5, RESEARCH!$A$4:$AS$5000, 8, FALSE), 0)</f>
        <v/>
      </c>
      <c r="F5">
        <f>D5-N5</f>
        <v/>
      </c>
      <c r="G5">
        <f>IF(N5=0,0,F5/N5)</f>
        <v/>
      </c>
      <c r="H5">
        <f>IFERROR(VLOOKUP(A5, RESEARCH!$A$4:$AS$5000, 9, FALSE), 0)</f>
        <v/>
      </c>
      <c r="L5">
        <f>IF(H5=0, 999, AB5/(H5/30))</f>
        <v/>
      </c>
      <c r="N5">
        <f>IFERROR(VLOOKUP(A5, RESEARCH!$A$4:$AS$5000, 13, FALSE), 0)</f>
        <v/>
      </c>
      <c r="O5">
        <f>MAX(0, ($L$2 * (H5/30)) - AB5)</f>
        <v/>
      </c>
      <c r="P5">
        <f>N5*O5</f>
        <v/>
      </c>
      <c r="X5">
        <f>IFERROR(VLOOKUP(A5, KEEPA!$A$4:$AW$5000, 26, FALSE), 0)</f>
        <v/>
      </c>
      <c r="Y5">
        <f>IF(X5=0,0,(X5-E5)/X5)</f>
        <v/>
      </c>
      <c r="Z5">
        <f>IFERROR(VLOOKUP(A5, KEEPA!$A$4:$AW$5000, 28, FALSE), 0)</f>
        <v/>
      </c>
      <c r="AA5">
        <f>IF(Z5=0,0,(Z5-E5)/Z5)</f>
        <v/>
      </c>
    </row>
    <row r="6">
      <c r="D6">
        <f>IFERROR(VLOOKUP(A6, RESEARCH!$A$4:$AS$5000, 14, FALSE), 0)</f>
        <v/>
      </c>
      <c r="E6">
        <f>IFERROR(VLOOKUP(A6, RESEARCH!$A$4:$AS$5000, 8, FALSE), 0)</f>
        <v/>
      </c>
      <c r="F6">
        <f>D6-N6</f>
        <v/>
      </c>
      <c r="G6">
        <f>IF(N6=0,0,F6/N6)</f>
        <v/>
      </c>
      <c r="H6">
        <f>IFERROR(VLOOKUP(A6, RESEARCH!$A$4:$AS$5000, 9, FALSE), 0)</f>
        <v/>
      </c>
      <c r="L6">
        <f>IF(H6=0, 999, AB6/(H6/30))</f>
        <v/>
      </c>
      <c r="N6">
        <f>IFERROR(VLOOKUP(A6, RESEARCH!$A$4:$AS$5000, 13, FALSE), 0)</f>
        <v/>
      </c>
      <c r="O6">
        <f>MAX(0, ($L$2 * (H6/30)) - AB6)</f>
        <v/>
      </c>
      <c r="P6">
        <f>N6*O6</f>
        <v/>
      </c>
      <c r="X6">
        <f>IFERROR(VLOOKUP(A6, KEEPA!$A$4:$AW$5000, 26, FALSE), 0)</f>
        <v/>
      </c>
      <c r="Y6">
        <f>IF(X6=0,0,(X6-E6)/X6)</f>
        <v/>
      </c>
      <c r="Z6">
        <f>IFERROR(VLOOKUP(A6, KEEPA!$A$4:$AW$5000, 28, FALSE), 0)</f>
        <v/>
      </c>
      <c r="AA6">
        <f>IF(Z6=0,0,(Z6-E6)/Z6)</f>
        <v/>
      </c>
    </row>
    <row r="7">
      <c r="D7">
        <f>IFERROR(VLOOKUP(A7, RESEARCH!$A$4:$AS$5000, 14, FALSE), 0)</f>
        <v/>
      </c>
      <c r="E7">
        <f>IFERROR(VLOOKUP(A7, RESEARCH!$A$4:$AS$5000, 8, FALSE), 0)</f>
        <v/>
      </c>
      <c r="F7">
        <f>D7-N7</f>
        <v/>
      </c>
      <c r="G7">
        <f>IF(N7=0,0,F7/N7)</f>
        <v/>
      </c>
      <c r="H7">
        <f>IFERROR(VLOOKUP(A7, RESEARCH!$A$4:$AS$5000, 9, FALSE), 0)</f>
        <v/>
      </c>
      <c r="L7">
        <f>IF(H7=0, 999, AB7/(H7/30))</f>
        <v/>
      </c>
      <c r="N7">
        <f>IFERROR(VLOOKUP(A7, RESEARCH!$A$4:$AS$5000, 13, FALSE), 0)</f>
        <v/>
      </c>
      <c r="O7">
        <f>MAX(0, ($L$2 * (H7/30)) - AB7)</f>
        <v/>
      </c>
      <c r="P7">
        <f>N7*O7</f>
        <v/>
      </c>
      <c r="X7">
        <f>IFERROR(VLOOKUP(A7, KEEPA!$A$4:$AW$5000, 26, FALSE), 0)</f>
        <v/>
      </c>
      <c r="Y7">
        <f>IF(X7=0,0,(X7-E7)/X7)</f>
        <v/>
      </c>
      <c r="Z7">
        <f>IFERROR(VLOOKUP(A7, KEEPA!$A$4:$AW$5000, 28, FALSE), 0)</f>
        <v/>
      </c>
      <c r="AA7">
        <f>IF(Z7=0,0,(Z7-E7)/Z7)</f>
        <v/>
      </c>
    </row>
    <row r="8">
      <c r="D8">
        <f>IFERROR(VLOOKUP(A8, RESEARCH!$A$4:$AS$5000, 14, FALSE), 0)</f>
        <v/>
      </c>
      <c r="E8">
        <f>IFERROR(VLOOKUP(A8, RESEARCH!$A$4:$AS$5000, 8, FALSE), 0)</f>
        <v/>
      </c>
      <c r="F8">
        <f>D8-N8</f>
        <v/>
      </c>
      <c r="G8">
        <f>IF(N8=0,0,F8/N8)</f>
        <v/>
      </c>
      <c r="H8">
        <f>IFERROR(VLOOKUP(A8, RESEARCH!$A$4:$AS$5000, 9, FALSE), 0)</f>
        <v/>
      </c>
      <c r="L8">
        <f>IF(H8=0, 999, AB8/(H8/30))</f>
        <v/>
      </c>
      <c r="N8">
        <f>IFERROR(VLOOKUP(A8, RESEARCH!$A$4:$AS$5000, 13, FALSE), 0)</f>
        <v/>
      </c>
      <c r="O8">
        <f>MAX(0, ($L$2 * (H8/30)) - AB8)</f>
        <v/>
      </c>
      <c r="P8">
        <f>N8*O8</f>
        <v/>
      </c>
      <c r="X8">
        <f>IFERROR(VLOOKUP(A8, KEEPA!$A$4:$AW$5000, 26, FALSE), 0)</f>
        <v/>
      </c>
      <c r="Y8">
        <f>IF(X8=0,0,(X8-E8)/X8)</f>
        <v/>
      </c>
      <c r="Z8">
        <f>IFERROR(VLOOKUP(A8, KEEPA!$A$4:$AW$5000, 28, FALSE), 0)</f>
        <v/>
      </c>
      <c r="AA8">
        <f>IF(Z8=0,0,(Z8-E8)/Z8)</f>
        <v/>
      </c>
    </row>
    <row r="9">
      <c r="D9">
        <f>IFERROR(VLOOKUP(A9, RESEARCH!$A$4:$AS$5000, 14, FALSE), 0)</f>
        <v/>
      </c>
      <c r="E9">
        <f>IFERROR(VLOOKUP(A9, RESEARCH!$A$4:$AS$5000, 8, FALSE), 0)</f>
        <v/>
      </c>
      <c r="F9">
        <f>D9-N9</f>
        <v/>
      </c>
      <c r="G9">
        <f>IF(N9=0,0,F9/N9)</f>
        <v/>
      </c>
      <c r="H9">
        <f>IFERROR(VLOOKUP(A9, RESEARCH!$A$4:$AS$5000, 9, FALSE), 0)</f>
        <v/>
      </c>
      <c r="L9">
        <f>IF(H9=0, 999, AB9/(H9/30))</f>
        <v/>
      </c>
      <c r="N9">
        <f>IFERROR(VLOOKUP(A9, RESEARCH!$A$4:$AS$5000, 13, FALSE), 0)</f>
        <v/>
      </c>
      <c r="O9">
        <f>MAX(0, ($L$2 * (H9/30)) - AB9)</f>
        <v/>
      </c>
      <c r="P9">
        <f>N9*O9</f>
        <v/>
      </c>
      <c r="X9">
        <f>IFERROR(VLOOKUP(A9, KEEPA!$A$4:$AW$5000, 26, FALSE), 0)</f>
        <v/>
      </c>
      <c r="Y9">
        <f>IF(X9=0,0,(X9-E9)/X9)</f>
        <v/>
      </c>
      <c r="Z9">
        <f>IFERROR(VLOOKUP(A9, KEEPA!$A$4:$AW$5000, 28, FALSE), 0)</f>
        <v/>
      </c>
      <c r="AA9">
        <f>IF(Z9=0,0,(Z9-E9)/Z9)</f>
        <v/>
      </c>
    </row>
    <row r="10">
      <c r="D10">
        <f>IFERROR(VLOOKUP(A10, RESEARCH!$A$4:$AS$5000, 14, FALSE), 0)</f>
        <v/>
      </c>
      <c r="E10">
        <f>IFERROR(VLOOKUP(A10, RESEARCH!$A$4:$AS$5000, 8, FALSE), 0)</f>
        <v/>
      </c>
      <c r="F10">
        <f>D10-N10</f>
        <v/>
      </c>
      <c r="G10">
        <f>IF(N10=0,0,F10/N10)</f>
        <v/>
      </c>
      <c r="H10">
        <f>IFERROR(VLOOKUP(A10, RESEARCH!$A$4:$AS$5000, 9, FALSE), 0)</f>
        <v/>
      </c>
      <c r="L10">
        <f>IF(H10=0, 999, AB10/(H10/30))</f>
        <v/>
      </c>
      <c r="N10">
        <f>IFERROR(VLOOKUP(A10, RESEARCH!$A$4:$AS$5000, 13, FALSE), 0)</f>
        <v/>
      </c>
      <c r="O10">
        <f>MAX(0, ($L$2 * (H10/30)) - AB10)</f>
        <v/>
      </c>
      <c r="P10">
        <f>N10*O10</f>
        <v/>
      </c>
      <c r="X10">
        <f>IFERROR(VLOOKUP(A10, KEEPA!$A$4:$AW$5000, 26, FALSE), 0)</f>
        <v/>
      </c>
      <c r="Y10">
        <f>IF(X10=0,0,(X10-E10)/X10)</f>
        <v/>
      </c>
      <c r="Z10">
        <f>IFERROR(VLOOKUP(A10, KEEPA!$A$4:$AW$5000, 28, FALSE), 0)</f>
        <v/>
      </c>
      <c r="AA10">
        <f>IF(Z10=0,0,(Z10-E10)/Z10)</f>
        <v/>
      </c>
    </row>
    <row r="11">
      <c r="D11">
        <f>IFERROR(VLOOKUP(A11, RESEARCH!$A$4:$AS$5000, 14, FALSE), 0)</f>
        <v/>
      </c>
      <c r="E11">
        <f>IFERROR(VLOOKUP(A11, RESEARCH!$A$4:$AS$5000, 8, FALSE), 0)</f>
        <v/>
      </c>
      <c r="F11">
        <f>D11-N11</f>
        <v/>
      </c>
      <c r="G11">
        <f>IF(N11=0,0,F11/N11)</f>
        <v/>
      </c>
      <c r="H11">
        <f>IFERROR(VLOOKUP(A11, RESEARCH!$A$4:$AS$5000, 9, FALSE), 0)</f>
        <v/>
      </c>
      <c r="L11">
        <f>IF(H11=0, 999, AB11/(H11/30))</f>
        <v/>
      </c>
      <c r="N11">
        <f>IFERROR(VLOOKUP(A11, RESEARCH!$A$4:$AS$5000, 13, FALSE), 0)</f>
        <v/>
      </c>
      <c r="O11">
        <f>MAX(0, ($L$2 * (H11/30)) - AB11)</f>
        <v/>
      </c>
      <c r="P11">
        <f>N11*O11</f>
        <v/>
      </c>
      <c r="X11">
        <f>IFERROR(VLOOKUP(A11, KEEPA!$A$4:$AW$5000, 26, FALSE), 0)</f>
        <v/>
      </c>
      <c r="Y11">
        <f>IF(X11=0,0,(X11-E11)/X11)</f>
        <v/>
      </c>
      <c r="Z11">
        <f>IFERROR(VLOOKUP(A11, KEEPA!$A$4:$AW$5000, 28, FALSE), 0)</f>
        <v/>
      </c>
      <c r="AA11">
        <f>IF(Z11=0,0,(Z11-E11)/Z11)</f>
        <v/>
      </c>
    </row>
    <row r="12">
      <c r="D12">
        <f>IFERROR(VLOOKUP(A12, RESEARCH!$A$4:$AS$5000, 14, FALSE), 0)</f>
        <v/>
      </c>
      <c r="E12">
        <f>IFERROR(VLOOKUP(A12, RESEARCH!$A$4:$AS$5000, 8, FALSE), 0)</f>
        <v/>
      </c>
      <c r="F12">
        <f>D12-N12</f>
        <v/>
      </c>
      <c r="G12">
        <f>IF(N12=0,0,F12/N12)</f>
        <v/>
      </c>
      <c r="H12">
        <f>IFERROR(VLOOKUP(A12, RESEARCH!$A$4:$AS$5000, 9, FALSE), 0)</f>
        <v/>
      </c>
      <c r="L12">
        <f>IF(H12=0, 999, AB12/(H12/30))</f>
        <v/>
      </c>
      <c r="N12">
        <f>IFERROR(VLOOKUP(A12, RESEARCH!$A$4:$AS$5000, 13, FALSE), 0)</f>
        <v/>
      </c>
      <c r="O12">
        <f>MAX(0, ($L$2 * (H12/30)) - AB12)</f>
        <v/>
      </c>
      <c r="P12">
        <f>N12*O12</f>
        <v/>
      </c>
      <c r="X12">
        <f>IFERROR(VLOOKUP(A12, KEEPA!$A$4:$AW$5000, 26, FALSE), 0)</f>
        <v/>
      </c>
      <c r="Y12">
        <f>IF(X12=0,0,(X12-E12)/X12)</f>
        <v/>
      </c>
      <c r="Z12">
        <f>IFERROR(VLOOKUP(A12, KEEPA!$A$4:$AW$5000, 28, FALSE), 0)</f>
        <v/>
      </c>
      <c r="AA12">
        <f>IF(Z12=0,0,(Z12-E12)/Z12)</f>
        <v/>
      </c>
    </row>
    <row r="13">
      <c r="D13">
        <f>IFERROR(VLOOKUP(A13, RESEARCH!$A$4:$AS$5000, 14, FALSE), 0)</f>
        <v/>
      </c>
      <c r="E13">
        <f>IFERROR(VLOOKUP(A13, RESEARCH!$A$4:$AS$5000, 8, FALSE), 0)</f>
        <v/>
      </c>
      <c r="F13">
        <f>D13-N13</f>
        <v/>
      </c>
      <c r="G13">
        <f>IF(N13=0,0,F13/N13)</f>
        <v/>
      </c>
      <c r="H13">
        <f>IFERROR(VLOOKUP(A13, RESEARCH!$A$4:$AS$5000, 9, FALSE), 0)</f>
        <v/>
      </c>
      <c r="L13">
        <f>IF(H13=0, 999, AB13/(H13/30))</f>
        <v/>
      </c>
      <c r="N13">
        <f>IFERROR(VLOOKUP(A13, RESEARCH!$A$4:$AS$5000, 13, FALSE), 0)</f>
        <v/>
      </c>
      <c r="O13">
        <f>MAX(0, ($L$2 * (H13/30)) - AB13)</f>
        <v/>
      </c>
      <c r="P13">
        <f>N13*O13</f>
        <v/>
      </c>
      <c r="X13">
        <f>IFERROR(VLOOKUP(A13, KEEPA!$A$4:$AW$5000, 26, FALSE), 0)</f>
        <v/>
      </c>
      <c r="Y13">
        <f>IF(X13=0,0,(X13-E13)/X13)</f>
        <v/>
      </c>
      <c r="Z13">
        <f>IFERROR(VLOOKUP(A13, KEEPA!$A$4:$AW$5000, 28, FALSE), 0)</f>
        <v/>
      </c>
      <c r="AA13">
        <f>IF(Z13=0,0,(Z13-E13)/Z13)</f>
        <v/>
      </c>
    </row>
    <row r="14">
      <c r="D14">
        <f>IFERROR(VLOOKUP(A14, RESEARCH!$A$4:$AS$5000, 14, FALSE), 0)</f>
        <v/>
      </c>
      <c r="E14">
        <f>IFERROR(VLOOKUP(A14, RESEARCH!$A$4:$AS$5000, 8, FALSE), 0)</f>
        <v/>
      </c>
      <c r="F14">
        <f>D14-N14</f>
        <v/>
      </c>
      <c r="G14">
        <f>IF(N14=0,0,F14/N14)</f>
        <v/>
      </c>
      <c r="H14">
        <f>IFERROR(VLOOKUP(A14, RESEARCH!$A$4:$AS$5000, 9, FALSE), 0)</f>
        <v/>
      </c>
      <c r="L14">
        <f>IF(H14=0, 999, AB14/(H14/30))</f>
        <v/>
      </c>
      <c r="N14">
        <f>IFERROR(VLOOKUP(A14, RESEARCH!$A$4:$AS$5000, 13, FALSE), 0)</f>
        <v/>
      </c>
      <c r="O14">
        <f>MAX(0, ($L$2 * (H14/30)) - AB14)</f>
        <v/>
      </c>
      <c r="P14">
        <f>N14*O14</f>
        <v/>
      </c>
      <c r="X14">
        <f>IFERROR(VLOOKUP(A14, KEEPA!$A$4:$AW$5000, 26, FALSE), 0)</f>
        <v/>
      </c>
      <c r="Y14">
        <f>IF(X14=0,0,(X14-E14)/X14)</f>
        <v/>
      </c>
      <c r="Z14">
        <f>IFERROR(VLOOKUP(A14, KEEPA!$A$4:$AW$5000, 28, FALSE), 0)</f>
        <v/>
      </c>
      <c r="AA14">
        <f>IF(Z14=0,0,(Z14-E14)/Z14)</f>
        <v/>
      </c>
    </row>
    <row r="15">
      <c r="D15">
        <f>IFERROR(VLOOKUP(A15, RESEARCH!$A$4:$AS$5000, 14, FALSE), 0)</f>
        <v/>
      </c>
      <c r="E15">
        <f>IFERROR(VLOOKUP(A15, RESEARCH!$A$4:$AS$5000, 8, FALSE), 0)</f>
        <v/>
      </c>
      <c r="F15">
        <f>D15-N15</f>
        <v/>
      </c>
      <c r="G15">
        <f>IF(N15=0,0,F15/N15)</f>
        <v/>
      </c>
      <c r="H15">
        <f>IFERROR(VLOOKUP(A15, RESEARCH!$A$4:$AS$5000, 9, FALSE), 0)</f>
        <v/>
      </c>
      <c r="L15">
        <f>IF(H15=0, 999, AB15/(H15/30))</f>
        <v/>
      </c>
      <c r="N15">
        <f>IFERROR(VLOOKUP(A15, RESEARCH!$A$4:$AS$5000, 13, FALSE), 0)</f>
        <v/>
      </c>
      <c r="O15">
        <f>MAX(0, ($L$2 * (H15/30)) - AB15)</f>
        <v/>
      </c>
      <c r="P15">
        <f>N15*O15</f>
        <v/>
      </c>
      <c r="X15">
        <f>IFERROR(VLOOKUP(A15, KEEPA!$A$4:$AW$5000, 26, FALSE), 0)</f>
        <v/>
      </c>
      <c r="Y15">
        <f>IF(X15=0,0,(X15-E15)/X15)</f>
        <v/>
      </c>
      <c r="Z15">
        <f>IFERROR(VLOOKUP(A15, KEEPA!$A$4:$AW$5000, 28, FALSE), 0)</f>
        <v/>
      </c>
      <c r="AA15">
        <f>IF(Z15=0,0,(Z15-E15)/Z15)</f>
        <v/>
      </c>
    </row>
    <row r="16">
      <c r="D16">
        <f>IFERROR(VLOOKUP(A16, RESEARCH!$A$4:$AS$5000, 14, FALSE), 0)</f>
        <v/>
      </c>
      <c r="E16">
        <f>IFERROR(VLOOKUP(A16, RESEARCH!$A$4:$AS$5000, 8, FALSE), 0)</f>
        <v/>
      </c>
      <c r="F16">
        <f>D16-N16</f>
        <v/>
      </c>
      <c r="G16">
        <f>IF(N16=0,0,F16/N16)</f>
        <v/>
      </c>
      <c r="H16">
        <f>IFERROR(VLOOKUP(A16, RESEARCH!$A$4:$AS$5000, 9, FALSE), 0)</f>
        <v/>
      </c>
      <c r="L16">
        <f>IF(H16=0, 999, AB16/(H16/30))</f>
        <v/>
      </c>
      <c r="N16">
        <f>IFERROR(VLOOKUP(A16, RESEARCH!$A$4:$AS$5000, 13, FALSE), 0)</f>
        <v/>
      </c>
      <c r="O16">
        <f>MAX(0, ($L$2 * (H16/30)) - AB16)</f>
        <v/>
      </c>
      <c r="P16">
        <f>N16*O16</f>
        <v/>
      </c>
      <c r="X16">
        <f>IFERROR(VLOOKUP(A16, KEEPA!$A$4:$AW$5000, 26, FALSE), 0)</f>
        <v/>
      </c>
      <c r="Y16">
        <f>IF(X16=0,0,(X16-E16)/X16)</f>
        <v/>
      </c>
      <c r="Z16">
        <f>IFERROR(VLOOKUP(A16, KEEPA!$A$4:$AW$5000, 28, FALSE), 0)</f>
        <v/>
      </c>
      <c r="AA16">
        <f>IF(Z16=0,0,(Z16-E16)/Z16)</f>
        <v/>
      </c>
    </row>
    <row r="17">
      <c r="D17">
        <f>IFERROR(VLOOKUP(A17, RESEARCH!$A$4:$AS$5000, 14, FALSE), 0)</f>
        <v/>
      </c>
      <c r="E17">
        <f>IFERROR(VLOOKUP(A17, RESEARCH!$A$4:$AS$5000, 8, FALSE), 0)</f>
        <v/>
      </c>
      <c r="F17">
        <f>D17-N17</f>
        <v/>
      </c>
      <c r="G17">
        <f>IF(N17=0,0,F17/N17)</f>
        <v/>
      </c>
      <c r="H17">
        <f>IFERROR(VLOOKUP(A17, RESEARCH!$A$4:$AS$5000, 9, FALSE), 0)</f>
        <v/>
      </c>
      <c r="L17">
        <f>IF(H17=0, 999, AB17/(H17/30))</f>
        <v/>
      </c>
      <c r="N17">
        <f>IFERROR(VLOOKUP(A17, RESEARCH!$A$4:$AS$5000, 13, FALSE), 0)</f>
        <v/>
      </c>
      <c r="O17">
        <f>MAX(0, ($L$2 * (H17/30)) - AB17)</f>
        <v/>
      </c>
      <c r="P17">
        <f>N17*O17</f>
        <v/>
      </c>
      <c r="X17">
        <f>IFERROR(VLOOKUP(A17, KEEPA!$A$4:$AW$5000, 26, FALSE), 0)</f>
        <v/>
      </c>
      <c r="Y17">
        <f>IF(X17=0,0,(X17-E17)/X17)</f>
        <v/>
      </c>
      <c r="Z17">
        <f>IFERROR(VLOOKUP(A17, KEEPA!$A$4:$AW$5000, 28, FALSE), 0)</f>
        <v/>
      </c>
      <c r="AA17">
        <f>IF(Z17=0,0,(Z17-E17)/Z17)</f>
        <v/>
      </c>
    </row>
    <row r="18">
      <c r="D18">
        <f>IFERROR(VLOOKUP(A18, RESEARCH!$A$4:$AS$5000, 14, FALSE), 0)</f>
        <v/>
      </c>
      <c r="E18">
        <f>IFERROR(VLOOKUP(A18, RESEARCH!$A$4:$AS$5000, 8, FALSE), 0)</f>
        <v/>
      </c>
      <c r="F18">
        <f>D18-N18</f>
        <v/>
      </c>
      <c r="G18">
        <f>IF(N18=0,0,F18/N18)</f>
        <v/>
      </c>
      <c r="H18">
        <f>IFERROR(VLOOKUP(A18, RESEARCH!$A$4:$AS$5000, 9, FALSE), 0)</f>
        <v/>
      </c>
      <c r="L18">
        <f>IF(H18=0, 999, AB18/(H18/30))</f>
        <v/>
      </c>
      <c r="N18">
        <f>IFERROR(VLOOKUP(A18, RESEARCH!$A$4:$AS$5000, 13, FALSE), 0)</f>
        <v/>
      </c>
      <c r="O18">
        <f>MAX(0, ($L$2 * (H18/30)) - AB18)</f>
        <v/>
      </c>
      <c r="P18">
        <f>N18*O18</f>
        <v/>
      </c>
      <c r="X18">
        <f>IFERROR(VLOOKUP(A18, KEEPA!$A$4:$AW$5000, 26, FALSE), 0)</f>
        <v/>
      </c>
      <c r="Y18">
        <f>IF(X18=0,0,(X18-E18)/X18)</f>
        <v/>
      </c>
      <c r="Z18">
        <f>IFERROR(VLOOKUP(A18, KEEPA!$A$4:$AW$5000, 28, FALSE), 0)</f>
        <v/>
      </c>
      <c r="AA18">
        <f>IF(Z18=0,0,(Z18-E18)/Z18)</f>
        <v/>
      </c>
    </row>
    <row r="19">
      <c r="D19">
        <f>IFERROR(VLOOKUP(A19, RESEARCH!$A$4:$AS$5000, 14, FALSE), 0)</f>
        <v/>
      </c>
      <c r="E19">
        <f>IFERROR(VLOOKUP(A19, RESEARCH!$A$4:$AS$5000, 8, FALSE), 0)</f>
        <v/>
      </c>
      <c r="F19">
        <f>D19-N19</f>
        <v/>
      </c>
      <c r="G19">
        <f>IF(N19=0,0,F19/N19)</f>
        <v/>
      </c>
      <c r="H19">
        <f>IFERROR(VLOOKUP(A19, RESEARCH!$A$4:$AS$5000, 9, FALSE), 0)</f>
        <v/>
      </c>
      <c r="L19">
        <f>IF(H19=0, 999, AB19/(H19/30))</f>
        <v/>
      </c>
      <c r="N19">
        <f>IFERROR(VLOOKUP(A19, RESEARCH!$A$4:$AS$5000, 13, FALSE), 0)</f>
        <v/>
      </c>
      <c r="O19">
        <f>MAX(0, ($L$2 * (H19/30)) - AB19)</f>
        <v/>
      </c>
      <c r="P19">
        <f>N19*O19</f>
        <v/>
      </c>
      <c r="X19">
        <f>IFERROR(VLOOKUP(A19, KEEPA!$A$4:$AW$5000, 26, FALSE), 0)</f>
        <v/>
      </c>
      <c r="Y19">
        <f>IF(X19=0,0,(X19-E19)/X19)</f>
        <v/>
      </c>
      <c r="Z19">
        <f>IFERROR(VLOOKUP(A19, KEEPA!$A$4:$AW$5000, 28, FALSE), 0)</f>
        <v/>
      </c>
      <c r="AA19">
        <f>IF(Z19=0,0,(Z19-E19)/Z19)</f>
        <v/>
      </c>
    </row>
    <row r="20">
      <c r="D20">
        <f>IFERROR(VLOOKUP(A20, RESEARCH!$A$4:$AS$5000, 14, FALSE), 0)</f>
        <v/>
      </c>
      <c r="E20">
        <f>IFERROR(VLOOKUP(A20, RESEARCH!$A$4:$AS$5000, 8, FALSE), 0)</f>
        <v/>
      </c>
      <c r="F20">
        <f>D20-N20</f>
        <v/>
      </c>
      <c r="G20">
        <f>IF(N20=0,0,F20/N20)</f>
        <v/>
      </c>
      <c r="H20">
        <f>IFERROR(VLOOKUP(A20, RESEARCH!$A$4:$AS$5000, 9, FALSE), 0)</f>
        <v/>
      </c>
      <c r="L20">
        <f>IF(H20=0, 999, AB20/(H20/30))</f>
        <v/>
      </c>
      <c r="N20">
        <f>IFERROR(VLOOKUP(A20, RESEARCH!$A$4:$AS$5000, 13, FALSE), 0)</f>
        <v/>
      </c>
      <c r="O20">
        <f>MAX(0, ($L$2 * (H20/30)) - AB20)</f>
        <v/>
      </c>
      <c r="P20">
        <f>N20*O20</f>
        <v/>
      </c>
      <c r="X20">
        <f>IFERROR(VLOOKUP(A20, KEEPA!$A$4:$AW$5000, 26, FALSE), 0)</f>
        <v/>
      </c>
      <c r="Y20">
        <f>IF(X20=0,0,(X20-E20)/X20)</f>
        <v/>
      </c>
      <c r="Z20">
        <f>IFERROR(VLOOKUP(A20, KEEPA!$A$4:$AW$5000, 28, FALSE), 0)</f>
        <v/>
      </c>
      <c r="AA20">
        <f>IF(Z20=0,0,(Z20-E20)/Z20)</f>
        <v/>
      </c>
    </row>
    <row r="21">
      <c r="D21">
        <f>IFERROR(VLOOKUP(A21, RESEARCH!$A$4:$AS$5000, 14, FALSE), 0)</f>
        <v/>
      </c>
      <c r="E21">
        <f>IFERROR(VLOOKUP(A21, RESEARCH!$A$4:$AS$5000, 8, FALSE), 0)</f>
        <v/>
      </c>
      <c r="F21">
        <f>D21-N21</f>
        <v/>
      </c>
      <c r="G21">
        <f>IF(N21=0,0,F21/N21)</f>
        <v/>
      </c>
      <c r="H21">
        <f>IFERROR(VLOOKUP(A21, RESEARCH!$A$4:$AS$5000, 9, FALSE), 0)</f>
        <v/>
      </c>
      <c r="L21">
        <f>IF(H21=0, 999, AB21/(H21/30))</f>
        <v/>
      </c>
      <c r="N21">
        <f>IFERROR(VLOOKUP(A21, RESEARCH!$A$4:$AS$5000, 13, FALSE), 0)</f>
        <v/>
      </c>
      <c r="O21">
        <f>MAX(0, ($L$2 * (H21/30)) - AB21)</f>
        <v/>
      </c>
      <c r="P21">
        <f>N21*O21</f>
        <v/>
      </c>
      <c r="X21">
        <f>IFERROR(VLOOKUP(A21, KEEPA!$A$4:$AW$5000, 26, FALSE), 0)</f>
        <v/>
      </c>
      <c r="Y21">
        <f>IF(X21=0,0,(X21-E21)/X21)</f>
        <v/>
      </c>
      <c r="Z21">
        <f>IFERROR(VLOOKUP(A21, KEEPA!$A$4:$AW$5000, 28, FALSE), 0)</f>
        <v/>
      </c>
      <c r="AA21">
        <f>IF(Z21=0,0,(Z21-E21)/Z21)</f>
        <v/>
      </c>
    </row>
    <row r="22">
      <c r="D22">
        <f>IFERROR(VLOOKUP(A22, RESEARCH!$A$4:$AS$5000, 14, FALSE), 0)</f>
        <v/>
      </c>
      <c r="E22">
        <f>IFERROR(VLOOKUP(A22, RESEARCH!$A$4:$AS$5000, 8, FALSE), 0)</f>
        <v/>
      </c>
      <c r="F22">
        <f>D22-N22</f>
        <v/>
      </c>
      <c r="G22">
        <f>IF(N22=0,0,F22/N22)</f>
        <v/>
      </c>
      <c r="H22">
        <f>IFERROR(VLOOKUP(A22, RESEARCH!$A$4:$AS$5000, 9, FALSE), 0)</f>
        <v/>
      </c>
      <c r="L22">
        <f>IF(H22=0, 999, AB22/(H22/30))</f>
        <v/>
      </c>
      <c r="N22">
        <f>IFERROR(VLOOKUP(A22, RESEARCH!$A$4:$AS$5000, 13, FALSE), 0)</f>
        <v/>
      </c>
      <c r="O22">
        <f>MAX(0, ($L$2 * (H22/30)) - AB22)</f>
        <v/>
      </c>
      <c r="P22">
        <f>N22*O22</f>
        <v/>
      </c>
      <c r="X22">
        <f>IFERROR(VLOOKUP(A22, KEEPA!$A$4:$AW$5000, 26, FALSE), 0)</f>
        <v/>
      </c>
      <c r="Y22">
        <f>IF(X22=0,0,(X22-E22)/X22)</f>
        <v/>
      </c>
      <c r="Z22">
        <f>IFERROR(VLOOKUP(A22, KEEPA!$A$4:$AW$5000, 28, FALSE), 0)</f>
        <v/>
      </c>
      <c r="AA22">
        <f>IF(Z22=0,0,(Z22-E22)/Z22)</f>
        <v/>
      </c>
    </row>
    <row r="23">
      <c r="D23">
        <f>IFERROR(VLOOKUP(A23, RESEARCH!$A$4:$AS$5000, 14, FALSE), 0)</f>
        <v/>
      </c>
      <c r="E23">
        <f>IFERROR(VLOOKUP(A23, RESEARCH!$A$4:$AS$5000, 8, FALSE), 0)</f>
        <v/>
      </c>
      <c r="F23">
        <f>D23-N23</f>
        <v/>
      </c>
      <c r="G23">
        <f>IF(N23=0,0,F23/N23)</f>
        <v/>
      </c>
      <c r="H23">
        <f>IFERROR(VLOOKUP(A23, RESEARCH!$A$4:$AS$5000, 9, FALSE), 0)</f>
        <v/>
      </c>
      <c r="L23">
        <f>IF(H23=0, 999, AB23/(H23/30))</f>
        <v/>
      </c>
      <c r="N23">
        <f>IFERROR(VLOOKUP(A23, RESEARCH!$A$4:$AS$5000, 13, FALSE), 0)</f>
        <v/>
      </c>
      <c r="O23">
        <f>MAX(0, ($L$2 * (H23/30)) - AB23)</f>
        <v/>
      </c>
      <c r="P23">
        <f>N23*O23</f>
        <v/>
      </c>
      <c r="X23">
        <f>IFERROR(VLOOKUP(A23, KEEPA!$A$4:$AW$5000, 26, FALSE), 0)</f>
        <v/>
      </c>
      <c r="Y23">
        <f>IF(X23=0,0,(X23-E23)/X23)</f>
        <v/>
      </c>
      <c r="Z23">
        <f>IFERROR(VLOOKUP(A23, KEEPA!$A$4:$AW$5000, 28, FALSE), 0)</f>
        <v/>
      </c>
      <c r="AA23">
        <f>IF(Z23=0,0,(Z23-E23)/Z23)</f>
        <v/>
      </c>
    </row>
    <row r="24">
      <c r="D24">
        <f>IFERROR(VLOOKUP(A24, RESEARCH!$A$4:$AS$5000, 14, FALSE), 0)</f>
        <v/>
      </c>
      <c r="E24">
        <f>IFERROR(VLOOKUP(A24, RESEARCH!$A$4:$AS$5000, 8, FALSE), 0)</f>
        <v/>
      </c>
      <c r="F24">
        <f>D24-N24</f>
        <v/>
      </c>
      <c r="G24">
        <f>IF(N24=0,0,F24/N24)</f>
        <v/>
      </c>
      <c r="H24">
        <f>IFERROR(VLOOKUP(A24, RESEARCH!$A$4:$AS$5000, 9, FALSE), 0)</f>
        <v/>
      </c>
      <c r="L24">
        <f>IF(H24=0, 999, AB24/(H24/30))</f>
        <v/>
      </c>
      <c r="N24">
        <f>IFERROR(VLOOKUP(A24, RESEARCH!$A$4:$AS$5000, 13, FALSE), 0)</f>
        <v/>
      </c>
      <c r="O24">
        <f>MAX(0, ($L$2 * (H24/30)) - AB24)</f>
        <v/>
      </c>
      <c r="P24">
        <f>N24*O24</f>
        <v/>
      </c>
      <c r="X24">
        <f>IFERROR(VLOOKUP(A24, KEEPA!$A$4:$AW$5000, 26, FALSE), 0)</f>
        <v/>
      </c>
      <c r="Y24">
        <f>IF(X24=0,0,(X24-E24)/X24)</f>
        <v/>
      </c>
      <c r="Z24">
        <f>IFERROR(VLOOKUP(A24, KEEPA!$A$4:$AW$5000, 28, FALSE), 0)</f>
        <v/>
      </c>
      <c r="AA24">
        <f>IF(Z24=0,0,(Z24-E24)/Z24)</f>
        <v/>
      </c>
    </row>
    <row r="25">
      <c r="D25">
        <f>IFERROR(VLOOKUP(A25, RESEARCH!$A$4:$AS$5000, 14, FALSE), 0)</f>
        <v/>
      </c>
      <c r="E25">
        <f>IFERROR(VLOOKUP(A25, RESEARCH!$A$4:$AS$5000, 8, FALSE), 0)</f>
        <v/>
      </c>
      <c r="F25">
        <f>D25-N25</f>
        <v/>
      </c>
      <c r="G25">
        <f>IF(N25=0,0,F25/N25)</f>
        <v/>
      </c>
      <c r="H25">
        <f>IFERROR(VLOOKUP(A25, RESEARCH!$A$4:$AS$5000, 9, FALSE), 0)</f>
        <v/>
      </c>
      <c r="L25">
        <f>IF(H25=0, 999, AB25/(H25/30))</f>
        <v/>
      </c>
      <c r="N25">
        <f>IFERROR(VLOOKUP(A25, RESEARCH!$A$4:$AS$5000, 13, FALSE), 0)</f>
        <v/>
      </c>
      <c r="O25">
        <f>MAX(0, ($L$2 * (H25/30)) - AB25)</f>
        <v/>
      </c>
      <c r="P25">
        <f>N25*O25</f>
        <v/>
      </c>
      <c r="X25">
        <f>IFERROR(VLOOKUP(A25, KEEPA!$A$4:$AW$5000, 26, FALSE), 0)</f>
        <v/>
      </c>
      <c r="Y25">
        <f>IF(X25=0,0,(X25-E25)/X25)</f>
        <v/>
      </c>
      <c r="Z25">
        <f>IFERROR(VLOOKUP(A25, KEEPA!$A$4:$AW$5000, 28, FALSE), 0)</f>
        <v/>
      </c>
      <c r="AA25">
        <f>IF(Z25=0,0,(Z25-E25)/Z25)</f>
        <v/>
      </c>
    </row>
    <row r="26">
      <c r="D26">
        <f>IFERROR(VLOOKUP(A26, RESEARCH!$A$4:$AS$5000, 14, FALSE), 0)</f>
        <v/>
      </c>
      <c r="E26">
        <f>IFERROR(VLOOKUP(A26, RESEARCH!$A$4:$AS$5000, 8, FALSE), 0)</f>
        <v/>
      </c>
      <c r="F26">
        <f>D26-N26</f>
        <v/>
      </c>
      <c r="G26">
        <f>IF(N26=0,0,F26/N26)</f>
        <v/>
      </c>
      <c r="H26">
        <f>IFERROR(VLOOKUP(A26, RESEARCH!$A$4:$AS$5000, 9, FALSE), 0)</f>
        <v/>
      </c>
      <c r="L26">
        <f>IF(H26=0, 999, AB26/(H26/30))</f>
        <v/>
      </c>
      <c r="N26">
        <f>IFERROR(VLOOKUP(A26, RESEARCH!$A$4:$AS$5000, 13, FALSE), 0)</f>
        <v/>
      </c>
      <c r="O26">
        <f>MAX(0, ($L$2 * (H26/30)) - AB26)</f>
        <v/>
      </c>
      <c r="P26">
        <f>N26*O26</f>
        <v/>
      </c>
      <c r="X26">
        <f>IFERROR(VLOOKUP(A26, KEEPA!$A$4:$AW$5000, 26, FALSE), 0)</f>
        <v/>
      </c>
      <c r="Y26">
        <f>IF(X26=0,0,(X26-E26)/X26)</f>
        <v/>
      </c>
      <c r="Z26">
        <f>IFERROR(VLOOKUP(A26, KEEPA!$A$4:$AW$5000, 28, FALSE), 0)</f>
        <v/>
      </c>
      <c r="AA26">
        <f>IF(Z26=0,0,(Z26-E26)/Z26)</f>
        <v/>
      </c>
    </row>
    <row r="27">
      <c r="D27">
        <f>IFERROR(VLOOKUP(A27, RESEARCH!$A$4:$AS$5000, 14, FALSE), 0)</f>
        <v/>
      </c>
      <c r="E27">
        <f>IFERROR(VLOOKUP(A27, RESEARCH!$A$4:$AS$5000, 8, FALSE), 0)</f>
        <v/>
      </c>
      <c r="F27">
        <f>D27-N27</f>
        <v/>
      </c>
      <c r="G27">
        <f>IF(N27=0,0,F27/N27)</f>
        <v/>
      </c>
      <c r="H27">
        <f>IFERROR(VLOOKUP(A27, RESEARCH!$A$4:$AS$5000, 9, FALSE), 0)</f>
        <v/>
      </c>
      <c r="L27">
        <f>IF(H27=0, 999, AB27/(H27/30))</f>
        <v/>
      </c>
      <c r="N27">
        <f>IFERROR(VLOOKUP(A27, RESEARCH!$A$4:$AS$5000, 13, FALSE), 0)</f>
        <v/>
      </c>
      <c r="O27">
        <f>MAX(0, ($L$2 * (H27/30)) - AB27)</f>
        <v/>
      </c>
      <c r="P27">
        <f>N27*O27</f>
        <v/>
      </c>
      <c r="X27">
        <f>IFERROR(VLOOKUP(A27, KEEPA!$A$4:$AW$5000, 26, FALSE), 0)</f>
        <v/>
      </c>
      <c r="Y27">
        <f>IF(X27=0,0,(X27-E27)/X27)</f>
        <v/>
      </c>
      <c r="Z27">
        <f>IFERROR(VLOOKUP(A27, KEEPA!$A$4:$AW$5000, 28, FALSE), 0)</f>
        <v/>
      </c>
      <c r="AA27">
        <f>IF(Z27=0,0,(Z27-E27)/Z27)</f>
        <v/>
      </c>
    </row>
    <row r="28">
      <c r="D28">
        <f>IFERROR(VLOOKUP(A28, RESEARCH!$A$4:$AS$5000, 14, FALSE), 0)</f>
        <v/>
      </c>
      <c r="E28">
        <f>IFERROR(VLOOKUP(A28, RESEARCH!$A$4:$AS$5000, 8, FALSE), 0)</f>
        <v/>
      </c>
      <c r="F28">
        <f>D28-N28</f>
        <v/>
      </c>
      <c r="G28">
        <f>IF(N28=0,0,F28/N28)</f>
        <v/>
      </c>
      <c r="H28">
        <f>IFERROR(VLOOKUP(A28, RESEARCH!$A$4:$AS$5000, 9, FALSE), 0)</f>
        <v/>
      </c>
      <c r="L28">
        <f>IF(H28=0, 999, AB28/(H28/30))</f>
        <v/>
      </c>
      <c r="N28">
        <f>IFERROR(VLOOKUP(A28, RESEARCH!$A$4:$AS$5000, 13, FALSE), 0)</f>
        <v/>
      </c>
      <c r="O28">
        <f>MAX(0, ($L$2 * (H28/30)) - AB28)</f>
        <v/>
      </c>
      <c r="P28">
        <f>N28*O28</f>
        <v/>
      </c>
      <c r="X28">
        <f>IFERROR(VLOOKUP(A28, KEEPA!$A$4:$AW$5000, 26, FALSE), 0)</f>
        <v/>
      </c>
      <c r="Y28">
        <f>IF(X28=0,0,(X28-E28)/X28)</f>
        <v/>
      </c>
      <c r="Z28">
        <f>IFERROR(VLOOKUP(A28, KEEPA!$A$4:$AW$5000, 28, FALSE), 0)</f>
        <v/>
      </c>
      <c r="AA28">
        <f>IF(Z28=0,0,(Z28-E28)/Z28)</f>
        <v/>
      </c>
    </row>
    <row r="29">
      <c r="D29">
        <f>IFERROR(VLOOKUP(A29, RESEARCH!$A$4:$AS$5000, 14, FALSE), 0)</f>
        <v/>
      </c>
      <c r="E29">
        <f>IFERROR(VLOOKUP(A29, RESEARCH!$A$4:$AS$5000, 8, FALSE), 0)</f>
        <v/>
      </c>
      <c r="F29">
        <f>D29-N29</f>
        <v/>
      </c>
      <c r="G29">
        <f>IF(N29=0,0,F29/N29)</f>
        <v/>
      </c>
      <c r="H29">
        <f>IFERROR(VLOOKUP(A29, RESEARCH!$A$4:$AS$5000, 9, FALSE), 0)</f>
        <v/>
      </c>
      <c r="L29">
        <f>IF(H29=0, 999, AB29/(H29/30))</f>
        <v/>
      </c>
      <c r="N29">
        <f>IFERROR(VLOOKUP(A29, RESEARCH!$A$4:$AS$5000, 13, FALSE), 0)</f>
        <v/>
      </c>
      <c r="O29">
        <f>MAX(0, ($L$2 * (H29/30)) - AB29)</f>
        <v/>
      </c>
      <c r="P29">
        <f>N29*O29</f>
        <v/>
      </c>
      <c r="X29">
        <f>IFERROR(VLOOKUP(A29, KEEPA!$A$4:$AW$5000, 26, FALSE), 0)</f>
        <v/>
      </c>
      <c r="Y29">
        <f>IF(X29=0,0,(X29-E29)/X29)</f>
        <v/>
      </c>
      <c r="Z29">
        <f>IFERROR(VLOOKUP(A29, KEEPA!$A$4:$AW$5000, 28, FALSE), 0)</f>
        <v/>
      </c>
      <c r="AA29">
        <f>IF(Z29=0,0,(Z29-E29)/Z29)</f>
        <v/>
      </c>
    </row>
    <row r="30">
      <c r="D30">
        <f>IFERROR(VLOOKUP(A30, RESEARCH!$A$4:$AS$5000, 14, FALSE), 0)</f>
        <v/>
      </c>
      <c r="E30">
        <f>IFERROR(VLOOKUP(A30, RESEARCH!$A$4:$AS$5000, 8, FALSE), 0)</f>
        <v/>
      </c>
      <c r="F30">
        <f>D30-N30</f>
        <v/>
      </c>
      <c r="G30">
        <f>IF(N30=0,0,F30/N30)</f>
        <v/>
      </c>
      <c r="H30">
        <f>IFERROR(VLOOKUP(A30, RESEARCH!$A$4:$AS$5000, 9, FALSE), 0)</f>
        <v/>
      </c>
      <c r="L30">
        <f>IF(H30=0, 999, AB30/(H30/30))</f>
        <v/>
      </c>
      <c r="N30">
        <f>IFERROR(VLOOKUP(A30, RESEARCH!$A$4:$AS$5000, 13, FALSE), 0)</f>
        <v/>
      </c>
      <c r="O30">
        <f>MAX(0, ($L$2 * (H30/30)) - AB30)</f>
        <v/>
      </c>
      <c r="P30">
        <f>N30*O30</f>
        <v/>
      </c>
      <c r="X30">
        <f>IFERROR(VLOOKUP(A30, KEEPA!$A$4:$AW$5000, 26, FALSE), 0)</f>
        <v/>
      </c>
      <c r="Y30">
        <f>IF(X30=0,0,(X30-E30)/X30)</f>
        <v/>
      </c>
      <c r="Z30">
        <f>IFERROR(VLOOKUP(A30, KEEPA!$A$4:$AW$5000, 28, FALSE), 0)</f>
        <v/>
      </c>
      <c r="AA30">
        <f>IF(Z30=0,0,(Z30-E30)/Z30)</f>
        <v/>
      </c>
    </row>
    <row r="31">
      <c r="D31">
        <f>IFERROR(VLOOKUP(A31, RESEARCH!$A$4:$AS$5000, 14, FALSE), 0)</f>
        <v/>
      </c>
      <c r="E31">
        <f>IFERROR(VLOOKUP(A31, RESEARCH!$A$4:$AS$5000, 8, FALSE), 0)</f>
        <v/>
      </c>
      <c r="F31">
        <f>D31-N31</f>
        <v/>
      </c>
      <c r="G31">
        <f>IF(N31=0,0,F31/N31)</f>
        <v/>
      </c>
      <c r="H31">
        <f>IFERROR(VLOOKUP(A31, RESEARCH!$A$4:$AS$5000, 9, FALSE), 0)</f>
        <v/>
      </c>
      <c r="L31">
        <f>IF(H31=0, 999, AB31/(H31/30))</f>
        <v/>
      </c>
      <c r="N31">
        <f>IFERROR(VLOOKUP(A31, RESEARCH!$A$4:$AS$5000, 13, FALSE), 0)</f>
        <v/>
      </c>
      <c r="O31">
        <f>MAX(0, ($L$2 * (H31/30)) - AB31)</f>
        <v/>
      </c>
      <c r="P31">
        <f>N31*O31</f>
        <v/>
      </c>
      <c r="X31">
        <f>IFERROR(VLOOKUP(A31, KEEPA!$A$4:$AW$5000, 26, FALSE), 0)</f>
        <v/>
      </c>
      <c r="Y31">
        <f>IF(X31=0,0,(X31-E31)/X31)</f>
        <v/>
      </c>
      <c r="Z31">
        <f>IFERROR(VLOOKUP(A31, KEEPA!$A$4:$AW$5000, 28, FALSE), 0)</f>
        <v/>
      </c>
      <c r="AA31">
        <f>IF(Z31=0,0,(Z31-E31)/Z31)</f>
        <v/>
      </c>
    </row>
    <row r="32">
      <c r="D32">
        <f>IFERROR(VLOOKUP(A32, RESEARCH!$A$4:$AS$5000, 14, FALSE), 0)</f>
        <v/>
      </c>
      <c r="E32">
        <f>IFERROR(VLOOKUP(A32, RESEARCH!$A$4:$AS$5000, 8, FALSE), 0)</f>
        <v/>
      </c>
      <c r="F32">
        <f>D32-N32</f>
        <v/>
      </c>
      <c r="G32">
        <f>IF(N32=0,0,F32/N32)</f>
        <v/>
      </c>
      <c r="H32">
        <f>IFERROR(VLOOKUP(A32, RESEARCH!$A$4:$AS$5000, 9, FALSE), 0)</f>
        <v/>
      </c>
      <c r="L32">
        <f>IF(H32=0, 999, AB32/(H32/30))</f>
        <v/>
      </c>
      <c r="N32">
        <f>IFERROR(VLOOKUP(A32, RESEARCH!$A$4:$AS$5000, 13, FALSE), 0)</f>
        <v/>
      </c>
      <c r="O32">
        <f>MAX(0, ($L$2 * (H32/30)) - AB32)</f>
        <v/>
      </c>
      <c r="P32">
        <f>N32*O32</f>
        <v/>
      </c>
      <c r="X32">
        <f>IFERROR(VLOOKUP(A32, KEEPA!$A$4:$AW$5000, 26, FALSE), 0)</f>
        <v/>
      </c>
      <c r="Y32">
        <f>IF(X32=0,0,(X32-E32)/X32)</f>
        <v/>
      </c>
      <c r="Z32">
        <f>IFERROR(VLOOKUP(A32, KEEPA!$A$4:$AW$5000, 28, FALSE), 0)</f>
        <v/>
      </c>
      <c r="AA32">
        <f>IF(Z32=0,0,(Z32-E32)/Z32)</f>
        <v/>
      </c>
    </row>
    <row r="33">
      <c r="D33">
        <f>IFERROR(VLOOKUP(A33, RESEARCH!$A$4:$AS$5000, 14, FALSE), 0)</f>
        <v/>
      </c>
      <c r="E33">
        <f>IFERROR(VLOOKUP(A33, RESEARCH!$A$4:$AS$5000, 8, FALSE), 0)</f>
        <v/>
      </c>
      <c r="F33">
        <f>D33-N33</f>
        <v/>
      </c>
      <c r="G33">
        <f>IF(N33=0,0,F33/N33)</f>
        <v/>
      </c>
      <c r="H33">
        <f>IFERROR(VLOOKUP(A33, RESEARCH!$A$4:$AS$5000, 9, FALSE), 0)</f>
        <v/>
      </c>
      <c r="L33">
        <f>IF(H33=0, 999, AB33/(H33/30))</f>
        <v/>
      </c>
      <c r="N33">
        <f>IFERROR(VLOOKUP(A33, RESEARCH!$A$4:$AS$5000, 13, FALSE), 0)</f>
        <v/>
      </c>
      <c r="O33">
        <f>MAX(0, ($L$2 * (H33/30)) - AB33)</f>
        <v/>
      </c>
      <c r="P33">
        <f>N33*O33</f>
        <v/>
      </c>
      <c r="X33">
        <f>IFERROR(VLOOKUP(A33, KEEPA!$A$4:$AW$5000, 26, FALSE), 0)</f>
        <v/>
      </c>
      <c r="Y33">
        <f>IF(X33=0,0,(X33-E33)/X33)</f>
        <v/>
      </c>
      <c r="Z33">
        <f>IFERROR(VLOOKUP(A33, KEEPA!$A$4:$AW$5000, 28, FALSE), 0)</f>
        <v/>
      </c>
      <c r="AA33">
        <f>IF(Z33=0,0,(Z33-E33)/Z33)</f>
        <v/>
      </c>
    </row>
    <row r="34">
      <c r="D34">
        <f>IFERROR(VLOOKUP(A34, RESEARCH!$A$4:$AS$5000, 14, FALSE), 0)</f>
        <v/>
      </c>
      <c r="E34">
        <f>IFERROR(VLOOKUP(A34, RESEARCH!$A$4:$AS$5000, 8, FALSE), 0)</f>
        <v/>
      </c>
      <c r="F34">
        <f>D34-N34</f>
        <v/>
      </c>
      <c r="G34">
        <f>IF(N34=0,0,F34/N34)</f>
        <v/>
      </c>
      <c r="H34">
        <f>IFERROR(VLOOKUP(A34, RESEARCH!$A$4:$AS$5000, 9, FALSE), 0)</f>
        <v/>
      </c>
      <c r="L34">
        <f>IF(H34=0, 999, AB34/(H34/30))</f>
        <v/>
      </c>
      <c r="N34">
        <f>IFERROR(VLOOKUP(A34, RESEARCH!$A$4:$AS$5000, 13, FALSE), 0)</f>
        <v/>
      </c>
      <c r="O34">
        <f>MAX(0, ($L$2 * (H34/30)) - AB34)</f>
        <v/>
      </c>
      <c r="P34">
        <f>N34*O34</f>
        <v/>
      </c>
      <c r="X34">
        <f>IFERROR(VLOOKUP(A34, KEEPA!$A$4:$AW$5000, 26, FALSE), 0)</f>
        <v/>
      </c>
      <c r="Y34">
        <f>IF(X34=0,0,(X34-E34)/X34)</f>
        <v/>
      </c>
      <c r="Z34">
        <f>IFERROR(VLOOKUP(A34, KEEPA!$A$4:$AW$5000, 28, FALSE), 0)</f>
        <v/>
      </c>
      <c r="AA34">
        <f>IF(Z34=0,0,(Z34-E34)/Z34)</f>
        <v/>
      </c>
    </row>
    <row r="35">
      <c r="D35">
        <f>IFERROR(VLOOKUP(A35, RESEARCH!$A$4:$AS$5000, 14, FALSE), 0)</f>
        <v/>
      </c>
      <c r="E35">
        <f>IFERROR(VLOOKUP(A35, RESEARCH!$A$4:$AS$5000, 8, FALSE), 0)</f>
        <v/>
      </c>
      <c r="F35">
        <f>D35-N35</f>
        <v/>
      </c>
      <c r="G35">
        <f>IF(N35=0,0,F35/N35)</f>
        <v/>
      </c>
      <c r="H35">
        <f>IFERROR(VLOOKUP(A35, RESEARCH!$A$4:$AS$5000, 9, FALSE), 0)</f>
        <v/>
      </c>
      <c r="L35">
        <f>IF(H35=0, 999, AB35/(H35/30))</f>
        <v/>
      </c>
      <c r="N35">
        <f>IFERROR(VLOOKUP(A35, RESEARCH!$A$4:$AS$5000, 13, FALSE), 0)</f>
        <v/>
      </c>
      <c r="O35">
        <f>MAX(0, ($L$2 * (H35/30)) - AB35)</f>
        <v/>
      </c>
      <c r="P35">
        <f>N35*O35</f>
        <v/>
      </c>
      <c r="X35">
        <f>IFERROR(VLOOKUP(A35, KEEPA!$A$4:$AW$5000, 26, FALSE), 0)</f>
        <v/>
      </c>
      <c r="Y35">
        <f>IF(X35=0,0,(X35-E35)/X35)</f>
        <v/>
      </c>
      <c r="Z35">
        <f>IFERROR(VLOOKUP(A35, KEEPA!$A$4:$AW$5000, 28, FALSE), 0)</f>
        <v/>
      </c>
      <c r="AA35">
        <f>IF(Z35=0,0,(Z35-E35)/Z35)</f>
        <v/>
      </c>
    </row>
    <row r="36">
      <c r="D36">
        <f>IFERROR(VLOOKUP(A36, RESEARCH!$A$4:$AS$5000, 14, FALSE), 0)</f>
        <v/>
      </c>
      <c r="E36">
        <f>IFERROR(VLOOKUP(A36, RESEARCH!$A$4:$AS$5000, 8, FALSE), 0)</f>
        <v/>
      </c>
      <c r="F36">
        <f>D36-N36</f>
        <v/>
      </c>
      <c r="G36">
        <f>IF(N36=0,0,F36/N36)</f>
        <v/>
      </c>
      <c r="H36">
        <f>IFERROR(VLOOKUP(A36, RESEARCH!$A$4:$AS$5000, 9, FALSE), 0)</f>
        <v/>
      </c>
      <c r="L36">
        <f>IF(H36=0, 999, AB36/(H36/30))</f>
        <v/>
      </c>
      <c r="N36">
        <f>IFERROR(VLOOKUP(A36, RESEARCH!$A$4:$AS$5000, 13, FALSE), 0)</f>
        <v/>
      </c>
      <c r="O36">
        <f>MAX(0, ($L$2 * (H36/30)) - AB36)</f>
        <v/>
      </c>
      <c r="P36">
        <f>N36*O36</f>
        <v/>
      </c>
      <c r="X36">
        <f>IFERROR(VLOOKUP(A36, KEEPA!$A$4:$AW$5000, 26, FALSE), 0)</f>
        <v/>
      </c>
      <c r="Y36">
        <f>IF(X36=0,0,(X36-E36)/X36)</f>
        <v/>
      </c>
      <c r="Z36">
        <f>IFERROR(VLOOKUP(A36, KEEPA!$A$4:$AW$5000, 28, FALSE), 0)</f>
        <v/>
      </c>
      <c r="AA36">
        <f>IF(Z36=0,0,(Z36-E36)/Z36)</f>
        <v/>
      </c>
    </row>
    <row r="37">
      <c r="D37">
        <f>IFERROR(VLOOKUP(A37, RESEARCH!$A$4:$AS$5000, 14, FALSE), 0)</f>
        <v/>
      </c>
      <c r="E37">
        <f>IFERROR(VLOOKUP(A37, RESEARCH!$A$4:$AS$5000, 8, FALSE), 0)</f>
        <v/>
      </c>
      <c r="F37">
        <f>D37-N37</f>
        <v/>
      </c>
      <c r="G37">
        <f>IF(N37=0,0,F37/N37)</f>
        <v/>
      </c>
      <c r="H37">
        <f>IFERROR(VLOOKUP(A37, RESEARCH!$A$4:$AS$5000, 9, FALSE), 0)</f>
        <v/>
      </c>
      <c r="L37">
        <f>IF(H37=0, 999, AB37/(H37/30))</f>
        <v/>
      </c>
      <c r="N37">
        <f>IFERROR(VLOOKUP(A37, RESEARCH!$A$4:$AS$5000, 13, FALSE), 0)</f>
        <v/>
      </c>
      <c r="O37">
        <f>MAX(0, ($L$2 * (H37/30)) - AB37)</f>
        <v/>
      </c>
      <c r="P37">
        <f>N37*O37</f>
        <v/>
      </c>
      <c r="X37">
        <f>IFERROR(VLOOKUP(A37, KEEPA!$A$4:$AW$5000, 26, FALSE), 0)</f>
        <v/>
      </c>
      <c r="Y37">
        <f>IF(X37=0,0,(X37-E37)/X37)</f>
        <v/>
      </c>
      <c r="Z37">
        <f>IFERROR(VLOOKUP(A37, KEEPA!$A$4:$AW$5000, 28, FALSE), 0)</f>
        <v/>
      </c>
      <c r="AA37">
        <f>IF(Z37=0,0,(Z37-E37)/Z37)</f>
        <v/>
      </c>
    </row>
    <row r="38">
      <c r="D38">
        <f>IFERROR(VLOOKUP(A38, RESEARCH!$A$4:$AS$5000, 14, FALSE), 0)</f>
        <v/>
      </c>
      <c r="E38">
        <f>IFERROR(VLOOKUP(A38, RESEARCH!$A$4:$AS$5000, 8, FALSE), 0)</f>
        <v/>
      </c>
      <c r="F38">
        <f>D38-N38</f>
        <v/>
      </c>
      <c r="G38">
        <f>IF(N38=0,0,F38/N38)</f>
        <v/>
      </c>
      <c r="H38">
        <f>IFERROR(VLOOKUP(A38, RESEARCH!$A$4:$AS$5000, 9, FALSE), 0)</f>
        <v/>
      </c>
      <c r="L38">
        <f>IF(H38=0, 999, AB38/(H38/30))</f>
        <v/>
      </c>
      <c r="N38">
        <f>IFERROR(VLOOKUP(A38, RESEARCH!$A$4:$AS$5000, 13, FALSE), 0)</f>
        <v/>
      </c>
      <c r="O38">
        <f>MAX(0, ($L$2 * (H38/30)) - AB38)</f>
        <v/>
      </c>
      <c r="P38">
        <f>N38*O38</f>
        <v/>
      </c>
      <c r="X38">
        <f>IFERROR(VLOOKUP(A38, KEEPA!$A$4:$AW$5000, 26, FALSE), 0)</f>
        <v/>
      </c>
      <c r="Y38">
        <f>IF(X38=0,0,(X38-E38)/X38)</f>
        <v/>
      </c>
      <c r="Z38">
        <f>IFERROR(VLOOKUP(A38, KEEPA!$A$4:$AW$5000, 28, FALSE), 0)</f>
        <v/>
      </c>
      <c r="AA38">
        <f>IF(Z38=0,0,(Z38-E38)/Z38)</f>
        <v/>
      </c>
    </row>
    <row r="39">
      <c r="D39">
        <f>IFERROR(VLOOKUP(A39, RESEARCH!$A$4:$AS$5000, 14, FALSE), 0)</f>
        <v/>
      </c>
      <c r="E39">
        <f>IFERROR(VLOOKUP(A39, RESEARCH!$A$4:$AS$5000, 8, FALSE), 0)</f>
        <v/>
      </c>
      <c r="F39">
        <f>D39-N39</f>
        <v/>
      </c>
      <c r="G39">
        <f>IF(N39=0,0,F39/N39)</f>
        <v/>
      </c>
      <c r="H39">
        <f>IFERROR(VLOOKUP(A39, RESEARCH!$A$4:$AS$5000, 9, FALSE), 0)</f>
        <v/>
      </c>
      <c r="L39">
        <f>IF(H39=0, 999, AB39/(H39/30))</f>
        <v/>
      </c>
      <c r="N39">
        <f>IFERROR(VLOOKUP(A39, RESEARCH!$A$4:$AS$5000, 13, FALSE), 0)</f>
        <v/>
      </c>
      <c r="O39">
        <f>MAX(0, ($L$2 * (H39/30)) - AB39)</f>
        <v/>
      </c>
      <c r="P39">
        <f>N39*O39</f>
        <v/>
      </c>
      <c r="X39">
        <f>IFERROR(VLOOKUP(A39, KEEPA!$A$4:$AW$5000, 26, FALSE), 0)</f>
        <v/>
      </c>
      <c r="Y39">
        <f>IF(X39=0,0,(X39-E39)/X39)</f>
        <v/>
      </c>
      <c r="Z39">
        <f>IFERROR(VLOOKUP(A39, KEEPA!$A$4:$AW$5000, 28, FALSE), 0)</f>
        <v/>
      </c>
      <c r="AA39">
        <f>IF(Z39=0,0,(Z39-E39)/Z39)</f>
        <v/>
      </c>
    </row>
    <row r="40">
      <c r="D40">
        <f>IFERROR(VLOOKUP(A40, RESEARCH!$A$4:$AS$5000, 14, FALSE), 0)</f>
        <v/>
      </c>
      <c r="E40">
        <f>IFERROR(VLOOKUP(A40, RESEARCH!$A$4:$AS$5000, 8, FALSE), 0)</f>
        <v/>
      </c>
      <c r="F40">
        <f>D40-N40</f>
        <v/>
      </c>
      <c r="G40">
        <f>IF(N40=0,0,F40/N40)</f>
        <v/>
      </c>
      <c r="H40">
        <f>IFERROR(VLOOKUP(A40, RESEARCH!$A$4:$AS$5000, 9, FALSE), 0)</f>
        <v/>
      </c>
      <c r="L40">
        <f>IF(H40=0, 999, AB40/(H40/30))</f>
        <v/>
      </c>
      <c r="N40">
        <f>IFERROR(VLOOKUP(A40, RESEARCH!$A$4:$AS$5000, 13, FALSE), 0)</f>
        <v/>
      </c>
      <c r="O40">
        <f>MAX(0, ($L$2 * (H40/30)) - AB40)</f>
        <v/>
      </c>
      <c r="P40">
        <f>N40*O40</f>
        <v/>
      </c>
      <c r="X40">
        <f>IFERROR(VLOOKUP(A40, KEEPA!$A$4:$AW$5000, 26, FALSE), 0)</f>
        <v/>
      </c>
      <c r="Y40">
        <f>IF(X40=0,0,(X40-E40)/X40)</f>
        <v/>
      </c>
      <c r="Z40">
        <f>IFERROR(VLOOKUP(A40, KEEPA!$A$4:$AW$5000, 28, FALSE), 0)</f>
        <v/>
      </c>
      <c r="AA40">
        <f>IF(Z40=0,0,(Z40-E40)/Z40)</f>
        <v/>
      </c>
    </row>
    <row r="41">
      <c r="D41">
        <f>IFERROR(VLOOKUP(A41, RESEARCH!$A$4:$AS$5000, 14, FALSE), 0)</f>
        <v/>
      </c>
      <c r="E41">
        <f>IFERROR(VLOOKUP(A41, RESEARCH!$A$4:$AS$5000, 8, FALSE), 0)</f>
        <v/>
      </c>
      <c r="F41">
        <f>D41-N41</f>
        <v/>
      </c>
      <c r="G41">
        <f>IF(N41=0,0,F41/N41)</f>
        <v/>
      </c>
      <c r="H41">
        <f>IFERROR(VLOOKUP(A41, RESEARCH!$A$4:$AS$5000, 9, FALSE), 0)</f>
        <v/>
      </c>
      <c r="L41">
        <f>IF(H41=0, 999, AB41/(H41/30))</f>
        <v/>
      </c>
      <c r="N41">
        <f>IFERROR(VLOOKUP(A41, RESEARCH!$A$4:$AS$5000, 13, FALSE), 0)</f>
        <v/>
      </c>
      <c r="O41">
        <f>MAX(0, ($L$2 * (H41/30)) - AB41)</f>
        <v/>
      </c>
      <c r="P41">
        <f>N41*O41</f>
        <v/>
      </c>
      <c r="X41">
        <f>IFERROR(VLOOKUP(A41, KEEPA!$A$4:$AW$5000, 26, FALSE), 0)</f>
        <v/>
      </c>
      <c r="Y41">
        <f>IF(X41=0,0,(X41-E41)/X41)</f>
        <v/>
      </c>
      <c r="Z41">
        <f>IFERROR(VLOOKUP(A41, KEEPA!$A$4:$AW$5000, 28, FALSE), 0)</f>
        <v/>
      </c>
      <c r="AA41">
        <f>IF(Z41=0,0,(Z41-E41)/Z41)</f>
        <v/>
      </c>
    </row>
    <row r="42">
      <c r="D42">
        <f>IFERROR(VLOOKUP(A42, RESEARCH!$A$4:$AS$5000, 14, FALSE), 0)</f>
        <v/>
      </c>
      <c r="E42">
        <f>IFERROR(VLOOKUP(A42, RESEARCH!$A$4:$AS$5000, 8, FALSE), 0)</f>
        <v/>
      </c>
      <c r="F42">
        <f>D42-N42</f>
        <v/>
      </c>
      <c r="G42">
        <f>IF(N42=0,0,F42/N42)</f>
        <v/>
      </c>
      <c r="H42">
        <f>IFERROR(VLOOKUP(A42, RESEARCH!$A$4:$AS$5000, 9, FALSE), 0)</f>
        <v/>
      </c>
      <c r="L42">
        <f>IF(H42=0, 999, AB42/(H42/30))</f>
        <v/>
      </c>
      <c r="N42">
        <f>IFERROR(VLOOKUP(A42, RESEARCH!$A$4:$AS$5000, 13, FALSE), 0)</f>
        <v/>
      </c>
      <c r="O42">
        <f>MAX(0, ($L$2 * (H42/30)) - AB42)</f>
        <v/>
      </c>
      <c r="P42">
        <f>N42*O42</f>
        <v/>
      </c>
      <c r="X42">
        <f>IFERROR(VLOOKUP(A42, KEEPA!$A$4:$AW$5000, 26, FALSE), 0)</f>
        <v/>
      </c>
      <c r="Y42">
        <f>IF(X42=0,0,(X42-E42)/X42)</f>
        <v/>
      </c>
      <c r="Z42">
        <f>IFERROR(VLOOKUP(A42, KEEPA!$A$4:$AW$5000, 28, FALSE), 0)</f>
        <v/>
      </c>
      <c r="AA42">
        <f>IF(Z42=0,0,(Z42-E42)/Z42)</f>
        <v/>
      </c>
    </row>
    <row r="43">
      <c r="D43">
        <f>IFERROR(VLOOKUP(A43, RESEARCH!$A$4:$AS$5000, 14, FALSE), 0)</f>
        <v/>
      </c>
      <c r="E43">
        <f>IFERROR(VLOOKUP(A43, RESEARCH!$A$4:$AS$5000, 8, FALSE), 0)</f>
        <v/>
      </c>
      <c r="F43">
        <f>D43-N43</f>
        <v/>
      </c>
      <c r="G43">
        <f>IF(N43=0,0,F43/N43)</f>
        <v/>
      </c>
      <c r="H43">
        <f>IFERROR(VLOOKUP(A43, RESEARCH!$A$4:$AS$5000, 9, FALSE), 0)</f>
        <v/>
      </c>
      <c r="L43">
        <f>IF(H43=0, 999, AB43/(H43/30))</f>
        <v/>
      </c>
      <c r="N43">
        <f>IFERROR(VLOOKUP(A43, RESEARCH!$A$4:$AS$5000, 13, FALSE), 0)</f>
        <v/>
      </c>
      <c r="O43">
        <f>MAX(0, ($L$2 * (H43/30)) - AB43)</f>
        <v/>
      </c>
      <c r="P43">
        <f>N43*O43</f>
        <v/>
      </c>
      <c r="X43">
        <f>IFERROR(VLOOKUP(A43, KEEPA!$A$4:$AW$5000, 26, FALSE), 0)</f>
        <v/>
      </c>
      <c r="Y43">
        <f>IF(X43=0,0,(X43-E43)/X43)</f>
        <v/>
      </c>
      <c r="Z43">
        <f>IFERROR(VLOOKUP(A43, KEEPA!$A$4:$AW$5000, 28, FALSE), 0)</f>
        <v/>
      </c>
      <c r="AA43">
        <f>IF(Z43=0,0,(Z43-E43)/Z43)</f>
        <v/>
      </c>
    </row>
    <row r="44">
      <c r="D44">
        <f>IFERROR(VLOOKUP(A44, RESEARCH!$A$4:$AS$5000, 14, FALSE), 0)</f>
        <v/>
      </c>
      <c r="E44">
        <f>IFERROR(VLOOKUP(A44, RESEARCH!$A$4:$AS$5000, 8, FALSE), 0)</f>
        <v/>
      </c>
      <c r="F44">
        <f>D44-N44</f>
        <v/>
      </c>
      <c r="G44">
        <f>IF(N44=0,0,F44/N44)</f>
        <v/>
      </c>
      <c r="H44">
        <f>IFERROR(VLOOKUP(A44, RESEARCH!$A$4:$AS$5000, 9, FALSE), 0)</f>
        <v/>
      </c>
      <c r="L44">
        <f>IF(H44=0, 999, AB44/(H44/30))</f>
        <v/>
      </c>
      <c r="N44">
        <f>IFERROR(VLOOKUP(A44, RESEARCH!$A$4:$AS$5000, 13, FALSE), 0)</f>
        <v/>
      </c>
      <c r="O44">
        <f>MAX(0, ($L$2 * (H44/30)) - AB44)</f>
        <v/>
      </c>
      <c r="P44">
        <f>N44*O44</f>
        <v/>
      </c>
      <c r="X44">
        <f>IFERROR(VLOOKUP(A44, KEEPA!$A$4:$AW$5000, 26, FALSE), 0)</f>
        <v/>
      </c>
      <c r="Y44">
        <f>IF(X44=0,0,(X44-E44)/X44)</f>
        <v/>
      </c>
      <c r="Z44">
        <f>IFERROR(VLOOKUP(A44, KEEPA!$A$4:$AW$5000, 28, FALSE), 0)</f>
        <v/>
      </c>
      <c r="AA44">
        <f>IF(Z44=0,0,(Z44-E44)/Z44)</f>
        <v/>
      </c>
    </row>
    <row r="45">
      <c r="D45">
        <f>IFERROR(VLOOKUP(A45, RESEARCH!$A$4:$AS$5000, 14, FALSE), 0)</f>
        <v/>
      </c>
      <c r="E45">
        <f>IFERROR(VLOOKUP(A45, RESEARCH!$A$4:$AS$5000, 8, FALSE), 0)</f>
        <v/>
      </c>
      <c r="F45">
        <f>D45-N45</f>
        <v/>
      </c>
      <c r="G45">
        <f>IF(N45=0,0,F45/N45)</f>
        <v/>
      </c>
      <c r="H45">
        <f>IFERROR(VLOOKUP(A45, RESEARCH!$A$4:$AS$5000, 9, FALSE), 0)</f>
        <v/>
      </c>
      <c r="L45">
        <f>IF(H45=0, 999, AB45/(H45/30))</f>
        <v/>
      </c>
      <c r="N45">
        <f>IFERROR(VLOOKUP(A45, RESEARCH!$A$4:$AS$5000, 13, FALSE), 0)</f>
        <v/>
      </c>
      <c r="O45">
        <f>MAX(0, ($L$2 * (H45/30)) - AB45)</f>
        <v/>
      </c>
      <c r="P45">
        <f>N45*O45</f>
        <v/>
      </c>
      <c r="X45">
        <f>IFERROR(VLOOKUP(A45, KEEPA!$A$4:$AW$5000, 26, FALSE), 0)</f>
        <v/>
      </c>
      <c r="Y45">
        <f>IF(X45=0,0,(X45-E45)/X45)</f>
        <v/>
      </c>
      <c r="Z45">
        <f>IFERROR(VLOOKUP(A45, KEEPA!$A$4:$AW$5000, 28, FALSE), 0)</f>
        <v/>
      </c>
      <c r="AA45">
        <f>IF(Z45=0,0,(Z45-E45)/Z45)</f>
        <v/>
      </c>
    </row>
    <row r="46">
      <c r="D46">
        <f>IFERROR(VLOOKUP(A46, RESEARCH!$A$4:$AS$5000, 14, FALSE), 0)</f>
        <v/>
      </c>
      <c r="E46">
        <f>IFERROR(VLOOKUP(A46, RESEARCH!$A$4:$AS$5000, 8, FALSE), 0)</f>
        <v/>
      </c>
      <c r="F46">
        <f>D46-N46</f>
        <v/>
      </c>
      <c r="G46">
        <f>IF(N46=0,0,F46/N46)</f>
        <v/>
      </c>
      <c r="H46">
        <f>IFERROR(VLOOKUP(A46, RESEARCH!$A$4:$AS$5000, 9, FALSE), 0)</f>
        <v/>
      </c>
      <c r="L46">
        <f>IF(H46=0, 999, AB46/(H46/30))</f>
        <v/>
      </c>
      <c r="N46">
        <f>IFERROR(VLOOKUP(A46, RESEARCH!$A$4:$AS$5000, 13, FALSE), 0)</f>
        <v/>
      </c>
      <c r="O46">
        <f>MAX(0, ($L$2 * (H46/30)) - AB46)</f>
        <v/>
      </c>
      <c r="P46">
        <f>N46*O46</f>
        <v/>
      </c>
      <c r="X46">
        <f>IFERROR(VLOOKUP(A46, KEEPA!$A$4:$AW$5000, 26, FALSE), 0)</f>
        <v/>
      </c>
      <c r="Y46">
        <f>IF(X46=0,0,(X46-E46)/X46)</f>
        <v/>
      </c>
      <c r="Z46">
        <f>IFERROR(VLOOKUP(A46, KEEPA!$A$4:$AW$5000, 28, FALSE), 0)</f>
        <v/>
      </c>
      <c r="AA46">
        <f>IF(Z46=0,0,(Z46-E46)/Z46)</f>
        <v/>
      </c>
    </row>
    <row r="47">
      <c r="D47">
        <f>IFERROR(VLOOKUP(A47, RESEARCH!$A$4:$AS$5000, 14, FALSE), 0)</f>
        <v/>
      </c>
      <c r="E47">
        <f>IFERROR(VLOOKUP(A47, RESEARCH!$A$4:$AS$5000, 8, FALSE), 0)</f>
        <v/>
      </c>
      <c r="F47">
        <f>D47-N47</f>
        <v/>
      </c>
      <c r="G47">
        <f>IF(N47=0,0,F47/N47)</f>
        <v/>
      </c>
      <c r="H47">
        <f>IFERROR(VLOOKUP(A47, RESEARCH!$A$4:$AS$5000, 9, FALSE), 0)</f>
        <v/>
      </c>
      <c r="L47">
        <f>IF(H47=0, 999, AB47/(H47/30))</f>
        <v/>
      </c>
      <c r="N47">
        <f>IFERROR(VLOOKUP(A47, RESEARCH!$A$4:$AS$5000, 13, FALSE), 0)</f>
        <v/>
      </c>
      <c r="O47">
        <f>MAX(0, ($L$2 * (H47/30)) - AB47)</f>
        <v/>
      </c>
      <c r="P47">
        <f>N47*O47</f>
        <v/>
      </c>
      <c r="X47">
        <f>IFERROR(VLOOKUP(A47, KEEPA!$A$4:$AW$5000, 26, FALSE), 0)</f>
        <v/>
      </c>
      <c r="Y47">
        <f>IF(X47=0,0,(X47-E47)/X47)</f>
        <v/>
      </c>
      <c r="Z47">
        <f>IFERROR(VLOOKUP(A47, KEEPA!$A$4:$AW$5000, 28, FALSE), 0)</f>
        <v/>
      </c>
      <c r="AA47">
        <f>IF(Z47=0,0,(Z47-E47)/Z47)</f>
        <v/>
      </c>
    </row>
    <row r="48">
      <c r="D48">
        <f>IFERROR(VLOOKUP(A48, RESEARCH!$A$4:$AS$5000, 14, FALSE), 0)</f>
        <v/>
      </c>
      <c r="E48">
        <f>IFERROR(VLOOKUP(A48, RESEARCH!$A$4:$AS$5000, 8, FALSE), 0)</f>
        <v/>
      </c>
      <c r="F48">
        <f>D48-N48</f>
        <v/>
      </c>
      <c r="G48">
        <f>IF(N48=0,0,F48/N48)</f>
        <v/>
      </c>
      <c r="H48">
        <f>IFERROR(VLOOKUP(A48, RESEARCH!$A$4:$AS$5000, 9, FALSE), 0)</f>
        <v/>
      </c>
      <c r="L48">
        <f>IF(H48=0, 999, AB48/(H48/30))</f>
        <v/>
      </c>
      <c r="N48">
        <f>IFERROR(VLOOKUP(A48, RESEARCH!$A$4:$AS$5000, 13, FALSE), 0)</f>
        <v/>
      </c>
      <c r="O48">
        <f>MAX(0, ($L$2 * (H48/30)) - AB48)</f>
        <v/>
      </c>
      <c r="P48">
        <f>N48*O48</f>
        <v/>
      </c>
      <c r="X48">
        <f>IFERROR(VLOOKUP(A48, KEEPA!$A$4:$AW$5000, 26, FALSE), 0)</f>
        <v/>
      </c>
      <c r="Y48">
        <f>IF(X48=0,0,(X48-E48)/X48)</f>
        <v/>
      </c>
      <c r="Z48">
        <f>IFERROR(VLOOKUP(A48, KEEPA!$A$4:$AW$5000, 28, FALSE), 0)</f>
        <v/>
      </c>
      <c r="AA48">
        <f>IF(Z48=0,0,(Z48-E48)/Z48)</f>
        <v/>
      </c>
    </row>
    <row r="49">
      <c r="D49">
        <f>IFERROR(VLOOKUP(A49, RESEARCH!$A$4:$AS$5000, 14, FALSE), 0)</f>
        <v/>
      </c>
      <c r="E49">
        <f>IFERROR(VLOOKUP(A49, RESEARCH!$A$4:$AS$5000, 8, FALSE), 0)</f>
        <v/>
      </c>
      <c r="F49">
        <f>D49-N49</f>
        <v/>
      </c>
      <c r="G49">
        <f>IF(N49=0,0,F49/N49)</f>
        <v/>
      </c>
      <c r="H49">
        <f>IFERROR(VLOOKUP(A49, RESEARCH!$A$4:$AS$5000, 9, FALSE), 0)</f>
        <v/>
      </c>
      <c r="L49">
        <f>IF(H49=0, 999, AB49/(H49/30))</f>
        <v/>
      </c>
      <c r="N49">
        <f>IFERROR(VLOOKUP(A49, RESEARCH!$A$4:$AS$5000, 13, FALSE), 0)</f>
        <v/>
      </c>
      <c r="O49">
        <f>MAX(0, ($L$2 * (H49/30)) - AB49)</f>
        <v/>
      </c>
      <c r="P49">
        <f>N49*O49</f>
        <v/>
      </c>
      <c r="X49">
        <f>IFERROR(VLOOKUP(A49, KEEPA!$A$4:$AW$5000, 26, FALSE), 0)</f>
        <v/>
      </c>
      <c r="Y49">
        <f>IF(X49=0,0,(X49-E49)/X49)</f>
        <v/>
      </c>
      <c r="Z49">
        <f>IFERROR(VLOOKUP(A49, KEEPA!$A$4:$AW$5000, 28, FALSE), 0)</f>
        <v/>
      </c>
      <c r="AA49">
        <f>IF(Z49=0,0,(Z49-E49)/Z49)</f>
        <v/>
      </c>
    </row>
    <row r="50">
      <c r="D50">
        <f>IFERROR(VLOOKUP(A50, RESEARCH!$A$4:$AS$5000, 14, FALSE), 0)</f>
        <v/>
      </c>
      <c r="E50">
        <f>IFERROR(VLOOKUP(A50, RESEARCH!$A$4:$AS$5000, 8, FALSE), 0)</f>
        <v/>
      </c>
      <c r="F50">
        <f>D50-N50</f>
        <v/>
      </c>
      <c r="G50">
        <f>IF(N50=0,0,F50/N50)</f>
        <v/>
      </c>
      <c r="H50">
        <f>IFERROR(VLOOKUP(A50, RESEARCH!$A$4:$AS$5000, 9, FALSE), 0)</f>
        <v/>
      </c>
      <c r="L50">
        <f>IF(H50=0, 999, AB50/(H50/30))</f>
        <v/>
      </c>
      <c r="N50">
        <f>IFERROR(VLOOKUP(A50, RESEARCH!$A$4:$AS$5000, 13, FALSE), 0)</f>
        <v/>
      </c>
      <c r="O50">
        <f>MAX(0, ($L$2 * (H50/30)) - AB50)</f>
        <v/>
      </c>
      <c r="P50">
        <f>N50*O50</f>
        <v/>
      </c>
      <c r="X50">
        <f>IFERROR(VLOOKUP(A50, KEEPA!$A$4:$AW$5000, 26, FALSE), 0)</f>
        <v/>
      </c>
      <c r="Y50">
        <f>IF(X50=0,0,(X50-E50)/X50)</f>
        <v/>
      </c>
      <c r="Z50">
        <f>IFERROR(VLOOKUP(A50, KEEPA!$A$4:$AW$5000, 28, FALSE), 0)</f>
        <v/>
      </c>
      <c r="AA50">
        <f>IF(Z50=0,0,(Z50-E50)/Z50)</f>
        <v/>
      </c>
    </row>
    <row r="51">
      <c r="D51">
        <f>IFERROR(VLOOKUP(A51, RESEARCH!$A$4:$AS$5000, 14, FALSE), 0)</f>
        <v/>
      </c>
      <c r="E51">
        <f>IFERROR(VLOOKUP(A51, RESEARCH!$A$4:$AS$5000, 8, FALSE), 0)</f>
        <v/>
      </c>
      <c r="F51">
        <f>D51-N51</f>
        <v/>
      </c>
      <c r="G51">
        <f>IF(N51=0,0,F51/N51)</f>
        <v/>
      </c>
      <c r="H51">
        <f>IFERROR(VLOOKUP(A51, RESEARCH!$A$4:$AS$5000, 9, FALSE), 0)</f>
        <v/>
      </c>
      <c r="L51">
        <f>IF(H51=0, 999, AB51/(H51/30))</f>
        <v/>
      </c>
      <c r="N51">
        <f>IFERROR(VLOOKUP(A51, RESEARCH!$A$4:$AS$5000, 13, FALSE), 0)</f>
        <v/>
      </c>
      <c r="O51">
        <f>MAX(0, ($L$2 * (H51/30)) - AB51)</f>
        <v/>
      </c>
      <c r="P51">
        <f>N51*O51</f>
        <v/>
      </c>
      <c r="X51">
        <f>IFERROR(VLOOKUP(A51, KEEPA!$A$4:$AW$5000, 26, FALSE), 0)</f>
        <v/>
      </c>
      <c r="Y51">
        <f>IF(X51=0,0,(X51-E51)/X51)</f>
        <v/>
      </c>
      <c r="Z51">
        <f>IFERROR(VLOOKUP(A51, KEEPA!$A$4:$AW$5000, 28, FALSE), 0)</f>
        <v/>
      </c>
      <c r="AA51">
        <f>IF(Z51=0,0,(Z51-E51)/Z51)</f>
        <v/>
      </c>
    </row>
    <row r="52">
      <c r="D52">
        <f>IFERROR(VLOOKUP(A52, RESEARCH!$A$4:$AS$5000, 14, FALSE), 0)</f>
        <v/>
      </c>
      <c r="E52">
        <f>IFERROR(VLOOKUP(A52, RESEARCH!$A$4:$AS$5000, 8, FALSE), 0)</f>
        <v/>
      </c>
      <c r="F52">
        <f>D52-N52</f>
        <v/>
      </c>
      <c r="G52">
        <f>IF(N52=0,0,F52/N52)</f>
        <v/>
      </c>
      <c r="H52">
        <f>IFERROR(VLOOKUP(A52, RESEARCH!$A$4:$AS$5000, 9, FALSE), 0)</f>
        <v/>
      </c>
      <c r="L52">
        <f>IF(H52=0, 999, AB52/(H52/30))</f>
        <v/>
      </c>
      <c r="N52">
        <f>IFERROR(VLOOKUP(A52, RESEARCH!$A$4:$AS$5000, 13, FALSE), 0)</f>
        <v/>
      </c>
      <c r="O52">
        <f>MAX(0, ($L$2 * (H52/30)) - AB52)</f>
        <v/>
      </c>
      <c r="P52">
        <f>N52*O52</f>
        <v/>
      </c>
      <c r="X52">
        <f>IFERROR(VLOOKUP(A52, KEEPA!$A$4:$AW$5000, 26, FALSE), 0)</f>
        <v/>
      </c>
      <c r="Y52">
        <f>IF(X52=0,0,(X52-E52)/X52)</f>
        <v/>
      </c>
      <c r="Z52">
        <f>IFERROR(VLOOKUP(A52, KEEPA!$A$4:$AW$5000, 28, FALSE), 0)</f>
        <v/>
      </c>
      <c r="AA52">
        <f>IF(Z52=0,0,(Z52-E52)/Z52)</f>
        <v/>
      </c>
    </row>
    <row r="53">
      <c r="D53">
        <f>IFERROR(VLOOKUP(A53, RESEARCH!$A$4:$AS$5000, 14, FALSE), 0)</f>
        <v/>
      </c>
      <c r="E53">
        <f>IFERROR(VLOOKUP(A53, RESEARCH!$A$4:$AS$5000, 8, FALSE), 0)</f>
        <v/>
      </c>
      <c r="F53">
        <f>D53-N53</f>
        <v/>
      </c>
      <c r="G53">
        <f>IF(N53=0,0,F53/N53)</f>
        <v/>
      </c>
      <c r="H53">
        <f>IFERROR(VLOOKUP(A53, RESEARCH!$A$4:$AS$5000, 9, FALSE), 0)</f>
        <v/>
      </c>
      <c r="L53">
        <f>IF(H53=0, 999, AB53/(H53/30))</f>
        <v/>
      </c>
      <c r="N53">
        <f>IFERROR(VLOOKUP(A53, RESEARCH!$A$4:$AS$5000, 13, FALSE), 0)</f>
        <v/>
      </c>
      <c r="O53">
        <f>MAX(0, ($L$2 * (H53/30)) - AB53)</f>
        <v/>
      </c>
      <c r="P53">
        <f>N53*O53</f>
        <v/>
      </c>
      <c r="X53">
        <f>IFERROR(VLOOKUP(A53, KEEPA!$A$4:$AW$5000, 26, FALSE), 0)</f>
        <v/>
      </c>
      <c r="Y53">
        <f>IF(X53=0,0,(X53-E53)/X53)</f>
        <v/>
      </c>
      <c r="Z53">
        <f>IFERROR(VLOOKUP(A53, KEEPA!$A$4:$AW$5000, 28, FALSE), 0)</f>
        <v/>
      </c>
      <c r="AA53">
        <f>IF(Z53=0,0,(Z53-E53)/Z53)</f>
        <v/>
      </c>
    </row>
    <row r="54">
      <c r="D54">
        <f>IFERROR(VLOOKUP(A54, RESEARCH!$A$4:$AS$5000, 14, FALSE), 0)</f>
        <v/>
      </c>
      <c r="E54">
        <f>IFERROR(VLOOKUP(A54, RESEARCH!$A$4:$AS$5000, 8, FALSE), 0)</f>
        <v/>
      </c>
      <c r="F54">
        <f>D54-N54</f>
        <v/>
      </c>
      <c r="G54">
        <f>IF(N54=0,0,F54/N54)</f>
        <v/>
      </c>
      <c r="H54">
        <f>IFERROR(VLOOKUP(A54, RESEARCH!$A$4:$AS$5000, 9, FALSE), 0)</f>
        <v/>
      </c>
      <c r="L54">
        <f>IF(H54=0, 999, AB54/(H54/30))</f>
        <v/>
      </c>
      <c r="N54">
        <f>IFERROR(VLOOKUP(A54, RESEARCH!$A$4:$AS$5000, 13, FALSE), 0)</f>
        <v/>
      </c>
      <c r="O54">
        <f>MAX(0, ($L$2 * (H54/30)) - AB54)</f>
        <v/>
      </c>
      <c r="P54">
        <f>N54*O54</f>
        <v/>
      </c>
      <c r="X54">
        <f>IFERROR(VLOOKUP(A54, KEEPA!$A$4:$AW$5000, 26, FALSE), 0)</f>
        <v/>
      </c>
      <c r="Y54">
        <f>IF(X54=0,0,(X54-E54)/X54)</f>
        <v/>
      </c>
      <c r="Z54">
        <f>IFERROR(VLOOKUP(A54, KEEPA!$A$4:$AW$5000, 28, FALSE), 0)</f>
        <v/>
      </c>
      <c r="AA54">
        <f>IF(Z54=0,0,(Z54-E54)/Z54)</f>
        <v/>
      </c>
    </row>
    <row r="55">
      <c r="D55">
        <f>IFERROR(VLOOKUP(A55, RESEARCH!$A$4:$AS$5000, 14, FALSE), 0)</f>
        <v/>
      </c>
      <c r="E55">
        <f>IFERROR(VLOOKUP(A55, RESEARCH!$A$4:$AS$5000, 8, FALSE), 0)</f>
        <v/>
      </c>
      <c r="F55">
        <f>D55-N55</f>
        <v/>
      </c>
      <c r="G55">
        <f>IF(N55=0,0,F55/N55)</f>
        <v/>
      </c>
      <c r="H55">
        <f>IFERROR(VLOOKUP(A55, RESEARCH!$A$4:$AS$5000, 9, FALSE), 0)</f>
        <v/>
      </c>
      <c r="L55">
        <f>IF(H55=0, 999, AB55/(H55/30))</f>
        <v/>
      </c>
      <c r="N55">
        <f>IFERROR(VLOOKUP(A55, RESEARCH!$A$4:$AS$5000, 13, FALSE), 0)</f>
        <v/>
      </c>
      <c r="O55">
        <f>MAX(0, ($L$2 * (H55/30)) - AB55)</f>
        <v/>
      </c>
      <c r="P55">
        <f>N55*O55</f>
        <v/>
      </c>
      <c r="X55">
        <f>IFERROR(VLOOKUP(A55, KEEPA!$A$4:$AW$5000, 26, FALSE), 0)</f>
        <v/>
      </c>
      <c r="Y55">
        <f>IF(X55=0,0,(X55-E55)/X55)</f>
        <v/>
      </c>
      <c r="Z55">
        <f>IFERROR(VLOOKUP(A55, KEEPA!$A$4:$AW$5000, 28, FALSE), 0)</f>
        <v/>
      </c>
      <c r="AA55">
        <f>IF(Z55=0,0,(Z55-E55)/Z55)</f>
        <v/>
      </c>
    </row>
    <row r="56">
      <c r="D56">
        <f>IFERROR(VLOOKUP(A56, RESEARCH!$A$4:$AS$5000, 14, FALSE), 0)</f>
        <v/>
      </c>
      <c r="E56">
        <f>IFERROR(VLOOKUP(A56, RESEARCH!$A$4:$AS$5000, 8, FALSE), 0)</f>
        <v/>
      </c>
      <c r="F56">
        <f>D56-N56</f>
        <v/>
      </c>
      <c r="G56">
        <f>IF(N56=0,0,F56/N56)</f>
        <v/>
      </c>
      <c r="H56">
        <f>IFERROR(VLOOKUP(A56, RESEARCH!$A$4:$AS$5000, 9, FALSE), 0)</f>
        <v/>
      </c>
      <c r="L56">
        <f>IF(H56=0, 999, AB56/(H56/30))</f>
        <v/>
      </c>
      <c r="N56">
        <f>IFERROR(VLOOKUP(A56, RESEARCH!$A$4:$AS$5000, 13, FALSE), 0)</f>
        <v/>
      </c>
      <c r="O56">
        <f>MAX(0, ($L$2 * (H56/30)) - AB56)</f>
        <v/>
      </c>
      <c r="P56">
        <f>N56*O56</f>
        <v/>
      </c>
      <c r="X56">
        <f>IFERROR(VLOOKUP(A56, KEEPA!$A$4:$AW$5000, 26, FALSE), 0)</f>
        <v/>
      </c>
      <c r="Y56">
        <f>IF(X56=0,0,(X56-E56)/X56)</f>
        <v/>
      </c>
      <c r="Z56">
        <f>IFERROR(VLOOKUP(A56, KEEPA!$A$4:$AW$5000, 28, FALSE), 0)</f>
        <v/>
      </c>
      <c r="AA56">
        <f>IF(Z56=0,0,(Z56-E56)/Z56)</f>
        <v/>
      </c>
    </row>
    <row r="57">
      <c r="D57">
        <f>IFERROR(VLOOKUP(A57, RESEARCH!$A$4:$AS$5000, 14, FALSE), 0)</f>
        <v/>
      </c>
      <c r="E57">
        <f>IFERROR(VLOOKUP(A57, RESEARCH!$A$4:$AS$5000, 8, FALSE), 0)</f>
        <v/>
      </c>
      <c r="F57">
        <f>D57-N57</f>
        <v/>
      </c>
      <c r="G57">
        <f>IF(N57=0,0,F57/N57)</f>
        <v/>
      </c>
      <c r="H57">
        <f>IFERROR(VLOOKUP(A57, RESEARCH!$A$4:$AS$5000, 9, FALSE), 0)</f>
        <v/>
      </c>
      <c r="L57">
        <f>IF(H57=0, 999, AB57/(H57/30))</f>
        <v/>
      </c>
      <c r="N57">
        <f>IFERROR(VLOOKUP(A57, RESEARCH!$A$4:$AS$5000, 13, FALSE), 0)</f>
        <v/>
      </c>
      <c r="O57">
        <f>MAX(0, ($L$2 * (H57/30)) - AB57)</f>
        <v/>
      </c>
      <c r="P57">
        <f>N57*O57</f>
        <v/>
      </c>
      <c r="X57">
        <f>IFERROR(VLOOKUP(A57, KEEPA!$A$4:$AW$5000, 26, FALSE), 0)</f>
        <v/>
      </c>
      <c r="Y57">
        <f>IF(X57=0,0,(X57-E57)/X57)</f>
        <v/>
      </c>
      <c r="Z57">
        <f>IFERROR(VLOOKUP(A57, KEEPA!$A$4:$AW$5000, 28, FALSE), 0)</f>
        <v/>
      </c>
      <c r="AA57">
        <f>IF(Z57=0,0,(Z57-E57)/Z57)</f>
        <v/>
      </c>
    </row>
    <row r="58">
      <c r="D58">
        <f>IFERROR(VLOOKUP(A58, RESEARCH!$A$4:$AS$5000, 14, FALSE), 0)</f>
        <v/>
      </c>
      <c r="E58">
        <f>IFERROR(VLOOKUP(A58, RESEARCH!$A$4:$AS$5000, 8, FALSE), 0)</f>
        <v/>
      </c>
      <c r="F58">
        <f>D58-N58</f>
        <v/>
      </c>
      <c r="G58">
        <f>IF(N58=0,0,F58/N58)</f>
        <v/>
      </c>
      <c r="H58">
        <f>IFERROR(VLOOKUP(A58, RESEARCH!$A$4:$AS$5000, 9, FALSE), 0)</f>
        <v/>
      </c>
      <c r="L58">
        <f>IF(H58=0, 999, AB58/(H58/30))</f>
        <v/>
      </c>
      <c r="N58">
        <f>IFERROR(VLOOKUP(A58, RESEARCH!$A$4:$AS$5000, 13, FALSE), 0)</f>
        <v/>
      </c>
      <c r="O58">
        <f>MAX(0, ($L$2 * (H58/30)) - AB58)</f>
        <v/>
      </c>
      <c r="P58">
        <f>N58*O58</f>
        <v/>
      </c>
      <c r="X58">
        <f>IFERROR(VLOOKUP(A58, KEEPA!$A$4:$AW$5000, 26, FALSE), 0)</f>
        <v/>
      </c>
      <c r="Y58">
        <f>IF(X58=0,0,(X58-E58)/X58)</f>
        <v/>
      </c>
      <c r="Z58">
        <f>IFERROR(VLOOKUP(A58, KEEPA!$A$4:$AW$5000, 28, FALSE), 0)</f>
        <v/>
      </c>
      <c r="AA58">
        <f>IF(Z58=0,0,(Z58-E58)/Z58)</f>
        <v/>
      </c>
    </row>
    <row r="59">
      <c r="D59">
        <f>IFERROR(VLOOKUP(A59, RESEARCH!$A$4:$AS$5000, 14, FALSE), 0)</f>
        <v/>
      </c>
      <c r="E59">
        <f>IFERROR(VLOOKUP(A59, RESEARCH!$A$4:$AS$5000, 8, FALSE), 0)</f>
        <v/>
      </c>
      <c r="F59">
        <f>D59-N59</f>
        <v/>
      </c>
      <c r="G59">
        <f>IF(N59=0,0,F59/N59)</f>
        <v/>
      </c>
      <c r="H59">
        <f>IFERROR(VLOOKUP(A59, RESEARCH!$A$4:$AS$5000, 9, FALSE), 0)</f>
        <v/>
      </c>
      <c r="L59">
        <f>IF(H59=0, 999, AB59/(H59/30))</f>
        <v/>
      </c>
      <c r="N59">
        <f>IFERROR(VLOOKUP(A59, RESEARCH!$A$4:$AS$5000, 13, FALSE), 0)</f>
        <v/>
      </c>
      <c r="O59">
        <f>MAX(0, ($L$2 * (H59/30)) - AB59)</f>
        <v/>
      </c>
      <c r="P59">
        <f>N59*O59</f>
        <v/>
      </c>
      <c r="X59">
        <f>IFERROR(VLOOKUP(A59, KEEPA!$A$4:$AW$5000, 26, FALSE), 0)</f>
        <v/>
      </c>
      <c r="Y59">
        <f>IF(X59=0,0,(X59-E59)/X59)</f>
        <v/>
      </c>
      <c r="Z59">
        <f>IFERROR(VLOOKUP(A59, KEEPA!$A$4:$AW$5000, 28, FALSE), 0)</f>
        <v/>
      </c>
      <c r="AA59">
        <f>IF(Z59=0,0,(Z59-E59)/Z59)</f>
        <v/>
      </c>
    </row>
    <row r="60">
      <c r="D60">
        <f>IFERROR(VLOOKUP(A60, RESEARCH!$A$4:$AS$5000, 14, FALSE), 0)</f>
        <v/>
      </c>
      <c r="E60">
        <f>IFERROR(VLOOKUP(A60, RESEARCH!$A$4:$AS$5000, 8, FALSE), 0)</f>
        <v/>
      </c>
      <c r="F60">
        <f>D60-N60</f>
        <v/>
      </c>
      <c r="G60">
        <f>IF(N60=0,0,F60/N60)</f>
        <v/>
      </c>
      <c r="H60">
        <f>IFERROR(VLOOKUP(A60, RESEARCH!$A$4:$AS$5000, 9, FALSE), 0)</f>
        <v/>
      </c>
      <c r="L60">
        <f>IF(H60=0, 999, AB60/(H60/30))</f>
        <v/>
      </c>
      <c r="N60">
        <f>IFERROR(VLOOKUP(A60, RESEARCH!$A$4:$AS$5000, 13, FALSE), 0)</f>
        <v/>
      </c>
      <c r="O60">
        <f>MAX(0, ($L$2 * (H60/30)) - AB60)</f>
        <v/>
      </c>
      <c r="P60">
        <f>N60*O60</f>
        <v/>
      </c>
      <c r="X60">
        <f>IFERROR(VLOOKUP(A60, KEEPA!$A$4:$AW$5000, 26, FALSE), 0)</f>
        <v/>
      </c>
      <c r="Y60">
        <f>IF(X60=0,0,(X60-E60)/X60)</f>
        <v/>
      </c>
      <c r="Z60">
        <f>IFERROR(VLOOKUP(A60, KEEPA!$A$4:$AW$5000, 28, FALSE), 0)</f>
        <v/>
      </c>
      <c r="AA60">
        <f>IF(Z60=0,0,(Z60-E60)/Z60)</f>
        <v/>
      </c>
    </row>
    <row r="61">
      <c r="D61">
        <f>IFERROR(VLOOKUP(A61, RESEARCH!$A$4:$AS$5000, 14, FALSE), 0)</f>
        <v/>
      </c>
      <c r="E61">
        <f>IFERROR(VLOOKUP(A61, RESEARCH!$A$4:$AS$5000, 8, FALSE), 0)</f>
        <v/>
      </c>
      <c r="F61">
        <f>D61-N61</f>
        <v/>
      </c>
      <c r="G61">
        <f>IF(N61=0,0,F61/N61)</f>
        <v/>
      </c>
      <c r="H61">
        <f>IFERROR(VLOOKUP(A61, RESEARCH!$A$4:$AS$5000, 9, FALSE), 0)</f>
        <v/>
      </c>
      <c r="L61">
        <f>IF(H61=0, 999, AB61/(H61/30))</f>
        <v/>
      </c>
      <c r="N61">
        <f>IFERROR(VLOOKUP(A61, RESEARCH!$A$4:$AS$5000, 13, FALSE), 0)</f>
        <v/>
      </c>
      <c r="O61">
        <f>MAX(0, ($L$2 * (H61/30)) - AB61)</f>
        <v/>
      </c>
      <c r="P61">
        <f>N61*O61</f>
        <v/>
      </c>
      <c r="X61">
        <f>IFERROR(VLOOKUP(A61, KEEPA!$A$4:$AW$5000, 26, FALSE), 0)</f>
        <v/>
      </c>
      <c r="Y61">
        <f>IF(X61=0,0,(X61-E61)/X61)</f>
        <v/>
      </c>
      <c r="Z61">
        <f>IFERROR(VLOOKUP(A61, KEEPA!$A$4:$AW$5000, 28, FALSE), 0)</f>
        <v/>
      </c>
      <c r="AA61">
        <f>IF(Z61=0,0,(Z61-E61)/Z61)</f>
        <v/>
      </c>
    </row>
    <row r="62">
      <c r="D62">
        <f>IFERROR(VLOOKUP(A62, RESEARCH!$A$4:$AS$5000, 14, FALSE), 0)</f>
        <v/>
      </c>
      <c r="E62">
        <f>IFERROR(VLOOKUP(A62, RESEARCH!$A$4:$AS$5000, 8, FALSE), 0)</f>
        <v/>
      </c>
      <c r="F62">
        <f>D62-N62</f>
        <v/>
      </c>
      <c r="G62">
        <f>IF(N62=0,0,F62/N62)</f>
        <v/>
      </c>
      <c r="H62">
        <f>IFERROR(VLOOKUP(A62, RESEARCH!$A$4:$AS$5000, 9, FALSE), 0)</f>
        <v/>
      </c>
      <c r="L62">
        <f>IF(H62=0, 999, AB62/(H62/30))</f>
        <v/>
      </c>
      <c r="N62">
        <f>IFERROR(VLOOKUP(A62, RESEARCH!$A$4:$AS$5000, 13, FALSE), 0)</f>
        <v/>
      </c>
      <c r="O62">
        <f>MAX(0, ($L$2 * (H62/30)) - AB62)</f>
        <v/>
      </c>
      <c r="P62">
        <f>N62*O62</f>
        <v/>
      </c>
      <c r="X62">
        <f>IFERROR(VLOOKUP(A62, KEEPA!$A$4:$AW$5000, 26, FALSE), 0)</f>
        <v/>
      </c>
      <c r="Y62">
        <f>IF(X62=0,0,(X62-E62)/X62)</f>
        <v/>
      </c>
      <c r="Z62">
        <f>IFERROR(VLOOKUP(A62, KEEPA!$A$4:$AW$5000, 28, FALSE), 0)</f>
        <v/>
      </c>
      <c r="AA62">
        <f>IF(Z62=0,0,(Z62-E62)/Z62)</f>
        <v/>
      </c>
    </row>
    <row r="63">
      <c r="D63">
        <f>IFERROR(VLOOKUP(A63, RESEARCH!$A$4:$AS$5000, 14, FALSE), 0)</f>
        <v/>
      </c>
      <c r="E63">
        <f>IFERROR(VLOOKUP(A63, RESEARCH!$A$4:$AS$5000, 8, FALSE), 0)</f>
        <v/>
      </c>
      <c r="F63">
        <f>D63-N63</f>
        <v/>
      </c>
      <c r="G63">
        <f>IF(N63=0,0,F63/N63)</f>
        <v/>
      </c>
      <c r="H63">
        <f>IFERROR(VLOOKUP(A63, RESEARCH!$A$4:$AS$5000, 9, FALSE), 0)</f>
        <v/>
      </c>
      <c r="L63">
        <f>IF(H63=0, 999, AB63/(H63/30))</f>
        <v/>
      </c>
      <c r="N63">
        <f>IFERROR(VLOOKUP(A63, RESEARCH!$A$4:$AS$5000, 13, FALSE), 0)</f>
        <v/>
      </c>
      <c r="O63">
        <f>MAX(0, ($L$2 * (H63/30)) - AB63)</f>
        <v/>
      </c>
      <c r="P63">
        <f>N63*O63</f>
        <v/>
      </c>
      <c r="X63">
        <f>IFERROR(VLOOKUP(A63, KEEPA!$A$4:$AW$5000, 26, FALSE), 0)</f>
        <v/>
      </c>
      <c r="Y63">
        <f>IF(X63=0,0,(X63-E63)/X63)</f>
        <v/>
      </c>
      <c r="Z63">
        <f>IFERROR(VLOOKUP(A63, KEEPA!$A$4:$AW$5000, 28, FALSE), 0)</f>
        <v/>
      </c>
      <c r="AA63">
        <f>IF(Z63=0,0,(Z63-E63)/Z63)</f>
        <v/>
      </c>
    </row>
    <row r="64">
      <c r="D64">
        <f>IFERROR(VLOOKUP(A64, RESEARCH!$A$4:$AS$5000, 14, FALSE), 0)</f>
        <v/>
      </c>
      <c r="E64">
        <f>IFERROR(VLOOKUP(A64, RESEARCH!$A$4:$AS$5000, 8, FALSE), 0)</f>
        <v/>
      </c>
      <c r="F64">
        <f>D64-N64</f>
        <v/>
      </c>
      <c r="G64">
        <f>IF(N64=0,0,F64/N64)</f>
        <v/>
      </c>
      <c r="H64">
        <f>IFERROR(VLOOKUP(A64, RESEARCH!$A$4:$AS$5000, 9, FALSE), 0)</f>
        <v/>
      </c>
      <c r="L64">
        <f>IF(H64=0, 999, AB64/(H64/30))</f>
        <v/>
      </c>
      <c r="N64">
        <f>IFERROR(VLOOKUP(A64, RESEARCH!$A$4:$AS$5000, 13, FALSE), 0)</f>
        <v/>
      </c>
      <c r="O64">
        <f>MAX(0, ($L$2 * (H64/30)) - AB64)</f>
        <v/>
      </c>
      <c r="P64">
        <f>N64*O64</f>
        <v/>
      </c>
      <c r="X64">
        <f>IFERROR(VLOOKUP(A64, KEEPA!$A$4:$AW$5000, 26, FALSE), 0)</f>
        <v/>
      </c>
      <c r="Y64">
        <f>IF(X64=0,0,(X64-E64)/X64)</f>
        <v/>
      </c>
      <c r="Z64">
        <f>IFERROR(VLOOKUP(A64, KEEPA!$A$4:$AW$5000, 28, FALSE), 0)</f>
        <v/>
      </c>
      <c r="AA64">
        <f>IF(Z64=0,0,(Z64-E64)/Z64)</f>
        <v/>
      </c>
    </row>
    <row r="65">
      <c r="D65">
        <f>IFERROR(VLOOKUP(A65, RESEARCH!$A$4:$AS$5000, 14, FALSE), 0)</f>
        <v/>
      </c>
      <c r="E65">
        <f>IFERROR(VLOOKUP(A65, RESEARCH!$A$4:$AS$5000, 8, FALSE), 0)</f>
        <v/>
      </c>
      <c r="F65">
        <f>D65-N65</f>
        <v/>
      </c>
      <c r="G65">
        <f>IF(N65=0,0,F65/N65)</f>
        <v/>
      </c>
      <c r="H65">
        <f>IFERROR(VLOOKUP(A65, RESEARCH!$A$4:$AS$5000, 9, FALSE), 0)</f>
        <v/>
      </c>
      <c r="L65">
        <f>IF(H65=0, 999, AB65/(H65/30))</f>
        <v/>
      </c>
      <c r="N65">
        <f>IFERROR(VLOOKUP(A65, RESEARCH!$A$4:$AS$5000, 13, FALSE), 0)</f>
        <v/>
      </c>
      <c r="O65">
        <f>MAX(0, ($L$2 * (H65/30)) - AB65)</f>
        <v/>
      </c>
      <c r="P65">
        <f>N65*O65</f>
        <v/>
      </c>
      <c r="X65">
        <f>IFERROR(VLOOKUP(A65, KEEPA!$A$4:$AW$5000, 26, FALSE), 0)</f>
        <v/>
      </c>
      <c r="Y65">
        <f>IF(X65=0,0,(X65-E65)/X65)</f>
        <v/>
      </c>
      <c r="Z65">
        <f>IFERROR(VLOOKUP(A65, KEEPA!$A$4:$AW$5000, 28, FALSE), 0)</f>
        <v/>
      </c>
      <c r="AA65">
        <f>IF(Z65=0,0,(Z65-E65)/Z65)</f>
        <v/>
      </c>
    </row>
    <row r="66">
      <c r="D66">
        <f>IFERROR(VLOOKUP(A66, RESEARCH!$A$4:$AS$5000, 14, FALSE), 0)</f>
        <v/>
      </c>
      <c r="E66">
        <f>IFERROR(VLOOKUP(A66, RESEARCH!$A$4:$AS$5000, 8, FALSE), 0)</f>
        <v/>
      </c>
      <c r="F66">
        <f>D66-N66</f>
        <v/>
      </c>
      <c r="G66">
        <f>IF(N66=0,0,F66/N66)</f>
        <v/>
      </c>
      <c r="H66">
        <f>IFERROR(VLOOKUP(A66, RESEARCH!$A$4:$AS$5000, 9, FALSE), 0)</f>
        <v/>
      </c>
      <c r="L66">
        <f>IF(H66=0, 999, AB66/(H66/30))</f>
        <v/>
      </c>
      <c r="N66">
        <f>IFERROR(VLOOKUP(A66, RESEARCH!$A$4:$AS$5000, 13, FALSE), 0)</f>
        <v/>
      </c>
      <c r="O66">
        <f>MAX(0, ($L$2 * (H66/30)) - AB66)</f>
        <v/>
      </c>
      <c r="P66">
        <f>N66*O66</f>
        <v/>
      </c>
      <c r="X66">
        <f>IFERROR(VLOOKUP(A66, KEEPA!$A$4:$AW$5000, 26, FALSE), 0)</f>
        <v/>
      </c>
      <c r="Y66">
        <f>IF(X66=0,0,(X66-E66)/X66)</f>
        <v/>
      </c>
      <c r="Z66">
        <f>IFERROR(VLOOKUP(A66, KEEPA!$A$4:$AW$5000, 28, FALSE), 0)</f>
        <v/>
      </c>
      <c r="AA66">
        <f>IF(Z66=0,0,(Z66-E66)/Z66)</f>
        <v/>
      </c>
    </row>
    <row r="67">
      <c r="D67">
        <f>IFERROR(VLOOKUP(A67, RESEARCH!$A$4:$AS$5000, 14, FALSE), 0)</f>
        <v/>
      </c>
      <c r="E67">
        <f>IFERROR(VLOOKUP(A67, RESEARCH!$A$4:$AS$5000, 8, FALSE), 0)</f>
        <v/>
      </c>
      <c r="F67">
        <f>D67-N67</f>
        <v/>
      </c>
      <c r="G67">
        <f>IF(N67=0,0,F67/N67)</f>
        <v/>
      </c>
      <c r="H67">
        <f>IFERROR(VLOOKUP(A67, RESEARCH!$A$4:$AS$5000, 9, FALSE), 0)</f>
        <v/>
      </c>
      <c r="L67">
        <f>IF(H67=0, 999, AB67/(H67/30))</f>
        <v/>
      </c>
      <c r="N67">
        <f>IFERROR(VLOOKUP(A67, RESEARCH!$A$4:$AS$5000, 13, FALSE), 0)</f>
        <v/>
      </c>
      <c r="O67">
        <f>MAX(0, ($L$2 * (H67/30)) - AB67)</f>
        <v/>
      </c>
      <c r="P67">
        <f>N67*O67</f>
        <v/>
      </c>
      <c r="X67">
        <f>IFERROR(VLOOKUP(A67, KEEPA!$A$4:$AW$5000, 26, FALSE), 0)</f>
        <v/>
      </c>
      <c r="Y67">
        <f>IF(X67=0,0,(X67-E67)/X67)</f>
        <v/>
      </c>
      <c r="Z67">
        <f>IFERROR(VLOOKUP(A67, KEEPA!$A$4:$AW$5000, 28, FALSE), 0)</f>
        <v/>
      </c>
      <c r="AA67">
        <f>IF(Z67=0,0,(Z67-E67)/Z67)</f>
        <v/>
      </c>
    </row>
    <row r="68">
      <c r="D68">
        <f>IFERROR(VLOOKUP(A68, RESEARCH!$A$4:$AS$5000, 14, FALSE), 0)</f>
        <v/>
      </c>
      <c r="E68">
        <f>IFERROR(VLOOKUP(A68, RESEARCH!$A$4:$AS$5000, 8, FALSE), 0)</f>
        <v/>
      </c>
      <c r="F68">
        <f>D68-N68</f>
        <v/>
      </c>
      <c r="G68">
        <f>IF(N68=0,0,F68/N68)</f>
        <v/>
      </c>
      <c r="H68">
        <f>IFERROR(VLOOKUP(A68, RESEARCH!$A$4:$AS$5000, 9, FALSE), 0)</f>
        <v/>
      </c>
      <c r="L68">
        <f>IF(H68=0, 999, AB68/(H68/30))</f>
        <v/>
      </c>
      <c r="N68">
        <f>IFERROR(VLOOKUP(A68, RESEARCH!$A$4:$AS$5000, 13, FALSE), 0)</f>
        <v/>
      </c>
      <c r="O68">
        <f>MAX(0, ($L$2 * (H68/30)) - AB68)</f>
        <v/>
      </c>
      <c r="P68">
        <f>N68*O68</f>
        <v/>
      </c>
      <c r="X68">
        <f>IFERROR(VLOOKUP(A68, KEEPA!$A$4:$AW$5000, 26, FALSE), 0)</f>
        <v/>
      </c>
      <c r="Y68">
        <f>IF(X68=0,0,(X68-E68)/X68)</f>
        <v/>
      </c>
      <c r="Z68">
        <f>IFERROR(VLOOKUP(A68, KEEPA!$A$4:$AW$5000, 28, FALSE), 0)</f>
        <v/>
      </c>
      <c r="AA68">
        <f>IF(Z68=0,0,(Z68-E68)/Z68)</f>
        <v/>
      </c>
    </row>
    <row r="69">
      <c r="D69">
        <f>IFERROR(VLOOKUP(A69, RESEARCH!$A$4:$AS$5000, 14, FALSE), 0)</f>
        <v/>
      </c>
      <c r="E69">
        <f>IFERROR(VLOOKUP(A69, RESEARCH!$A$4:$AS$5000, 8, FALSE), 0)</f>
        <v/>
      </c>
      <c r="F69">
        <f>D69-N69</f>
        <v/>
      </c>
      <c r="G69">
        <f>IF(N69=0,0,F69/N69)</f>
        <v/>
      </c>
      <c r="H69">
        <f>IFERROR(VLOOKUP(A69, RESEARCH!$A$4:$AS$5000, 9, FALSE), 0)</f>
        <v/>
      </c>
      <c r="L69">
        <f>IF(H69=0, 999, AB69/(H69/30))</f>
        <v/>
      </c>
      <c r="N69">
        <f>IFERROR(VLOOKUP(A69, RESEARCH!$A$4:$AS$5000, 13, FALSE), 0)</f>
        <v/>
      </c>
      <c r="O69">
        <f>MAX(0, ($L$2 * (H69/30)) - AB69)</f>
        <v/>
      </c>
      <c r="P69">
        <f>N69*O69</f>
        <v/>
      </c>
      <c r="X69">
        <f>IFERROR(VLOOKUP(A69, KEEPA!$A$4:$AW$5000, 26, FALSE), 0)</f>
        <v/>
      </c>
      <c r="Y69">
        <f>IF(X69=0,0,(X69-E69)/X69)</f>
        <v/>
      </c>
      <c r="Z69">
        <f>IFERROR(VLOOKUP(A69, KEEPA!$A$4:$AW$5000, 28, FALSE), 0)</f>
        <v/>
      </c>
      <c r="AA69">
        <f>IF(Z69=0,0,(Z69-E69)/Z69)</f>
        <v/>
      </c>
    </row>
    <row r="70">
      <c r="D70">
        <f>IFERROR(VLOOKUP(A70, RESEARCH!$A$4:$AS$5000, 14, FALSE), 0)</f>
        <v/>
      </c>
      <c r="E70">
        <f>IFERROR(VLOOKUP(A70, RESEARCH!$A$4:$AS$5000, 8, FALSE), 0)</f>
        <v/>
      </c>
      <c r="F70">
        <f>D70-N70</f>
        <v/>
      </c>
      <c r="G70">
        <f>IF(N70=0,0,F70/N70)</f>
        <v/>
      </c>
      <c r="H70">
        <f>IFERROR(VLOOKUP(A70, RESEARCH!$A$4:$AS$5000, 9, FALSE), 0)</f>
        <v/>
      </c>
      <c r="L70">
        <f>IF(H70=0, 999, AB70/(H70/30))</f>
        <v/>
      </c>
      <c r="N70">
        <f>IFERROR(VLOOKUP(A70, RESEARCH!$A$4:$AS$5000, 13, FALSE), 0)</f>
        <v/>
      </c>
      <c r="O70">
        <f>MAX(0, ($L$2 * (H70/30)) - AB70)</f>
        <v/>
      </c>
      <c r="P70">
        <f>N70*O70</f>
        <v/>
      </c>
      <c r="X70">
        <f>IFERROR(VLOOKUP(A70, KEEPA!$A$4:$AW$5000, 26, FALSE), 0)</f>
        <v/>
      </c>
      <c r="Y70">
        <f>IF(X70=0,0,(X70-E70)/X70)</f>
        <v/>
      </c>
      <c r="Z70">
        <f>IFERROR(VLOOKUP(A70, KEEPA!$A$4:$AW$5000, 28, FALSE), 0)</f>
        <v/>
      </c>
      <c r="AA70">
        <f>IF(Z70=0,0,(Z70-E70)/Z70)</f>
        <v/>
      </c>
    </row>
    <row r="71">
      <c r="D71">
        <f>IFERROR(VLOOKUP(A71, RESEARCH!$A$4:$AS$5000, 14, FALSE), 0)</f>
        <v/>
      </c>
      <c r="E71">
        <f>IFERROR(VLOOKUP(A71, RESEARCH!$A$4:$AS$5000, 8, FALSE), 0)</f>
        <v/>
      </c>
      <c r="F71">
        <f>D71-N71</f>
        <v/>
      </c>
      <c r="G71">
        <f>IF(N71=0,0,F71/N71)</f>
        <v/>
      </c>
      <c r="H71">
        <f>IFERROR(VLOOKUP(A71, RESEARCH!$A$4:$AS$5000, 9, FALSE), 0)</f>
        <v/>
      </c>
      <c r="L71">
        <f>IF(H71=0, 999, AB71/(H71/30))</f>
        <v/>
      </c>
      <c r="N71">
        <f>IFERROR(VLOOKUP(A71, RESEARCH!$A$4:$AS$5000, 13, FALSE), 0)</f>
        <v/>
      </c>
      <c r="O71">
        <f>MAX(0, ($L$2 * (H71/30)) - AB71)</f>
        <v/>
      </c>
      <c r="P71">
        <f>N71*O71</f>
        <v/>
      </c>
      <c r="X71">
        <f>IFERROR(VLOOKUP(A71, KEEPA!$A$4:$AW$5000, 26, FALSE), 0)</f>
        <v/>
      </c>
      <c r="Y71">
        <f>IF(X71=0,0,(X71-E71)/X71)</f>
        <v/>
      </c>
      <c r="Z71">
        <f>IFERROR(VLOOKUP(A71, KEEPA!$A$4:$AW$5000, 28, FALSE), 0)</f>
        <v/>
      </c>
      <c r="AA71">
        <f>IF(Z71=0,0,(Z71-E71)/Z71)</f>
        <v/>
      </c>
    </row>
    <row r="72">
      <c r="D72">
        <f>IFERROR(VLOOKUP(A72, RESEARCH!$A$4:$AS$5000, 14, FALSE), 0)</f>
        <v/>
      </c>
      <c r="E72">
        <f>IFERROR(VLOOKUP(A72, RESEARCH!$A$4:$AS$5000, 8, FALSE), 0)</f>
        <v/>
      </c>
      <c r="F72">
        <f>D72-N72</f>
        <v/>
      </c>
      <c r="G72">
        <f>IF(N72=0,0,F72/N72)</f>
        <v/>
      </c>
      <c r="H72">
        <f>IFERROR(VLOOKUP(A72, RESEARCH!$A$4:$AS$5000, 9, FALSE), 0)</f>
        <v/>
      </c>
      <c r="L72">
        <f>IF(H72=0, 999, AB72/(H72/30))</f>
        <v/>
      </c>
      <c r="N72">
        <f>IFERROR(VLOOKUP(A72, RESEARCH!$A$4:$AS$5000, 13, FALSE), 0)</f>
        <v/>
      </c>
      <c r="O72">
        <f>MAX(0, ($L$2 * (H72/30)) - AB72)</f>
        <v/>
      </c>
      <c r="P72">
        <f>N72*O72</f>
        <v/>
      </c>
      <c r="X72">
        <f>IFERROR(VLOOKUP(A72, KEEPA!$A$4:$AW$5000, 26, FALSE), 0)</f>
        <v/>
      </c>
      <c r="Y72">
        <f>IF(X72=0,0,(X72-E72)/X72)</f>
        <v/>
      </c>
      <c r="Z72">
        <f>IFERROR(VLOOKUP(A72, KEEPA!$A$4:$AW$5000, 28, FALSE), 0)</f>
        <v/>
      </c>
      <c r="AA72">
        <f>IF(Z72=0,0,(Z72-E72)/Z72)</f>
        <v/>
      </c>
    </row>
    <row r="73">
      <c r="D73">
        <f>IFERROR(VLOOKUP(A73, RESEARCH!$A$4:$AS$5000, 14, FALSE), 0)</f>
        <v/>
      </c>
      <c r="E73">
        <f>IFERROR(VLOOKUP(A73, RESEARCH!$A$4:$AS$5000, 8, FALSE), 0)</f>
        <v/>
      </c>
      <c r="F73">
        <f>D73-N73</f>
        <v/>
      </c>
      <c r="G73">
        <f>IF(N73=0,0,F73/N73)</f>
        <v/>
      </c>
      <c r="H73">
        <f>IFERROR(VLOOKUP(A73, RESEARCH!$A$4:$AS$5000, 9, FALSE), 0)</f>
        <v/>
      </c>
      <c r="L73">
        <f>IF(H73=0, 999, AB73/(H73/30))</f>
        <v/>
      </c>
      <c r="N73">
        <f>IFERROR(VLOOKUP(A73, RESEARCH!$A$4:$AS$5000, 13, FALSE), 0)</f>
        <v/>
      </c>
      <c r="O73">
        <f>MAX(0, ($L$2 * (H73/30)) - AB73)</f>
        <v/>
      </c>
      <c r="P73">
        <f>N73*O73</f>
        <v/>
      </c>
      <c r="X73">
        <f>IFERROR(VLOOKUP(A73, KEEPA!$A$4:$AW$5000, 26, FALSE), 0)</f>
        <v/>
      </c>
      <c r="Y73">
        <f>IF(X73=0,0,(X73-E73)/X73)</f>
        <v/>
      </c>
      <c r="Z73">
        <f>IFERROR(VLOOKUP(A73, KEEPA!$A$4:$AW$5000, 28, FALSE), 0)</f>
        <v/>
      </c>
      <c r="AA73">
        <f>IF(Z73=0,0,(Z73-E73)/Z73)</f>
        <v/>
      </c>
    </row>
    <row r="74">
      <c r="D74">
        <f>IFERROR(VLOOKUP(A74, RESEARCH!$A$4:$AS$5000, 14, FALSE), 0)</f>
        <v/>
      </c>
      <c r="E74">
        <f>IFERROR(VLOOKUP(A74, RESEARCH!$A$4:$AS$5000, 8, FALSE), 0)</f>
        <v/>
      </c>
      <c r="F74">
        <f>D74-N74</f>
        <v/>
      </c>
      <c r="G74">
        <f>IF(N74=0,0,F74/N74)</f>
        <v/>
      </c>
      <c r="H74">
        <f>IFERROR(VLOOKUP(A74, RESEARCH!$A$4:$AS$5000, 9, FALSE), 0)</f>
        <v/>
      </c>
      <c r="L74">
        <f>IF(H74=0, 999, AB74/(H74/30))</f>
        <v/>
      </c>
      <c r="N74">
        <f>IFERROR(VLOOKUP(A74, RESEARCH!$A$4:$AS$5000, 13, FALSE), 0)</f>
        <v/>
      </c>
      <c r="O74">
        <f>MAX(0, ($L$2 * (H74/30)) - AB74)</f>
        <v/>
      </c>
      <c r="P74">
        <f>N74*O74</f>
        <v/>
      </c>
      <c r="X74">
        <f>IFERROR(VLOOKUP(A74, KEEPA!$A$4:$AW$5000, 26, FALSE), 0)</f>
        <v/>
      </c>
      <c r="Y74">
        <f>IF(X74=0,0,(X74-E74)/X74)</f>
        <v/>
      </c>
      <c r="Z74">
        <f>IFERROR(VLOOKUP(A74, KEEPA!$A$4:$AW$5000, 28, FALSE), 0)</f>
        <v/>
      </c>
      <c r="AA74">
        <f>IF(Z74=0,0,(Z74-E74)/Z74)</f>
        <v/>
      </c>
    </row>
    <row r="75">
      <c r="D75">
        <f>IFERROR(VLOOKUP(A75, RESEARCH!$A$4:$AS$5000, 14, FALSE), 0)</f>
        <v/>
      </c>
      <c r="E75">
        <f>IFERROR(VLOOKUP(A75, RESEARCH!$A$4:$AS$5000, 8, FALSE), 0)</f>
        <v/>
      </c>
      <c r="F75">
        <f>D75-N75</f>
        <v/>
      </c>
      <c r="G75">
        <f>IF(N75=0,0,F75/N75)</f>
        <v/>
      </c>
      <c r="H75">
        <f>IFERROR(VLOOKUP(A75, RESEARCH!$A$4:$AS$5000, 9, FALSE), 0)</f>
        <v/>
      </c>
      <c r="L75">
        <f>IF(H75=0, 999, AB75/(H75/30))</f>
        <v/>
      </c>
      <c r="N75">
        <f>IFERROR(VLOOKUP(A75, RESEARCH!$A$4:$AS$5000, 13, FALSE), 0)</f>
        <v/>
      </c>
      <c r="O75">
        <f>MAX(0, ($L$2 * (H75/30)) - AB75)</f>
        <v/>
      </c>
      <c r="P75">
        <f>N75*O75</f>
        <v/>
      </c>
      <c r="X75">
        <f>IFERROR(VLOOKUP(A75, KEEPA!$A$4:$AW$5000, 26, FALSE), 0)</f>
        <v/>
      </c>
      <c r="Y75">
        <f>IF(X75=0,0,(X75-E75)/X75)</f>
        <v/>
      </c>
      <c r="Z75">
        <f>IFERROR(VLOOKUP(A75, KEEPA!$A$4:$AW$5000, 28, FALSE), 0)</f>
        <v/>
      </c>
      <c r="AA75">
        <f>IF(Z75=0,0,(Z75-E75)/Z75)</f>
        <v/>
      </c>
    </row>
    <row r="76">
      <c r="D76">
        <f>IFERROR(VLOOKUP(A76, RESEARCH!$A$4:$AS$5000, 14, FALSE), 0)</f>
        <v/>
      </c>
      <c r="E76">
        <f>IFERROR(VLOOKUP(A76, RESEARCH!$A$4:$AS$5000, 8, FALSE), 0)</f>
        <v/>
      </c>
      <c r="F76">
        <f>D76-N76</f>
        <v/>
      </c>
      <c r="G76">
        <f>IF(N76=0,0,F76/N76)</f>
        <v/>
      </c>
      <c r="H76">
        <f>IFERROR(VLOOKUP(A76, RESEARCH!$A$4:$AS$5000, 9, FALSE), 0)</f>
        <v/>
      </c>
      <c r="L76">
        <f>IF(H76=0, 999, AB76/(H76/30))</f>
        <v/>
      </c>
      <c r="N76">
        <f>IFERROR(VLOOKUP(A76, RESEARCH!$A$4:$AS$5000, 13, FALSE), 0)</f>
        <v/>
      </c>
      <c r="O76">
        <f>MAX(0, ($L$2 * (H76/30)) - AB76)</f>
        <v/>
      </c>
      <c r="P76">
        <f>N76*O76</f>
        <v/>
      </c>
      <c r="X76">
        <f>IFERROR(VLOOKUP(A76, KEEPA!$A$4:$AW$5000, 26, FALSE), 0)</f>
        <v/>
      </c>
      <c r="Y76">
        <f>IF(X76=0,0,(X76-E76)/X76)</f>
        <v/>
      </c>
      <c r="Z76">
        <f>IFERROR(VLOOKUP(A76, KEEPA!$A$4:$AW$5000, 28, FALSE), 0)</f>
        <v/>
      </c>
      <c r="AA76">
        <f>IF(Z76=0,0,(Z76-E76)/Z76)</f>
        <v/>
      </c>
    </row>
    <row r="77">
      <c r="D77">
        <f>IFERROR(VLOOKUP(A77, RESEARCH!$A$4:$AS$5000, 14, FALSE), 0)</f>
        <v/>
      </c>
      <c r="E77">
        <f>IFERROR(VLOOKUP(A77, RESEARCH!$A$4:$AS$5000, 8, FALSE), 0)</f>
        <v/>
      </c>
      <c r="F77">
        <f>D77-N77</f>
        <v/>
      </c>
      <c r="G77">
        <f>IF(N77=0,0,F77/N77)</f>
        <v/>
      </c>
      <c r="H77">
        <f>IFERROR(VLOOKUP(A77, RESEARCH!$A$4:$AS$5000, 9, FALSE), 0)</f>
        <v/>
      </c>
      <c r="L77">
        <f>IF(H77=0, 999, AB77/(H77/30))</f>
        <v/>
      </c>
      <c r="N77">
        <f>IFERROR(VLOOKUP(A77, RESEARCH!$A$4:$AS$5000, 13, FALSE), 0)</f>
        <v/>
      </c>
      <c r="O77">
        <f>MAX(0, ($L$2 * (H77/30)) - AB77)</f>
        <v/>
      </c>
      <c r="P77">
        <f>N77*O77</f>
        <v/>
      </c>
      <c r="X77">
        <f>IFERROR(VLOOKUP(A77, KEEPA!$A$4:$AW$5000, 26, FALSE), 0)</f>
        <v/>
      </c>
      <c r="Y77">
        <f>IF(X77=0,0,(X77-E77)/X77)</f>
        <v/>
      </c>
      <c r="Z77">
        <f>IFERROR(VLOOKUP(A77, KEEPA!$A$4:$AW$5000, 28, FALSE), 0)</f>
        <v/>
      </c>
      <c r="AA77">
        <f>IF(Z77=0,0,(Z77-E77)/Z77)</f>
        <v/>
      </c>
    </row>
    <row r="78">
      <c r="D78">
        <f>IFERROR(VLOOKUP(A78, RESEARCH!$A$4:$AS$5000, 14, FALSE), 0)</f>
        <v/>
      </c>
      <c r="E78">
        <f>IFERROR(VLOOKUP(A78, RESEARCH!$A$4:$AS$5000, 8, FALSE), 0)</f>
        <v/>
      </c>
      <c r="F78">
        <f>D78-N78</f>
        <v/>
      </c>
      <c r="G78">
        <f>IF(N78=0,0,F78/N78)</f>
        <v/>
      </c>
      <c r="H78">
        <f>IFERROR(VLOOKUP(A78, RESEARCH!$A$4:$AS$5000, 9, FALSE), 0)</f>
        <v/>
      </c>
      <c r="L78">
        <f>IF(H78=0, 999, AB78/(H78/30))</f>
        <v/>
      </c>
      <c r="N78">
        <f>IFERROR(VLOOKUP(A78, RESEARCH!$A$4:$AS$5000, 13, FALSE), 0)</f>
        <v/>
      </c>
      <c r="O78">
        <f>MAX(0, ($L$2 * (H78/30)) - AB78)</f>
        <v/>
      </c>
      <c r="P78">
        <f>N78*O78</f>
        <v/>
      </c>
      <c r="X78">
        <f>IFERROR(VLOOKUP(A78, KEEPA!$A$4:$AW$5000, 26, FALSE), 0)</f>
        <v/>
      </c>
      <c r="Y78">
        <f>IF(X78=0,0,(X78-E78)/X78)</f>
        <v/>
      </c>
      <c r="Z78">
        <f>IFERROR(VLOOKUP(A78, KEEPA!$A$4:$AW$5000, 28, FALSE), 0)</f>
        <v/>
      </c>
      <c r="AA78">
        <f>IF(Z78=0,0,(Z78-E78)/Z78)</f>
        <v/>
      </c>
    </row>
    <row r="79">
      <c r="D79">
        <f>IFERROR(VLOOKUP(A79, RESEARCH!$A$4:$AS$5000, 14, FALSE), 0)</f>
        <v/>
      </c>
      <c r="E79">
        <f>IFERROR(VLOOKUP(A79, RESEARCH!$A$4:$AS$5000, 8, FALSE), 0)</f>
        <v/>
      </c>
      <c r="F79">
        <f>D79-N79</f>
        <v/>
      </c>
      <c r="G79">
        <f>IF(N79=0,0,F79/N79)</f>
        <v/>
      </c>
      <c r="H79">
        <f>IFERROR(VLOOKUP(A79, RESEARCH!$A$4:$AS$5000, 9, FALSE), 0)</f>
        <v/>
      </c>
      <c r="L79">
        <f>IF(H79=0, 999, AB79/(H79/30))</f>
        <v/>
      </c>
      <c r="N79">
        <f>IFERROR(VLOOKUP(A79, RESEARCH!$A$4:$AS$5000, 13, FALSE), 0)</f>
        <v/>
      </c>
      <c r="O79">
        <f>MAX(0, ($L$2 * (H79/30)) - AB79)</f>
        <v/>
      </c>
      <c r="P79">
        <f>N79*O79</f>
        <v/>
      </c>
      <c r="X79">
        <f>IFERROR(VLOOKUP(A79, KEEPA!$A$4:$AW$5000, 26, FALSE), 0)</f>
        <v/>
      </c>
      <c r="Y79">
        <f>IF(X79=0,0,(X79-E79)/X79)</f>
        <v/>
      </c>
      <c r="Z79">
        <f>IFERROR(VLOOKUP(A79, KEEPA!$A$4:$AW$5000, 28, FALSE), 0)</f>
        <v/>
      </c>
      <c r="AA79">
        <f>IF(Z79=0,0,(Z79-E79)/Z79)</f>
        <v/>
      </c>
    </row>
    <row r="80">
      <c r="D80">
        <f>IFERROR(VLOOKUP(A80, RESEARCH!$A$4:$AS$5000, 14, FALSE), 0)</f>
        <v/>
      </c>
      <c r="E80">
        <f>IFERROR(VLOOKUP(A80, RESEARCH!$A$4:$AS$5000, 8, FALSE), 0)</f>
        <v/>
      </c>
      <c r="F80">
        <f>D80-N80</f>
        <v/>
      </c>
      <c r="G80">
        <f>IF(N80=0,0,F80/N80)</f>
        <v/>
      </c>
      <c r="H80">
        <f>IFERROR(VLOOKUP(A80, RESEARCH!$A$4:$AS$5000, 9, FALSE), 0)</f>
        <v/>
      </c>
      <c r="L80">
        <f>IF(H80=0, 999, AB80/(H80/30))</f>
        <v/>
      </c>
      <c r="N80">
        <f>IFERROR(VLOOKUP(A80, RESEARCH!$A$4:$AS$5000, 13, FALSE), 0)</f>
        <v/>
      </c>
      <c r="O80">
        <f>MAX(0, ($L$2 * (H80/30)) - AB80)</f>
        <v/>
      </c>
      <c r="P80">
        <f>N80*O80</f>
        <v/>
      </c>
      <c r="X80">
        <f>IFERROR(VLOOKUP(A80, KEEPA!$A$4:$AW$5000, 26, FALSE), 0)</f>
        <v/>
      </c>
      <c r="Y80">
        <f>IF(X80=0,0,(X80-E80)/X80)</f>
        <v/>
      </c>
      <c r="Z80">
        <f>IFERROR(VLOOKUP(A80, KEEPA!$A$4:$AW$5000, 28, FALSE), 0)</f>
        <v/>
      </c>
      <c r="AA80">
        <f>IF(Z80=0,0,(Z80-E80)/Z80)</f>
        <v/>
      </c>
    </row>
    <row r="81">
      <c r="D81">
        <f>IFERROR(VLOOKUP(A81, RESEARCH!$A$4:$AS$5000, 14, FALSE), 0)</f>
        <v/>
      </c>
      <c r="E81">
        <f>IFERROR(VLOOKUP(A81, RESEARCH!$A$4:$AS$5000, 8, FALSE), 0)</f>
        <v/>
      </c>
      <c r="F81">
        <f>D81-N81</f>
        <v/>
      </c>
      <c r="G81">
        <f>IF(N81=0,0,F81/N81)</f>
        <v/>
      </c>
      <c r="H81">
        <f>IFERROR(VLOOKUP(A81, RESEARCH!$A$4:$AS$5000, 9, FALSE), 0)</f>
        <v/>
      </c>
      <c r="L81">
        <f>IF(H81=0, 999, AB81/(H81/30))</f>
        <v/>
      </c>
      <c r="N81">
        <f>IFERROR(VLOOKUP(A81, RESEARCH!$A$4:$AS$5000, 13, FALSE), 0)</f>
        <v/>
      </c>
      <c r="O81">
        <f>MAX(0, ($L$2 * (H81/30)) - AB81)</f>
        <v/>
      </c>
      <c r="P81">
        <f>N81*O81</f>
        <v/>
      </c>
      <c r="X81">
        <f>IFERROR(VLOOKUP(A81, KEEPA!$A$4:$AW$5000, 26, FALSE), 0)</f>
        <v/>
      </c>
      <c r="Y81">
        <f>IF(X81=0,0,(X81-E81)/X81)</f>
        <v/>
      </c>
      <c r="Z81">
        <f>IFERROR(VLOOKUP(A81, KEEPA!$A$4:$AW$5000, 28, FALSE), 0)</f>
        <v/>
      </c>
      <c r="AA81">
        <f>IF(Z81=0,0,(Z81-E81)/Z81)</f>
        <v/>
      </c>
    </row>
    <row r="82">
      <c r="D82">
        <f>IFERROR(VLOOKUP(A82, RESEARCH!$A$4:$AS$5000, 14, FALSE), 0)</f>
        <v/>
      </c>
      <c r="E82">
        <f>IFERROR(VLOOKUP(A82, RESEARCH!$A$4:$AS$5000, 8, FALSE), 0)</f>
        <v/>
      </c>
      <c r="F82">
        <f>D82-N82</f>
        <v/>
      </c>
      <c r="G82">
        <f>IF(N82=0,0,F82/N82)</f>
        <v/>
      </c>
      <c r="H82">
        <f>IFERROR(VLOOKUP(A82, RESEARCH!$A$4:$AS$5000, 9, FALSE), 0)</f>
        <v/>
      </c>
      <c r="L82">
        <f>IF(H82=0, 999, AB82/(H82/30))</f>
        <v/>
      </c>
      <c r="N82">
        <f>IFERROR(VLOOKUP(A82, RESEARCH!$A$4:$AS$5000, 13, FALSE), 0)</f>
        <v/>
      </c>
      <c r="O82">
        <f>MAX(0, ($L$2 * (H82/30)) - AB82)</f>
        <v/>
      </c>
      <c r="P82">
        <f>N82*O82</f>
        <v/>
      </c>
      <c r="X82">
        <f>IFERROR(VLOOKUP(A82, KEEPA!$A$4:$AW$5000, 26, FALSE), 0)</f>
        <v/>
      </c>
      <c r="Y82">
        <f>IF(X82=0,0,(X82-E82)/X82)</f>
        <v/>
      </c>
      <c r="Z82">
        <f>IFERROR(VLOOKUP(A82, KEEPA!$A$4:$AW$5000, 28, FALSE), 0)</f>
        <v/>
      </c>
      <c r="AA82">
        <f>IF(Z82=0,0,(Z82-E82)/Z82)</f>
        <v/>
      </c>
    </row>
    <row r="83">
      <c r="D83">
        <f>IFERROR(VLOOKUP(A83, RESEARCH!$A$4:$AS$5000, 14, FALSE), 0)</f>
        <v/>
      </c>
      <c r="E83">
        <f>IFERROR(VLOOKUP(A83, RESEARCH!$A$4:$AS$5000, 8, FALSE), 0)</f>
        <v/>
      </c>
      <c r="F83">
        <f>D83-N83</f>
        <v/>
      </c>
      <c r="G83">
        <f>IF(N83=0,0,F83/N83)</f>
        <v/>
      </c>
      <c r="H83">
        <f>IFERROR(VLOOKUP(A83, RESEARCH!$A$4:$AS$5000, 9, FALSE), 0)</f>
        <v/>
      </c>
      <c r="L83">
        <f>IF(H83=0, 999, AB83/(H83/30))</f>
        <v/>
      </c>
      <c r="N83">
        <f>IFERROR(VLOOKUP(A83, RESEARCH!$A$4:$AS$5000, 13, FALSE), 0)</f>
        <v/>
      </c>
      <c r="O83">
        <f>MAX(0, ($L$2 * (H83/30)) - AB83)</f>
        <v/>
      </c>
      <c r="P83">
        <f>N83*O83</f>
        <v/>
      </c>
      <c r="X83">
        <f>IFERROR(VLOOKUP(A83, KEEPA!$A$4:$AW$5000, 26, FALSE), 0)</f>
        <v/>
      </c>
      <c r="Y83">
        <f>IF(X83=0,0,(X83-E83)/X83)</f>
        <v/>
      </c>
      <c r="Z83">
        <f>IFERROR(VLOOKUP(A83, KEEPA!$A$4:$AW$5000, 28, FALSE), 0)</f>
        <v/>
      </c>
      <c r="AA83">
        <f>IF(Z83=0,0,(Z83-E83)/Z83)</f>
        <v/>
      </c>
    </row>
    <row r="84">
      <c r="D84">
        <f>IFERROR(VLOOKUP(A84, RESEARCH!$A$4:$AS$5000, 14, FALSE), 0)</f>
        <v/>
      </c>
      <c r="E84">
        <f>IFERROR(VLOOKUP(A84, RESEARCH!$A$4:$AS$5000, 8, FALSE), 0)</f>
        <v/>
      </c>
      <c r="F84">
        <f>D84-N84</f>
        <v/>
      </c>
      <c r="G84">
        <f>IF(N84=0,0,F84/N84)</f>
        <v/>
      </c>
      <c r="H84">
        <f>IFERROR(VLOOKUP(A84, RESEARCH!$A$4:$AS$5000, 9, FALSE), 0)</f>
        <v/>
      </c>
      <c r="L84">
        <f>IF(H84=0, 999, AB84/(H84/30))</f>
        <v/>
      </c>
      <c r="N84">
        <f>IFERROR(VLOOKUP(A84, RESEARCH!$A$4:$AS$5000, 13, FALSE), 0)</f>
        <v/>
      </c>
      <c r="O84">
        <f>MAX(0, ($L$2 * (H84/30)) - AB84)</f>
        <v/>
      </c>
      <c r="P84">
        <f>N84*O84</f>
        <v/>
      </c>
      <c r="X84">
        <f>IFERROR(VLOOKUP(A84, KEEPA!$A$4:$AW$5000, 26, FALSE), 0)</f>
        <v/>
      </c>
      <c r="Y84">
        <f>IF(X84=0,0,(X84-E84)/X84)</f>
        <v/>
      </c>
      <c r="Z84">
        <f>IFERROR(VLOOKUP(A84, KEEPA!$A$4:$AW$5000, 28, FALSE), 0)</f>
        <v/>
      </c>
      <c r="AA84">
        <f>IF(Z84=0,0,(Z84-E84)/Z84)</f>
        <v/>
      </c>
    </row>
    <row r="85">
      <c r="D85">
        <f>IFERROR(VLOOKUP(A85, RESEARCH!$A$4:$AS$5000, 14, FALSE), 0)</f>
        <v/>
      </c>
      <c r="E85">
        <f>IFERROR(VLOOKUP(A85, RESEARCH!$A$4:$AS$5000, 8, FALSE), 0)</f>
        <v/>
      </c>
      <c r="F85">
        <f>D85-N85</f>
        <v/>
      </c>
      <c r="G85">
        <f>IF(N85=0,0,F85/N85)</f>
        <v/>
      </c>
      <c r="H85">
        <f>IFERROR(VLOOKUP(A85, RESEARCH!$A$4:$AS$5000, 9, FALSE), 0)</f>
        <v/>
      </c>
      <c r="L85">
        <f>IF(H85=0, 999, AB85/(H85/30))</f>
        <v/>
      </c>
      <c r="N85">
        <f>IFERROR(VLOOKUP(A85, RESEARCH!$A$4:$AS$5000, 13, FALSE), 0)</f>
        <v/>
      </c>
      <c r="O85">
        <f>MAX(0, ($L$2 * (H85/30)) - AB85)</f>
        <v/>
      </c>
      <c r="P85">
        <f>N85*O85</f>
        <v/>
      </c>
      <c r="X85">
        <f>IFERROR(VLOOKUP(A85, KEEPA!$A$4:$AW$5000, 26, FALSE), 0)</f>
        <v/>
      </c>
      <c r="Y85">
        <f>IF(X85=0,0,(X85-E85)/X85)</f>
        <v/>
      </c>
      <c r="Z85">
        <f>IFERROR(VLOOKUP(A85, KEEPA!$A$4:$AW$5000, 28, FALSE), 0)</f>
        <v/>
      </c>
      <c r="AA85">
        <f>IF(Z85=0,0,(Z85-E85)/Z85)</f>
        <v/>
      </c>
    </row>
    <row r="86">
      <c r="D86">
        <f>IFERROR(VLOOKUP(A86, RESEARCH!$A$4:$AS$5000, 14, FALSE), 0)</f>
        <v/>
      </c>
      <c r="E86">
        <f>IFERROR(VLOOKUP(A86, RESEARCH!$A$4:$AS$5000, 8, FALSE), 0)</f>
        <v/>
      </c>
      <c r="F86">
        <f>D86-N86</f>
        <v/>
      </c>
      <c r="G86">
        <f>IF(N86=0,0,F86/N86)</f>
        <v/>
      </c>
      <c r="H86">
        <f>IFERROR(VLOOKUP(A86, RESEARCH!$A$4:$AS$5000, 9, FALSE), 0)</f>
        <v/>
      </c>
      <c r="L86">
        <f>IF(H86=0, 999, AB86/(H86/30))</f>
        <v/>
      </c>
      <c r="N86">
        <f>IFERROR(VLOOKUP(A86, RESEARCH!$A$4:$AS$5000, 13, FALSE), 0)</f>
        <v/>
      </c>
      <c r="O86">
        <f>MAX(0, ($L$2 * (H86/30)) - AB86)</f>
        <v/>
      </c>
      <c r="P86">
        <f>N86*O86</f>
        <v/>
      </c>
      <c r="X86">
        <f>IFERROR(VLOOKUP(A86, KEEPA!$A$4:$AW$5000, 26, FALSE), 0)</f>
        <v/>
      </c>
      <c r="Y86">
        <f>IF(X86=0,0,(X86-E86)/X86)</f>
        <v/>
      </c>
      <c r="Z86">
        <f>IFERROR(VLOOKUP(A86, KEEPA!$A$4:$AW$5000, 28, FALSE), 0)</f>
        <v/>
      </c>
      <c r="AA86">
        <f>IF(Z86=0,0,(Z86-E86)/Z86)</f>
        <v/>
      </c>
    </row>
    <row r="87">
      <c r="D87">
        <f>IFERROR(VLOOKUP(A87, RESEARCH!$A$4:$AS$5000, 14, FALSE), 0)</f>
        <v/>
      </c>
      <c r="E87">
        <f>IFERROR(VLOOKUP(A87, RESEARCH!$A$4:$AS$5000, 8, FALSE), 0)</f>
        <v/>
      </c>
      <c r="F87">
        <f>D87-N87</f>
        <v/>
      </c>
      <c r="G87">
        <f>IF(N87=0,0,F87/N87)</f>
        <v/>
      </c>
      <c r="H87">
        <f>IFERROR(VLOOKUP(A87, RESEARCH!$A$4:$AS$5000, 9, FALSE), 0)</f>
        <v/>
      </c>
      <c r="L87">
        <f>IF(H87=0, 999, AB87/(H87/30))</f>
        <v/>
      </c>
      <c r="N87">
        <f>IFERROR(VLOOKUP(A87, RESEARCH!$A$4:$AS$5000, 13, FALSE), 0)</f>
        <v/>
      </c>
      <c r="O87">
        <f>MAX(0, ($L$2 * (H87/30)) - AB87)</f>
        <v/>
      </c>
      <c r="P87">
        <f>N87*O87</f>
        <v/>
      </c>
      <c r="X87">
        <f>IFERROR(VLOOKUP(A87, KEEPA!$A$4:$AW$5000, 26, FALSE), 0)</f>
        <v/>
      </c>
      <c r="Y87">
        <f>IF(X87=0,0,(X87-E87)/X87)</f>
        <v/>
      </c>
      <c r="Z87">
        <f>IFERROR(VLOOKUP(A87, KEEPA!$A$4:$AW$5000, 28, FALSE), 0)</f>
        <v/>
      </c>
      <c r="AA87">
        <f>IF(Z87=0,0,(Z87-E87)/Z87)</f>
        <v/>
      </c>
    </row>
    <row r="88">
      <c r="D88">
        <f>IFERROR(VLOOKUP(A88, RESEARCH!$A$4:$AS$5000, 14, FALSE), 0)</f>
        <v/>
      </c>
      <c r="E88">
        <f>IFERROR(VLOOKUP(A88, RESEARCH!$A$4:$AS$5000, 8, FALSE), 0)</f>
        <v/>
      </c>
      <c r="F88">
        <f>D88-N88</f>
        <v/>
      </c>
      <c r="G88">
        <f>IF(N88=0,0,F88/N88)</f>
        <v/>
      </c>
      <c r="H88">
        <f>IFERROR(VLOOKUP(A88, RESEARCH!$A$4:$AS$5000, 9, FALSE), 0)</f>
        <v/>
      </c>
      <c r="L88">
        <f>IF(H88=0, 999, AB88/(H88/30))</f>
        <v/>
      </c>
      <c r="N88">
        <f>IFERROR(VLOOKUP(A88, RESEARCH!$A$4:$AS$5000, 13, FALSE), 0)</f>
        <v/>
      </c>
      <c r="O88">
        <f>MAX(0, ($L$2 * (H88/30)) - AB88)</f>
        <v/>
      </c>
      <c r="P88">
        <f>N88*O88</f>
        <v/>
      </c>
      <c r="X88">
        <f>IFERROR(VLOOKUP(A88, KEEPA!$A$4:$AW$5000, 26, FALSE), 0)</f>
        <v/>
      </c>
      <c r="Y88">
        <f>IF(X88=0,0,(X88-E88)/X88)</f>
        <v/>
      </c>
      <c r="Z88">
        <f>IFERROR(VLOOKUP(A88, KEEPA!$A$4:$AW$5000, 28, FALSE), 0)</f>
        <v/>
      </c>
      <c r="AA88">
        <f>IF(Z88=0,0,(Z88-E88)/Z88)</f>
        <v/>
      </c>
    </row>
    <row r="89">
      <c r="D89">
        <f>IFERROR(VLOOKUP(A89, RESEARCH!$A$4:$AS$5000, 14, FALSE), 0)</f>
        <v/>
      </c>
      <c r="E89">
        <f>IFERROR(VLOOKUP(A89, RESEARCH!$A$4:$AS$5000, 8, FALSE), 0)</f>
        <v/>
      </c>
      <c r="F89">
        <f>D89-N89</f>
        <v/>
      </c>
      <c r="G89">
        <f>IF(N89=0,0,F89/N89)</f>
        <v/>
      </c>
      <c r="H89">
        <f>IFERROR(VLOOKUP(A89, RESEARCH!$A$4:$AS$5000, 9, FALSE), 0)</f>
        <v/>
      </c>
      <c r="L89">
        <f>IF(H89=0, 999, AB89/(H89/30))</f>
        <v/>
      </c>
      <c r="N89">
        <f>IFERROR(VLOOKUP(A89, RESEARCH!$A$4:$AS$5000, 13, FALSE), 0)</f>
        <v/>
      </c>
      <c r="O89">
        <f>MAX(0, ($L$2 * (H89/30)) - AB89)</f>
        <v/>
      </c>
      <c r="P89">
        <f>N89*O89</f>
        <v/>
      </c>
      <c r="X89">
        <f>IFERROR(VLOOKUP(A89, KEEPA!$A$4:$AW$5000, 26, FALSE), 0)</f>
        <v/>
      </c>
      <c r="Y89">
        <f>IF(X89=0,0,(X89-E89)/X89)</f>
        <v/>
      </c>
      <c r="Z89">
        <f>IFERROR(VLOOKUP(A89, KEEPA!$A$4:$AW$5000, 28, FALSE), 0)</f>
        <v/>
      </c>
      <c r="AA89">
        <f>IF(Z89=0,0,(Z89-E89)/Z89)</f>
        <v/>
      </c>
    </row>
    <row r="90">
      <c r="D90">
        <f>IFERROR(VLOOKUP(A90, RESEARCH!$A$4:$AS$5000, 14, FALSE), 0)</f>
        <v/>
      </c>
      <c r="E90">
        <f>IFERROR(VLOOKUP(A90, RESEARCH!$A$4:$AS$5000, 8, FALSE), 0)</f>
        <v/>
      </c>
      <c r="F90">
        <f>D90-N90</f>
        <v/>
      </c>
      <c r="G90">
        <f>IF(N90=0,0,F90/N90)</f>
        <v/>
      </c>
      <c r="H90">
        <f>IFERROR(VLOOKUP(A90, RESEARCH!$A$4:$AS$5000, 9, FALSE), 0)</f>
        <v/>
      </c>
      <c r="L90">
        <f>IF(H90=0, 999, AB90/(H90/30))</f>
        <v/>
      </c>
      <c r="N90">
        <f>IFERROR(VLOOKUP(A90, RESEARCH!$A$4:$AS$5000, 13, FALSE), 0)</f>
        <v/>
      </c>
      <c r="O90">
        <f>MAX(0, ($L$2 * (H90/30)) - AB90)</f>
        <v/>
      </c>
      <c r="P90">
        <f>N90*O90</f>
        <v/>
      </c>
      <c r="X90">
        <f>IFERROR(VLOOKUP(A90, KEEPA!$A$4:$AW$5000, 26, FALSE), 0)</f>
        <v/>
      </c>
      <c r="Y90">
        <f>IF(X90=0,0,(X90-E90)/X90)</f>
        <v/>
      </c>
      <c r="Z90">
        <f>IFERROR(VLOOKUP(A90, KEEPA!$A$4:$AW$5000, 28, FALSE), 0)</f>
        <v/>
      </c>
      <c r="AA90">
        <f>IF(Z90=0,0,(Z90-E90)/Z90)</f>
        <v/>
      </c>
    </row>
    <row r="91">
      <c r="D91">
        <f>IFERROR(VLOOKUP(A91, RESEARCH!$A$4:$AS$5000, 14, FALSE), 0)</f>
        <v/>
      </c>
      <c r="E91">
        <f>IFERROR(VLOOKUP(A91, RESEARCH!$A$4:$AS$5000, 8, FALSE), 0)</f>
        <v/>
      </c>
      <c r="F91">
        <f>D91-N91</f>
        <v/>
      </c>
      <c r="G91">
        <f>IF(N91=0,0,F91/N91)</f>
        <v/>
      </c>
      <c r="H91">
        <f>IFERROR(VLOOKUP(A91, RESEARCH!$A$4:$AS$5000, 9, FALSE), 0)</f>
        <v/>
      </c>
      <c r="L91">
        <f>IF(H91=0, 999, AB91/(H91/30))</f>
        <v/>
      </c>
      <c r="N91">
        <f>IFERROR(VLOOKUP(A91, RESEARCH!$A$4:$AS$5000, 13, FALSE), 0)</f>
        <v/>
      </c>
      <c r="O91">
        <f>MAX(0, ($L$2 * (H91/30)) - AB91)</f>
        <v/>
      </c>
      <c r="P91">
        <f>N91*O91</f>
        <v/>
      </c>
      <c r="X91">
        <f>IFERROR(VLOOKUP(A91, KEEPA!$A$4:$AW$5000, 26, FALSE), 0)</f>
        <v/>
      </c>
      <c r="Y91">
        <f>IF(X91=0,0,(X91-E91)/X91)</f>
        <v/>
      </c>
      <c r="Z91">
        <f>IFERROR(VLOOKUP(A91, KEEPA!$A$4:$AW$5000, 28, FALSE), 0)</f>
        <v/>
      </c>
      <c r="AA91">
        <f>IF(Z91=0,0,(Z91-E91)/Z91)</f>
        <v/>
      </c>
    </row>
    <row r="92">
      <c r="D92">
        <f>IFERROR(VLOOKUP(A92, RESEARCH!$A$4:$AS$5000, 14, FALSE), 0)</f>
        <v/>
      </c>
      <c r="E92">
        <f>IFERROR(VLOOKUP(A92, RESEARCH!$A$4:$AS$5000, 8, FALSE), 0)</f>
        <v/>
      </c>
      <c r="F92">
        <f>D92-N92</f>
        <v/>
      </c>
      <c r="G92">
        <f>IF(N92=0,0,F92/N92)</f>
        <v/>
      </c>
      <c r="H92">
        <f>IFERROR(VLOOKUP(A92, RESEARCH!$A$4:$AS$5000, 9, FALSE), 0)</f>
        <v/>
      </c>
      <c r="L92">
        <f>IF(H92=0, 999, AB92/(H92/30))</f>
        <v/>
      </c>
      <c r="N92">
        <f>IFERROR(VLOOKUP(A92, RESEARCH!$A$4:$AS$5000, 13, FALSE), 0)</f>
        <v/>
      </c>
      <c r="O92">
        <f>MAX(0, ($L$2 * (H92/30)) - AB92)</f>
        <v/>
      </c>
      <c r="P92">
        <f>N92*O92</f>
        <v/>
      </c>
      <c r="X92">
        <f>IFERROR(VLOOKUP(A92, KEEPA!$A$4:$AW$5000, 26, FALSE), 0)</f>
        <v/>
      </c>
      <c r="Y92">
        <f>IF(X92=0,0,(X92-E92)/X92)</f>
        <v/>
      </c>
      <c r="Z92">
        <f>IFERROR(VLOOKUP(A92, KEEPA!$A$4:$AW$5000, 28, FALSE), 0)</f>
        <v/>
      </c>
      <c r="AA92">
        <f>IF(Z92=0,0,(Z92-E92)/Z92)</f>
        <v/>
      </c>
    </row>
    <row r="93">
      <c r="D93">
        <f>IFERROR(VLOOKUP(A93, RESEARCH!$A$4:$AS$5000, 14, FALSE), 0)</f>
        <v/>
      </c>
      <c r="E93">
        <f>IFERROR(VLOOKUP(A93, RESEARCH!$A$4:$AS$5000, 8, FALSE), 0)</f>
        <v/>
      </c>
      <c r="F93">
        <f>D93-N93</f>
        <v/>
      </c>
      <c r="G93">
        <f>IF(N93=0,0,F93/N93)</f>
        <v/>
      </c>
      <c r="H93">
        <f>IFERROR(VLOOKUP(A93, RESEARCH!$A$4:$AS$5000, 9, FALSE), 0)</f>
        <v/>
      </c>
      <c r="L93">
        <f>IF(H93=0, 999, AB93/(H93/30))</f>
        <v/>
      </c>
      <c r="N93">
        <f>IFERROR(VLOOKUP(A93, RESEARCH!$A$4:$AS$5000, 13, FALSE), 0)</f>
        <v/>
      </c>
      <c r="O93">
        <f>MAX(0, ($L$2 * (H93/30)) - AB93)</f>
        <v/>
      </c>
      <c r="P93">
        <f>N93*O93</f>
        <v/>
      </c>
      <c r="X93">
        <f>IFERROR(VLOOKUP(A93, KEEPA!$A$4:$AW$5000, 26, FALSE), 0)</f>
        <v/>
      </c>
      <c r="Y93">
        <f>IF(X93=0,0,(X93-E93)/X93)</f>
        <v/>
      </c>
      <c r="Z93">
        <f>IFERROR(VLOOKUP(A93, KEEPA!$A$4:$AW$5000, 28, FALSE), 0)</f>
        <v/>
      </c>
      <c r="AA93">
        <f>IF(Z93=0,0,(Z93-E93)/Z93)</f>
        <v/>
      </c>
    </row>
    <row r="94">
      <c r="D94">
        <f>IFERROR(VLOOKUP(A94, RESEARCH!$A$4:$AS$5000, 14, FALSE), 0)</f>
        <v/>
      </c>
      <c r="E94">
        <f>IFERROR(VLOOKUP(A94, RESEARCH!$A$4:$AS$5000, 8, FALSE), 0)</f>
        <v/>
      </c>
      <c r="F94">
        <f>D94-N94</f>
        <v/>
      </c>
      <c r="G94">
        <f>IF(N94=0,0,F94/N94)</f>
        <v/>
      </c>
      <c r="H94">
        <f>IFERROR(VLOOKUP(A94, RESEARCH!$A$4:$AS$5000, 9, FALSE), 0)</f>
        <v/>
      </c>
      <c r="L94">
        <f>IF(H94=0, 999, AB94/(H94/30))</f>
        <v/>
      </c>
      <c r="N94">
        <f>IFERROR(VLOOKUP(A94, RESEARCH!$A$4:$AS$5000, 13, FALSE), 0)</f>
        <v/>
      </c>
      <c r="O94">
        <f>MAX(0, ($L$2 * (H94/30)) - AB94)</f>
        <v/>
      </c>
      <c r="P94">
        <f>N94*O94</f>
        <v/>
      </c>
      <c r="X94">
        <f>IFERROR(VLOOKUP(A94, KEEPA!$A$4:$AW$5000, 26, FALSE), 0)</f>
        <v/>
      </c>
      <c r="Y94">
        <f>IF(X94=0,0,(X94-E94)/X94)</f>
        <v/>
      </c>
      <c r="Z94">
        <f>IFERROR(VLOOKUP(A94, KEEPA!$A$4:$AW$5000, 28, FALSE), 0)</f>
        <v/>
      </c>
      <c r="AA94">
        <f>IF(Z94=0,0,(Z94-E94)/Z94)</f>
        <v/>
      </c>
    </row>
    <row r="95">
      <c r="D95">
        <f>IFERROR(VLOOKUP(A95, RESEARCH!$A$4:$AS$5000, 14, FALSE), 0)</f>
        <v/>
      </c>
      <c r="E95">
        <f>IFERROR(VLOOKUP(A95, RESEARCH!$A$4:$AS$5000, 8, FALSE), 0)</f>
        <v/>
      </c>
      <c r="F95">
        <f>D95-N95</f>
        <v/>
      </c>
      <c r="G95">
        <f>IF(N95=0,0,F95/N95)</f>
        <v/>
      </c>
      <c r="H95">
        <f>IFERROR(VLOOKUP(A95, RESEARCH!$A$4:$AS$5000, 9, FALSE), 0)</f>
        <v/>
      </c>
      <c r="L95">
        <f>IF(H95=0, 999, AB95/(H95/30))</f>
        <v/>
      </c>
      <c r="N95">
        <f>IFERROR(VLOOKUP(A95, RESEARCH!$A$4:$AS$5000, 13, FALSE), 0)</f>
        <v/>
      </c>
      <c r="O95">
        <f>MAX(0, ($L$2 * (H95/30)) - AB95)</f>
        <v/>
      </c>
      <c r="P95">
        <f>N95*O95</f>
        <v/>
      </c>
      <c r="X95">
        <f>IFERROR(VLOOKUP(A95, KEEPA!$A$4:$AW$5000, 26, FALSE), 0)</f>
        <v/>
      </c>
      <c r="Y95">
        <f>IF(X95=0,0,(X95-E95)/X95)</f>
        <v/>
      </c>
      <c r="Z95">
        <f>IFERROR(VLOOKUP(A95, KEEPA!$A$4:$AW$5000, 28, FALSE), 0)</f>
        <v/>
      </c>
      <c r="AA95">
        <f>IF(Z95=0,0,(Z95-E95)/Z95)</f>
        <v/>
      </c>
    </row>
    <row r="96">
      <c r="D96">
        <f>IFERROR(VLOOKUP(A96, RESEARCH!$A$4:$AS$5000, 14, FALSE), 0)</f>
        <v/>
      </c>
      <c r="E96">
        <f>IFERROR(VLOOKUP(A96, RESEARCH!$A$4:$AS$5000, 8, FALSE), 0)</f>
        <v/>
      </c>
      <c r="F96">
        <f>D96-N96</f>
        <v/>
      </c>
      <c r="G96">
        <f>IF(N96=0,0,F96/N96)</f>
        <v/>
      </c>
      <c r="H96">
        <f>IFERROR(VLOOKUP(A96, RESEARCH!$A$4:$AS$5000, 9, FALSE), 0)</f>
        <v/>
      </c>
      <c r="L96">
        <f>IF(H96=0, 999, AB96/(H96/30))</f>
        <v/>
      </c>
      <c r="N96">
        <f>IFERROR(VLOOKUP(A96, RESEARCH!$A$4:$AS$5000, 13, FALSE), 0)</f>
        <v/>
      </c>
      <c r="O96">
        <f>MAX(0, ($L$2 * (H96/30)) - AB96)</f>
        <v/>
      </c>
      <c r="P96">
        <f>N96*O96</f>
        <v/>
      </c>
      <c r="X96">
        <f>IFERROR(VLOOKUP(A96, KEEPA!$A$4:$AW$5000, 26, FALSE), 0)</f>
        <v/>
      </c>
      <c r="Y96">
        <f>IF(X96=0,0,(X96-E96)/X96)</f>
        <v/>
      </c>
      <c r="Z96">
        <f>IFERROR(VLOOKUP(A96, KEEPA!$A$4:$AW$5000, 28, FALSE), 0)</f>
        <v/>
      </c>
      <c r="AA96">
        <f>IF(Z96=0,0,(Z96-E96)/Z96)</f>
        <v/>
      </c>
    </row>
    <row r="97">
      <c r="D97">
        <f>IFERROR(VLOOKUP(A97, RESEARCH!$A$4:$AS$5000, 14, FALSE), 0)</f>
        <v/>
      </c>
      <c r="E97">
        <f>IFERROR(VLOOKUP(A97, RESEARCH!$A$4:$AS$5000, 8, FALSE), 0)</f>
        <v/>
      </c>
      <c r="F97">
        <f>D97-N97</f>
        <v/>
      </c>
      <c r="G97">
        <f>IF(N97=0,0,F97/N97)</f>
        <v/>
      </c>
      <c r="H97">
        <f>IFERROR(VLOOKUP(A97, RESEARCH!$A$4:$AS$5000, 9, FALSE), 0)</f>
        <v/>
      </c>
      <c r="L97">
        <f>IF(H97=0, 999, AB97/(H97/30))</f>
        <v/>
      </c>
      <c r="N97">
        <f>IFERROR(VLOOKUP(A97, RESEARCH!$A$4:$AS$5000, 13, FALSE), 0)</f>
        <v/>
      </c>
      <c r="O97">
        <f>MAX(0, ($L$2 * (H97/30)) - AB97)</f>
        <v/>
      </c>
      <c r="P97">
        <f>N97*O97</f>
        <v/>
      </c>
      <c r="X97">
        <f>IFERROR(VLOOKUP(A97, KEEPA!$A$4:$AW$5000, 26, FALSE), 0)</f>
        <v/>
      </c>
      <c r="Y97">
        <f>IF(X97=0,0,(X97-E97)/X97)</f>
        <v/>
      </c>
      <c r="Z97">
        <f>IFERROR(VLOOKUP(A97, KEEPA!$A$4:$AW$5000, 28, FALSE), 0)</f>
        <v/>
      </c>
      <c r="AA97">
        <f>IF(Z97=0,0,(Z97-E97)/Z97)</f>
        <v/>
      </c>
    </row>
    <row r="98">
      <c r="D98">
        <f>IFERROR(VLOOKUP(A98, RESEARCH!$A$4:$AS$5000, 14, FALSE), 0)</f>
        <v/>
      </c>
      <c r="E98">
        <f>IFERROR(VLOOKUP(A98, RESEARCH!$A$4:$AS$5000, 8, FALSE), 0)</f>
        <v/>
      </c>
      <c r="F98">
        <f>D98-N98</f>
        <v/>
      </c>
      <c r="G98">
        <f>IF(N98=0,0,F98/N98)</f>
        <v/>
      </c>
      <c r="H98">
        <f>IFERROR(VLOOKUP(A98, RESEARCH!$A$4:$AS$5000, 9, FALSE), 0)</f>
        <v/>
      </c>
      <c r="L98">
        <f>IF(H98=0, 999, AB98/(H98/30))</f>
        <v/>
      </c>
      <c r="N98">
        <f>IFERROR(VLOOKUP(A98, RESEARCH!$A$4:$AS$5000, 13, FALSE), 0)</f>
        <v/>
      </c>
      <c r="O98">
        <f>MAX(0, ($L$2 * (H98/30)) - AB98)</f>
        <v/>
      </c>
      <c r="P98">
        <f>N98*O98</f>
        <v/>
      </c>
      <c r="X98">
        <f>IFERROR(VLOOKUP(A98, KEEPA!$A$4:$AW$5000, 26, FALSE), 0)</f>
        <v/>
      </c>
      <c r="Y98">
        <f>IF(X98=0,0,(X98-E98)/X98)</f>
        <v/>
      </c>
      <c r="Z98">
        <f>IFERROR(VLOOKUP(A98, KEEPA!$A$4:$AW$5000, 28, FALSE), 0)</f>
        <v/>
      </c>
      <c r="AA98">
        <f>IF(Z98=0,0,(Z98-E98)/Z98)</f>
        <v/>
      </c>
    </row>
    <row r="99">
      <c r="D99">
        <f>IFERROR(VLOOKUP(A99, RESEARCH!$A$4:$AS$5000, 14, FALSE), 0)</f>
        <v/>
      </c>
      <c r="E99">
        <f>IFERROR(VLOOKUP(A99, RESEARCH!$A$4:$AS$5000, 8, FALSE), 0)</f>
        <v/>
      </c>
      <c r="F99">
        <f>D99-N99</f>
        <v/>
      </c>
      <c r="G99">
        <f>IF(N99=0,0,F99/N99)</f>
        <v/>
      </c>
      <c r="H99">
        <f>IFERROR(VLOOKUP(A99, RESEARCH!$A$4:$AS$5000, 9, FALSE), 0)</f>
        <v/>
      </c>
      <c r="L99">
        <f>IF(H99=0, 999, AB99/(H99/30))</f>
        <v/>
      </c>
      <c r="N99">
        <f>IFERROR(VLOOKUP(A99, RESEARCH!$A$4:$AS$5000, 13, FALSE), 0)</f>
        <v/>
      </c>
      <c r="O99">
        <f>MAX(0, ($L$2 * (H99/30)) - AB99)</f>
        <v/>
      </c>
      <c r="P99">
        <f>N99*O99</f>
        <v/>
      </c>
      <c r="X99">
        <f>IFERROR(VLOOKUP(A99, KEEPA!$A$4:$AW$5000, 26, FALSE), 0)</f>
        <v/>
      </c>
      <c r="Y99">
        <f>IF(X99=0,0,(X99-E99)/X99)</f>
        <v/>
      </c>
      <c r="Z99">
        <f>IFERROR(VLOOKUP(A99, KEEPA!$A$4:$AW$5000, 28, FALSE), 0)</f>
        <v/>
      </c>
      <c r="AA99">
        <f>IF(Z99=0,0,(Z99-E99)/Z99)</f>
        <v/>
      </c>
    </row>
    <row r="100">
      <c r="D100">
        <f>IFERROR(VLOOKUP(A100, RESEARCH!$A$4:$AS$5000, 14, FALSE), 0)</f>
        <v/>
      </c>
      <c r="E100">
        <f>IFERROR(VLOOKUP(A100, RESEARCH!$A$4:$AS$5000, 8, FALSE), 0)</f>
        <v/>
      </c>
      <c r="F100">
        <f>D100-N100</f>
        <v/>
      </c>
      <c r="G100">
        <f>IF(N100=0,0,F100/N100)</f>
        <v/>
      </c>
      <c r="H100">
        <f>IFERROR(VLOOKUP(A100, RESEARCH!$A$4:$AS$5000, 9, FALSE), 0)</f>
        <v/>
      </c>
      <c r="L100">
        <f>IF(H100=0, 999, AB100/(H100/30))</f>
        <v/>
      </c>
      <c r="N100">
        <f>IFERROR(VLOOKUP(A100, RESEARCH!$A$4:$AS$5000, 13, FALSE), 0)</f>
        <v/>
      </c>
      <c r="O100">
        <f>MAX(0, ($L$2 * (H100/30)) - AB100)</f>
        <v/>
      </c>
      <c r="P100">
        <f>N100*O100</f>
        <v/>
      </c>
      <c r="X100">
        <f>IFERROR(VLOOKUP(A100, KEEPA!$A$4:$AW$5000, 26, FALSE), 0)</f>
        <v/>
      </c>
      <c r="Y100">
        <f>IF(X100=0,0,(X100-E100)/X100)</f>
        <v/>
      </c>
      <c r="Z100">
        <f>IFERROR(VLOOKUP(A100, KEEPA!$A$4:$AW$5000, 28, FALSE), 0)</f>
        <v/>
      </c>
      <c r="AA100">
        <f>IF(Z100=0,0,(Z100-E100)/Z100)</f>
        <v/>
      </c>
    </row>
    <row r="101">
      <c r="D101">
        <f>IFERROR(VLOOKUP(A101, RESEARCH!$A$4:$AS$5000, 14, FALSE), 0)</f>
        <v/>
      </c>
      <c r="E101">
        <f>IFERROR(VLOOKUP(A101, RESEARCH!$A$4:$AS$5000, 8, FALSE), 0)</f>
        <v/>
      </c>
      <c r="F101">
        <f>D101-N101</f>
        <v/>
      </c>
      <c r="G101">
        <f>IF(N101=0,0,F101/N101)</f>
        <v/>
      </c>
      <c r="H101">
        <f>IFERROR(VLOOKUP(A101, RESEARCH!$A$4:$AS$5000, 9, FALSE), 0)</f>
        <v/>
      </c>
      <c r="L101">
        <f>IF(H101=0, 999, AB101/(H101/30))</f>
        <v/>
      </c>
      <c r="N101">
        <f>IFERROR(VLOOKUP(A101, RESEARCH!$A$4:$AS$5000, 13, FALSE), 0)</f>
        <v/>
      </c>
      <c r="O101">
        <f>MAX(0, ($L$2 * (H101/30)) - AB101)</f>
        <v/>
      </c>
      <c r="P101">
        <f>N101*O101</f>
        <v/>
      </c>
      <c r="X101">
        <f>IFERROR(VLOOKUP(A101, KEEPA!$A$4:$AW$5000, 26, FALSE), 0)</f>
        <v/>
      </c>
      <c r="Y101">
        <f>IF(X101=0,0,(X101-E101)/X101)</f>
        <v/>
      </c>
      <c r="Z101">
        <f>IFERROR(VLOOKUP(A101, KEEPA!$A$4:$AW$5000, 28, FALSE), 0)</f>
        <v/>
      </c>
      <c r="AA101">
        <f>IF(Z101=0,0,(Z101-E101)/Z101)</f>
        <v/>
      </c>
    </row>
    <row r="102">
      <c r="D102">
        <f>IFERROR(VLOOKUP(A102, RESEARCH!$A$4:$AS$5000, 14, FALSE), 0)</f>
        <v/>
      </c>
      <c r="E102">
        <f>IFERROR(VLOOKUP(A102, RESEARCH!$A$4:$AS$5000, 8, FALSE), 0)</f>
        <v/>
      </c>
      <c r="F102">
        <f>D102-N102</f>
        <v/>
      </c>
      <c r="G102">
        <f>IF(N102=0,0,F102/N102)</f>
        <v/>
      </c>
      <c r="H102">
        <f>IFERROR(VLOOKUP(A102, RESEARCH!$A$4:$AS$5000, 9, FALSE), 0)</f>
        <v/>
      </c>
      <c r="L102">
        <f>IF(H102=0, 999, AB102/(H102/30))</f>
        <v/>
      </c>
      <c r="N102">
        <f>IFERROR(VLOOKUP(A102, RESEARCH!$A$4:$AS$5000, 13, FALSE), 0)</f>
        <v/>
      </c>
      <c r="O102">
        <f>MAX(0, ($L$2 * (H102/30)) - AB102)</f>
        <v/>
      </c>
      <c r="P102">
        <f>N102*O102</f>
        <v/>
      </c>
      <c r="X102">
        <f>IFERROR(VLOOKUP(A102, KEEPA!$A$4:$AW$5000, 26, FALSE), 0)</f>
        <v/>
      </c>
      <c r="Y102">
        <f>IF(X102=0,0,(X102-E102)/X102)</f>
        <v/>
      </c>
      <c r="Z102">
        <f>IFERROR(VLOOKUP(A102, KEEPA!$A$4:$AW$5000, 28, FALSE), 0)</f>
        <v/>
      </c>
      <c r="AA102">
        <f>IF(Z102=0,0,(Z102-E102)/Z102)</f>
        <v/>
      </c>
    </row>
    <row r="103">
      <c r="D103">
        <f>IFERROR(VLOOKUP(A103, RESEARCH!$A$4:$AS$5000, 14, FALSE), 0)</f>
        <v/>
      </c>
      <c r="E103">
        <f>IFERROR(VLOOKUP(A103, RESEARCH!$A$4:$AS$5000, 8, FALSE), 0)</f>
        <v/>
      </c>
      <c r="F103">
        <f>D103-N103</f>
        <v/>
      </c>
      <c r="G103">
        <f>IF(N103=0,0,F103/N103)</f>
        <v/>
      </c>
      <c r="H103">
        <f>IFERROR(VLOOKUP(A103, RESEARCH!$A$4:$AS$5000, 9, FALSE), 0)</f>
        <v/>
      </c>
      <c r="L103">
        <f>IF(H103=0, 999, AB103/(H103/30))</f>
        <v/>
      </c>
      <c r="N103">
        <f>IFERROR(VLOOKUP(A103, RESEARCH!$A$4:$AS$5000, 13, FALSE), 0)</f>
        <v/>
      </c>
      <c r="O103">
        <f>MAX(0, ($L$2 * (H103/30)) - AB103)</f>
        <v/>
      </c>
      <c r="P103">
        <f>N103*O103</f>
        <v/>
      </c>
      <c r="X103">
        <f>IFERROR(VLOOKUP(A103, KEEPA!$A$4:$AW$5000, 26, FALSE), 0)</f>
        <v/>
      </c>
      <c r="Y103">
        <f>IF(X103=0,0,(X103-E103)/X103)</f>
        <v/>
      </c>
      <c r="Z103">
        <f>IFERROR(VLOOKUP(A103, KEEPA!$A$4:$AW$5000, 28, FALSE), 0)</f>
        <v/>
      </c>
      <c r="AA103">
        <f>IF(Z103=0,0,(Z103-E103)/Z103)</f>
        <v/>
      </c>
    </row>
    <row r="104">
      <c r="D104">
        <f>IFERROR(VLOOKUP(A104, RESEARCH!$A$4:$AS$5000, 14, FALSE), 0)</f>
        <v/>
      </c>
      <c r="E104">
        <f>IFERROR(VLOOKUP(A104, RESEARCH!$A$4:$AS$5000, 8, FALSE), 0)</f>
        <v/>
      </c>
      <c r="F104">
        <f>D104-N104</f>
        <v/>
      </c>
      <c r="G104">
        <f>IF(N104=0,0,F104/N104)</f>
        <v/>
      </c>
      <c r="H104">
        <f>IFERROR(VLOOKUP(A104, RESEARCH!$A$4:$AS$5000, 9, FALSE), 0)</f>
        <v/>
      </c>
      <c r="L104">
        <f>IF(H104=0, 999, AB104/(H104/30))</f>
        <v/>
      </c>
      <c r="N104">
        <f>IFERROR(VLOOKUP(A104, RESEARCH!$A$4:$AS$5000, 13, FALSE), 0)</f>
        <v/>
      </c>
      <c r="O104">
        <f>MAX(0, ($L$2 * (H104/30)) - AB104)</f>
        <v/>
      </c>
      <c r="P104">
        <f>N104*O104</f>
        <v/>
      </c>
      <c r="X104">
        <f>IFERROR(VLOOKUP(A104, KEEPA!$A$4:$AW$5000, 26, FALSE), 0)</f>
        <v/>
      </c>
      <c r="Y104">
        <f>IF(X104=0,0,(X104-E104)/X104)</f>
        <v/>
      </c>
      <c r="Z104">
        <f>IFERROR(VLOOKUP(A104, KEEPA!$A$4:$AW$5000, 28, FALSE), 0)</f>
        <v/>
      </c>
      <c r="AA104">
        <f>IF(Z104=0,0,(Z104-E104)/Z104)</f>
        <v/>
      </c>
    </row>
    <row r="105">
      <c r="D105">
        <f>IFERROR(VLOOKUP(A105, RESEARCH!$A$4:$AS$5000, 14, FALSE), 0)</f>
        <v/>
      </c>
      <c r="E105">
        <f>IFERROR(VLOOKUP(A105, RESEARCH!$A$4:$AS$5000, 8, FALSE), 0)</f>
        <v/>
      </c>
      <c r="F105">
        <f>D105-N105</f>
        <v/>
      </c>
      <c r="G105">
        <f>IF(N105=0,0,F105/N105)</f>
        <v/>
      </c>
      <c r="H105">
        <f>IFERROR(VLOOKUP(A105, RESEARCH!$A$4:$AS$5000, 9, FALSE), 0)</f>
        <v/>
      </c>
      <c r="L105">
        <f>IF(H105=0, 999, AB105/(H105/30))</f>
        <v/>
      </c>
      <c r="N105">
        <f>IFERROR(VLOOKUP(A105, RESEARCH!$A$4:$AS$5000, 13, FALSE), 0)</f>
        <v/>
      </c>
      <c r="O105">
        <f>MAX(0, ($L$2 * (H105/30)) - AB105)</f>
        <v/>
      </c>
      <c r="P105">
        <f>N105*O105</f>
        <v/>
      </c>
      <c r="X105">
        <f>IFERROR(VLOOKUP(A105, KEEPA!$A$4:$AW$5000, 26, FALSE), 0)</f>
        <v/>
      </c>
      <c r="Y105">
        <f>IF(X105=0,0,(X105-E105)/X105)</f>
        <v/>
      </c>
      <c r="Z105">
        <f>IFERROR(VLOOKUP(A105, KEEPA!$A$4:$AW$5000, 28, FALSE), 0)</f>
        <v/>
      </c>
      <c r="AA105">
        <f>IF(Z105=0,0,(Z105-E105)/Z105)</f>
        <v/>
      </c>
    </row>
    <row r="106">
      <c r="D106">
        <f>IFERROR(VLOOKUP(A106, RESEARCH!$A$4:$AS$5000, 14, FALSE), 0)</f>
        <v/>
      </c>
      <c r="E106">
        <f>IFERROR(VLOOKUP(A106, RESEARCH!$A$4:$AS$5000, 8, FALSE), 0)</f>
        <v/>
      </c>
      <c r="F106">
        <f>D106-N106</f>
        <v/>
      </c>
      <c r="G106">
        <f>IF(N106=0,0,F106/N106)</f>
        <v/>
      </c>
      <c r="H106">
        <f>IFERROR(VLOOKUP(A106, RESEARCH!$A$4:$AS$5000, 9, FALSE), 0)</f>
        <v/>
      </c>
      <c r="L106">
        <f>IF(H106=0, 999, AB106/(H106/30))</f>
        <v/>
      </c>
      <c r="N106">
        <f>IFERROR(VLOOKUP(A106, RESEARCH!$A$4:$AS$5000, 13, FALSE), 0)</f>
        <v/>
      </c>
      <c r="O106">
        <f>MAX(0, ($L$2 * (H106/30)) - AB106)</f>
        <v/>
      </c>
      <c r="P106">
        <f>N106*O106</f>
        <v/>
      </c>
      <c r="X106">
        <f>IFERROR(VLOOKUP(A106, KEEPA!$A$4:$AW$5000, 26, FALSE), 0)</f>
        <v/>
      </c>
      <c r="Y106">
        <f>IF(X106=0,0,(X106-E106)/X106)</f>
        <v/>
      </c>
      <c r="Z106">
        <f>IFERROR(VLOOKUP(A106, KEEPA!$A$4:$AW$5000, 28, FALSE), 0)</f>
        <v/>
      </c>
      <c r="AA106">
        <f>IF(Z106=0,0,(Z106-E106)/Z106)</f>
        <v/>
      </c>
    </row>
    <row r="107">
      <c r="D107">
        <f>IFERROR(VLOOKUP(A107, RESEARCH!$A$4:$AS$5000, 14, FALSE), 0)</f>
        <v/>
      </c>
      <c r="E107">
        <f>IFERROR(VLOOKUP(A107, RESEARCH!$A$4:$AS$5000, 8, FALSE), 0)</f>
        <v/>
      </c>
      <c r="F107">
        <f>D107-N107</f>
        <v/>
      </c>
      <c r="G107">
        <f>IF(N107=0,0,F107/N107)</f>
        <v/>
      </c>
      <c r="H107">
        <f>IFERROR(VLOOKUP(A107, RESEARCH!$A$4:$AS$5000, 9, FALSE), 0)</f>
        <v/>
      </c>
      <c r="L107">
        <f>IF(H107=0, 999, AB107/(H107/30))</f>
        <v/>
      </c>
      <c r="N107">
        <f>IFERROR(VLOOKUP(A107, RESEARCH!$A$4:$AS$5000, 13, FALSE), 0)</f>
        <v/>
      </c>
      <c r="O107">
        <f>MAX(0, ($L$2 * (H107/30)) - AB107)</f>
        <v/>
      </c>
      <c r="P107">
        <f>N107*O107</f>
        <v/>
      </c>
      <c r="X107">
        <f>IFERROR(VLOOKUP(A107, KEEPA!$A$4:$AW$5000, 26, FALSE), 0)</f>
        <v/>
      </c>
      <c r="Y107">
        <f>IF(X107=0,0,(X107-E107)/X107)</f>
        <v/>
      </c>
      <c r="Z107">
        <f>IFERROR(VLOOKUP(A107, KEEPA!$A$4:$AW$5000, 28, FALSE), 0)</f>
        <v/>
      </c>
      <c r="AA107">
        <f>IF(Z107=0,0,(Z107-E107)/Z107)</f>
        <v/>
      </c>
    </row>
    <row r="108">
      <c r="D108">
        <f>IFERROR(VLOOKUP(A108, RESEARCH!$A$4:$AS$5000, 14, FALSE), 0)</f>
        <v/>
      </c>
      <c r="E108">
        <f>IFERROR(VLOOKUP(A108, RESEARCH!$A$4:$AS$5000, 8, FALSE), 0)</f>
        <v/>
      </c>
      <c r="F108">
        <f>D108-N108</f>
        <v/>
      </c>
      <c r="G108">
        <f>IF(N108=0,0,F108/N108)</f>
        <v/>
      </c>
      <c r="H108">
        <f>IFERROR(VLOOKUP(A108, RESEARCH!$A$4:$AS$5000, 9, FALSE), 0)</f>
        <v/>
      </c>
      <c r="L108">
        <f>IF(H108=0, 999, AB108/(H108/30))</f>
        <v/>
      </c>
      <c r="N108">
        <f>IFERROR(VLOOKUP(A108, RESEARCH!$A$4:$AS$5000, 13, FALSE), 0)</f>
        <v/>
      </c>
      <c r="O108">
        <f>MAX(0, ($L$2 * (H108/30)) - AB108)</f>
        <v/>
      </c>
      <c r="P108">
        <f>N108*O108</f>
        <v/>
      </c>
      <c r="X108">
        <f>IFERROR(VLOOKUP(A108, KEEPA!$A$4:$AW$5000, 26, FALSE), 0)</f>
        <v/>
      </c>
      <c r="Y108">
        <f>IF(X108=0,0,(X108-E108)/X108)</f>
        <v/>
      </c>
      <c r="Z108">
        <f>IFERROR(VLOOKUP(A108, KEEPA!$A$4:$AW$5000, 28, FALSE), 0)</f>
        <v/>
      </c>
      <c r="AA108">
        <f>IF(Z108=0,0,(Z108-E108)/Z108)</f>
        <v/>
      </c>
    </row>
    <row r="109">
      <c r="D109">
        <f>IFERROR(VLOOKUP(A109, RESEARCH!$A$4:$AS$5000, 14, FALSE), 0)</f>
        <v/>
      </c>
      <c r="E109">
        <f>IFERROR(VLOOKUP(A109, RESEARCH!$A$4:$AS$5000, 8, FALSE), 0)</f>
        <v/>
      </c>
      <c r="F109">
        <f>D109-N109</f>
        <v/>
      </c>
      <c r="G109">
        <f>IF(N109=0,0,F109/N109)</f>
        <v/>
      </c>
      <c r="H109">
        <f>IFERROR(VLOOKUP(A109, RESEARCH!$A$4:$AS$5000, 9, FALSE), 0)</f>
        <v/>
      </c>
      <c r="L109">
        <f>IF(H109=0, 999, AB109/(H109/30))</f>
        <v/>
      </c>
      <c r="N109">
        <f>IFERROR(VLOOKUP(A109, RESEARCH!$A$4:$AS$5000, 13, FALSE), 0)</f>
        <v/>
      </c>
      <c r="O109">
        <f>MAX(0, ($L$2 * (H109/30)) - AB109)</f>
        <v/>
      </c>
      <c r="P109">
        <f>N109*O109</f>
        <v/>
      </c>
      <c r="X109">
        <f>IFERROR(VLOOKUP(A109, KEEPA!$A$4:$AW$5000, 26, FALSE), 0)</f>
        <v/>
      </c>
      <c r="Y109">
        <f>IF(X109=0,0,(X109-E109)/X109)</f>
        <v/>
      </c>
      <c r="Z109">
        <f>IFERROR(VLOOKUP(A109, KEEPA!$A$4:$AW$5000, 28, FALSE), 0)</f>
        <v/>
      </c>
      <c r="AA109">
        <f>IF(Z109=0,0,(Z109-E109)/Z109)</f>
        <v/>
      </c>
    </row>
    <row r="110">
      <c r="D110">
        <f>IFERROR(VLOOKUP(A110, RESEARCH!$A$4:$AS$5000, 14, FALSE), 0)</f>
        <v/>
      </c>
      <c r="E110">
        <f>IFERROR(VLOOKUP(A110, RESEARCH!$A$4:$AS$5000, 8, FALSE), 0)</f>
        <v/>
      </c>
      <c r="F110">
        <f>D110-N110</f>
        <v/>
      </c>
      <c r="G110">
        <f>IF(N110=0,0,F110/N110)</f>
        <v/>
      </c>
      <c r="H110">
        <f>IFERROR(VLOOKUP(A110, RESEARCH!$A$4:$AS$5000, 9, FALSE), 0)</f>
        <v/>
      </c>
      <c r="L110">
        <f>IF(H110=0, 999, AB110/(H110/30))</f>
        <v/>
      </c>
      <c r="N110">
        <f>IFERROR(VLOOKUP(A110, RESEARCH!$A$4:$AS$5000, 13, FALSE), 0)</f>
        <v/>
      </c>
      <c r="O110">
        <f>MAX(0, ($L$2 * (H110/30)) - AB110)</f>
        <v/>
      </c>
      <c r="P110">
        <f>N110*O110</f>
        <v/>
      </c>
      <c r="X110">
        <f>IFERROR(VLOOKUP(A110, KEEPA!$A$4:$AW$5000, 26, FALSE), 0)</f>
        <v/>
      </c>
      <c r="Y110">
        <f>IF(X110=0,0,(X110-E110)/X110)</f>
        <v/>
      </c>
      <c r="Z110">
        <f>IFERROR(VLOOKUP(A110, KEEPA!$A$4:$AW$5000, 28, FALSE), 0)</f>
        <v/>
      </c>
      <c r="AA110">
        <f>IF(Z110=0,0,(Z110-E110)/Z110)</f>
        <v/>
      </c>
    </row>
    <row r="111">
      <c r="D111">
        <f>IFERROR(VLOOKUP(A111, RESEARCH!$A$4:$AS$5000, 14, FALSE), 0)</f>
        <v/>
      </c>
      <c r="E111">
        <f>IFERROR(VLOOKUP(A111, RESEARCH!$A$4:$AS$5000, 8, FALSE), 0)</f>
        <v/>
      </c>
      <c r="F111">
        <f>D111-N111</f>
        <v/>
      </c>
      <c r="G111">
        <f>IF(N111=0,0,F111/N111)</f>
        <v/>
      </c>
      <c r="H111">
        <f>IFERROR(VLOOKUP(A111, RESEARCH!$A$4:$AS$5000, 9, FALSE), 0)</f>
        <v/>
      </c>
      <c r="L111">
        <f>IF(H111=0, 999, AB111/(H111/30))</f>
        <v/>
      </c>
      <c r="N111">
        <f>IFERROR(VLOOKUP(A111, RESEARCH!$A$4:$AS$5000, 13, FALSE), 0)</f>
        <v/>
      </c>
      <c r="O111">
        <f>MAX(0, ($L$2 * (H111/30)) - AB111)</f>
        <v/>
      </c>
      <c r="P111">
        <f>N111*O111</f>
        <v/>
      </c>
      <c r="X111">
        <f>IFERROR(VLOOKUP(A111, KEEPA!$A$4:$AW$5000, 26, FALSE), 0)</f>
        <v/>
      </c>
      <c r="Y111">
        <f>IF(X111=0,0,(X111-E111)/X111)</f>
        <v/>
      </c>
      <c r="Z111">
        <f>IFERROR(VLOOKUP(A111, KEEPA!$A$4:$AW$5000, 28, FALSE), 0)</f>
        <v/>
      </c>
      <c r="AA111">
        <f>IF(Z111=0,0,(Z111-E111)/Z111)</f>
        <v/>
      </c>
    </row>
    <row r="112">
      <c r="D112">
        <f>IFERROR(VLOOKUP(A112, RESEARCH!$A$4:$AS$5000, 14, FALSE), 0)</f>
        <v/>
      </c>
      <c r="E112">
        <f>IFERROR(VLOOKUP(A112, RESEARCH!$A$4:$AS$5000, 8, FALSE), 0)</f>
        <v/>
      </c>
      <c r="F112">
        <f>D112-N112</f>
        <v/>
      </c>
      <c r="G112">
        <f>IF(N112=0,0,F112/N112)</f>
        <v/>
      </c>
      <c r="H112">
        <f>IFERROR(VLOOKUP(A112, RESEARCH!$A$4:$AS$5000, 9, FALSE), 0)</f>
        <v/>
      </c>
      <c r="L112">
        <f>IF(H112=0, 999, AB112/(H112/30))</f>
        <v/>
      </c>
      <c r="N112">
        <f>IFERROR(VLOOKUP(A112, RESEARCH!$A$4:$AS$5000, 13, FALSE), 0)</f>
        <v/>
      </c>
      <c r="O112">
        <f>MAX(0, ($L$2 * (H112/30)) - AB112)</f>
        <v/>
      </c>
      <c r="P112">
        <f>N112*O112</f>
        <v/>
      </c>
      <c r="X112">
        <f>IFERROR(VLOOKUP(A112, KEEPA!$A$4:$AW$5000, 26, FALSE), 0)</f>
        <v/>
      </c>
      <c r="Y112">
        <f>IF(X112=0,0,(X112-E112)/X112)</f>
        <v/>
      </c>
      <c r="Z112">
        <f>IFERROR(VLOOKUP(A112, KEEPA!$A$4:$AW$5000, 28, FALSE), 0)</f>
        <v/>
      </c>
      <c r="AA112">
        <f>IF(Z112=0,0,(Z112-E112)/Z112)</f>
        <v/>
      </c>
    </row>
    <row r="113">
      <c r="D113">
        <f>IFERROR(VLOOKUP(A113, RESEARCH!$A$4:$AS$5000, 14, FALSE), 0)</f>
        <v/>
      </c>
      <c r="E113">
        <f>IFERROR(VLOOKUP(A113, RESEARCH!$A$4:$AS$5000, 8, FALSE), 0)</f>
        <v/>
      </c>
      <c r="F113">
        <f>D113-N113</f>
        <v/>
      </c>
      <c r="G113">
        <f>IF(N113=0,0,F113/N113)</f>
        <v/>
      </c>
      <c r="H113">
        <f>IFERROR(VLOOKUP(A113, RESEARCH!$A$4:$AS$5000, 9, FALSE), 0)</f>
        <v/>
      </c>
      <c r="L113">
        <f>IF(H113=0, 999, AB113/(H113/30))</f>
        <v/>
      </c>
      <c r="N113">
        <f>IFERROR(VLOOKUP(A113, RESEARCH!$A$4:$AS$5000, 13, FALSE), 0)</f>
        <v/>
      </c>
      <c r="O113">
        <f>MAX(0, ($L$2 * (H113/30)) - AB113)</f>
        <v/>
      </c>
      <c r="P113">
        <f>N113*O113</f>
        <v/>
      </c>
      <c r="X113">
        <f>IFERROR(VLOOKUP(A113, KEEPA!$A$4:$AW$5000, 26, FALSE), 0)</f>
        <v/>
      </c>
      <c r="Y113">
        <f>IF(X113=0,0,(X113-E113)/X113)</f>
        <v/>
      </c>
      <c r="Z113">
        <f>IFERROR(VLOOKUP(A113, KEEPA!$A$4:$AW$5000, 28, FALSE), 0)</f>
        <v/>
      </c>
      <c r="AA113">
        <f>IF(Z113=0,0,(Z113-E113)/Z113)</f>
        <v/>
      </c>
    </row>
    <row r="114">
      <c r="D114">
        <f>IFERROR(VLOOKUP(A114, RESEARCH!$A$4:$AS$5000, 14, FALSE), 0)</f>
        <v/>
      </c>
      <c r="E114">
        <f>IFERROR(VLOOKUP(A114, RESEARCH!$A$4:$AS$5000, 8, FALSE), 0)</f>
        <v/>
      </c>
      <c r="F114">
        <f>D114-N114</f>
        <v/>
      </c>
      <c r="G114">
        <f>IF(N114=0,0,F114/N114)</f>
        <v/>
      </c>
      <c r="H114">
        <f>IFERROR(VLOOKUP(A114, RESEARCH!$A$4:$AS$5000, 9, FALSE), 0)</f>
        <v/>
      </c>
      <c r="L114">
        <f>IF(H114=0, 999, AB114/(H114/30))</f>
        <v/>
      </c>
      <c r="N114">
        <f>IFERROR(VLOOKUP(A114, RESEARCH!$A$4:$AS$5000, 13, FALSE), 0)</f>
        <v/>
      </c>
      <c r="O114">
        <f>MAX(0, ($L$2 * (H114/30)) - AB114)</f>
        <v/>
      </c>
      <c r="P114">
        <f>N114*O114</f>
        <v/>
      </c>
      <c r="X114">
        <f>IFERROR(VLOOKUP(A114, KEEPA!$A$4:$AW$5000, 26, FALSE), 0)</f>
        <v/>
      </c>
      <c r="Y114">
        <f>IF(X114=0,0,(X114-E114)/X114)</f>
        <v/>
      </c>
      <c r="Z114">
        <f>IFERROR(VLOOKUP(A114, KEEPA!$A$4:$AW$5000, 28, FALSE), 0)</f>
        <v/>
      </c>
      <c r="AA114">
        <f>IF(Z114=0,0,(Z114-E114)/Z114)</f>
        <v/>
      </c>
    </row>
    <row r="115">
      <c r="D115">
        <f>IFERROR(VLOOKUP(A115, RESEARCH!$A$4:$AS$5000, 14, FALSE), 0)</f>
        <v/>
      </c>
      <c r="E115">
        <f>IFERROR(VLOOKUP(A115, RESEARCH!$A$4:$AS$5000, 8, FALSE), 0)</f>
        <v/>
      </c>
      <c r="F115">
        <f>D115-N115</f>
        <v/>
      </c>
      <c r="G115">
        <f>IF(N115=0,0,F115/N115)</f>
        <v/>
      </c>
      <c r="H115">
        <f>IFERROR(VLOOKUP(A115, RESEARCH!$A$4:$AS$5000, 9, FALSE), 0)</f>
        <v/>
      </c>
      <c r="L115">
        <f>IF(H115=0, 999, AB115/(H115/30))</f>
        <v/>
      </c>
      <c r="N115">
        <f>IFERROR(VLOOKUP(A115, RESEARCH!$A$4:$AS$5000, 13, FALSE), 0)</f>
        <v/>
      </c>
      <c r="O115">
        <f>MAX(0, ($L$2 * (H115/30)) - AB115)</f>
        <v/>
      </c>
      <c r="P115">
        <f>N115*O115</f>
        <v/>
      </c>
      <c r="X115">
        <f>IFERROR(VLOOKUP(A115, KEEPA!$A$4:$AW$5000, 26, FALSE), 0)</f>
        <v/>
      </c>
      <c r="Y115">
        <f>IF(X115=0,0,(X115-E115)/X115)</f>
        <v/>
      </c>
      <c r="Z115">
        <f>IFERROR(VLOOKUP(A115, KEEPA!$A$4:$AW$5000, 28, FALSE), 0)</f>
        <v/>
      </c>
      <c r="AA115">
        <f>IF(Z115=0,0,(Z115-E115)/Z115)</f>
        <v/>
      </c>
    </row>
    <row r="116">
      <c r="D116">
        <f>IFERROR(VLOOKUP(A116, RESEARCH!$A$4:$AS$5000, 14, FALSE), 0)</f>
        <v/>
      </c>
      <c r="E116">
        <f>IFERROR(VLOOKUP(A116, RESEARCH!$A$4:$AS$5000, 8, FALSE), 0)</f>
        <v/>
      </c>
      <c r="F116">
        <f>D116-N116</f>
        <v/>
      </c>
      <c r="G116">
        <f>IF(N116=0,0,F116/N116)</f>
        <v/>
      </c>
      <c r="H116">
        <f>IFERROR(VLOOKUP(A116, RESEARCH!$A$4:$AS$5000, 9, FALSE), 0)</f>
        <v/>
      </c>
      <c r="L116">
        <f>IF(H116=0, 999, AB116/(H116/30))</f>
        <v/>
      </c>
      <c r="N116">
        <f>IFERROR(VLOOKUP(A116, RESEARCH!$A$4:$AS$5000, 13, FALSE), 0)</f>
        <v/>
      </c>
      <c r="O116">
        <f>MAX(0, ($L$2 * (H116/30)) - AB116)</f>
        <v/>
      </c>
      <c r="P116">
        <f>N116*O116</f>
        <v/>
      </c>
      <c r="X116">
        <f>IFERROR(VLOOKUP(A116, KEEPA!$A$4:$AW$5000, 26, FALSE), 0)</f>
        <v/>
      </c>
      <c r="Y116">
        <f>IF(X116=0,0,(X116-E116)/X116)</f>
        <v/>
      </c>
      <c r="Z116">
        <f>IFERROR(VLOOKUP(A116, KEEPA!$A$4:$AW$5000, 28, FALSE), 0)</f>
        <v/>
      </c>
      <c r="AA116">
        <f>IF(Z116=0,0,(Z116-E116)/Z116)</f>
        <v/>
      </c>
    </row>
    <row r="117">
      <c r="D117">
        <f>IFERROR(VLOOKUP(A117, RESEARCH!$A$4:$AS$5000, 14, FALSE), 0)</f>
        <v/>
      </c>
      <c r="E117">
        <f>IFERROR(VLOOKUP(A117, RESEARCH!$A$4:$AS$5000, 8, FALSE), 0)</f>
        <v/>
      </c>
      <c r="F117">
        <f>D117-N117</f>
        <v/>
      </c>
      <c r="G117">
        <f>IF(N117=0,0,F117/N117)</f>
        <v/>
      </c>
      <c r="H117">
        <f>IFERROR(VLOOKUP(A117, RESEARCH!$A$4:$AS$5000, 9, FALSE), 0)</f>
        <v/>
      </c>
      <c r="L117">
        <f>IF(H117=0, 999, AB117/(H117/30))</f>
        <v/>
      </c>
      <c r="N117">
        <f>IFERROR(VLOOKUP(A117, RESEARCH!$A$4:$AS$5000, 13, FALSE), 0)</f>
        <v/>
      </c>
      <c r="O117">
        <f>MAX(0, ($L$2 * (H117/30)) - AB117)</f>
        <v/>
      </c>
      <c r="P117">
        <f>N117*O117</f>
        <v/>
      </c>
      <c r="X117">
        <f>IFERROR(VLOOKUP(A117, KEEPA!$A$4:$AW$5000, 26, FALSE), 0)</f>
        <v/>
      </c>
      <c r="Y117">
        <f>IF(X117=0,0,(X117-E117)/X117)</f>
        <v/>
      </c>
      <c r="Z117">
        <f>IFERROR(VLOOKUP(A117, KEEPA!$A$4:$AW$5000, 28, FALSE), 0)</f>
        <v/>
      </c>
      <c r="AA117">
        <f>IF(Z117=0,0,(Z117-E117)/Z117)</f>
        <v/>
      </c>
    </row>
    <row r="118">
      <c r="D118">
        <f>IFERROR(VLOOKUP(A118, RESEARCH!$A$4:$AS$5000, 14, FALSE), 0)</f>
        <v/>
      </c>
      <c r="E118">
        <f>IFERROR(VLOOKUP(A118, RESEARCH!$A$4:$AS$5000, 8, FALSE), 0)</f>
        <v/>
      </c>
      <c r="F118">
        <f>D118-N118</f>
        <v/>
      </c>
      <c r="G118">
        <f>IF(N118=0,0,F118/N118)</f>
        <v/>
      </c>
      <c r="H118">
        <f>IFERROR(VLOOKUP(A118, RESEARCH!$A$4:$AS$5000, 9, FALSE), 0)</f>
        <v/>
      </c>
      <c r="L118">
        <f>IF(H118=0, 999, AB118/(H118/30))</f>
        <v/>
      </c>
      <c r="N118">
        <f>IFERROR(VLOOKUP(A118, RESEARCH!$A$4:$AS$5000, 13, FALSE), 0)</f>
        <v/>
      </c>
      <c r="O118">
        <f>MAX(0, ($L$2 * (H118/30)) - AB118)</f>
        <v/>
      </c>
      <c r="P118">
        <f>N118*O118</f>
        <v/>
      </c>
      <c r="X118">
        <f>IFERROR(VLOOKUP(A118, KEEPA!$A$4:$AW$5000, 26, FALSE), 0)</f>
        <v/>
      </c>
      <c r="Y118">
        <f>IF(X118=0,0,(X118-E118)/X118)</f>
        <v/>
      </c>
      <c r="Z118">
        <f>IFERROR(VLOOKUP(A118, KEEPA!$A$4:$AW$5000, 28, FALSE), 0)</f>
        <v/>
      </c>
      <c r="AA118">
        <f>IF(Z118=0,0,(Z118-E118)/Z118)</f>
        <v/>
      </c>
    </row>
    <row r="119">
      <c r="D119">
        <f>IFERROR(VLOOKUP(A119, RESEARCH!$A$4:$AS$5000, 14, FALSE), 0)</f>
        <v/>
      </c>
      <c r="E119">
        <f>IFERROR(VLOOKUP(A119, RESEARCH!$A$4:$AS$5000, 8, FALSE), 0)</f>
        <v/>
      </c>
      <c r="F119">
        <f>D119-N119</f>
        <v/>
      </c>
      <c r="G119">
        <f>IF(N119=0,0,F119/N119)</f>
        <v/>
      </c>
      <c r="H119">
        <f>IFERROR(VLOOKUP(A119, RESEARCH!$A$4:$AS$5000, 9, FALSE), 0)</f>
        <v/>
      </c>
      <c r="L119">
        <f>IF(H119=0, 999, AB119/(H119/30))</f>
        <v/>
      </c>
      <c r="N119">
        <f>IFERROR(VLOOKUP(A119, RESEARCH!$A$4:$AS$5000, 13, FALSE), 0)</f>
        <v/>
      </c>
      <c r="O119">
        <f>MAX(0, ($L$2 * (H119/30)) - AB119)</f>
        <v/>
      </c>
      <c r="P119">
        <f>N119*O119</f>
        <v/>
      </c>
      <c r="X119">
        <f>IFERROR(VLOOKUP(A119, KEEPA!$A$4:$AW$5000, 26, FALSE), 0)</f>
        <v/>
      </c>
      <c r="Y119">
        <f>IF(X119=0,0,(X119-E119)/X119)</f>
        <v/>
      </c>
      <c r="Z119">
        <f>IFERROR(VLOOKUP(A119, KEEPA!$A$4:$AW$5000, 28, FALSE), 0)</f>
        <v/>
      </c>
      <c r="AA119">
        <f>IF(Z119=0,0,(Z119-E119)/Z119)</f>
        <v/>
      </c>
    </row>
    <row r="120">
      <c r="D120">
        <f>IFERROR(VLOOKUP(A120, RESEARCH!$A$4:$AS$5000, 14, FALSE), 0)</f>
        <v/>
      </c>
      <c r="E120">
        <f>IFERROR(VLOOKUP(A120, RESEARCH!$A$4:$AS$5000, 8, FALSE), 0)</f>
        <v/>
      </c>
      <c r="F120">
        <f>D120-N120</f>
        <v/>
      </c>
      <c r="G120">
        <f>IF(N120=0,0,F120/N120)</f>
        <v/>
      </c>
      <c r="H120">
        <f>IFERROR(VLOOKUP(A120, RESEARCH!$A$4:$AS$5000, 9, FALSE), 0)</f>
        <v/>
      </c>
      <c r="L120">
        <f>IF(H120=0, 999, AB120/(H120/30))</f>
        <v/>
      </c>
      <c r="N120">
        <f>IFERROR(VLOOKUP(A120, RESEARCH!$A$4:$AS$5000, 13, FALSE), 0)</f>
        <v/>
      </c>
      <c r="O120">
        <f>MAX(0, ($L$2 * (H120/30)) - AB120)</f>
        <v/>
      </c>
      <c r="P120">
        <f>N120*O120</f>
        <v/>
      </c>
      <c r="X120">
        <f>IFERROR(VLOOKUP(A120, KEEPA!$A$4:$AW$5000, 26, FALSE), 0)</f>
        <v/>
      </c>
      <c r="Y120">
        <f>IF(X120=0,0,(X120-E120)/X120)</f>
        <v/>
      </c>
      <c r="Z120">
        <f>IFERROR(VLOOKUP(A120, KEEPA!$A$4:$AW$5000, 28, FALSE), 0)</f>
        <v/>
      </c>
      <c r="AA120">
        <f>IF(Z120=0,0,(Z120-E120)/Z120)</f>
        <v/>
      </c>
    </row>
    <row r="121">
      <c r="D121">
        <f>IFERROR(VLOOKUP(A121, RESEARCH!$A$4:$AS$5000, 14, FALSE), 0)</f>
        <v/>
      </c>
      <c r="E121">
        <f>IFERROR(VLOOKUP(A121, RESEARCH!$A$4:$AS$5000, 8, FALSE), 0)</f>
        <v/>
      </c>
      <c r="F121">
        <f>D121-N121</f>
        <v/>
      </c>
      <c r="G121">
        <f>IF(N121=0,0,F121/N121)</f>
        <v/>
      </c>
      <c r="H121">
        <f>IFERROR(VLOOKUP(A121, RESEARCH!$A$4:$AS$5000, 9, FALSE), 0)</f>
        <v/>
      </c>
      <c r="L121">
        <f>IF(H121=0, 999, AB121/(H121/30))</f>
        <v/>
      </c>
      <c r="N121">
        <f>IFERROR(VLOOKUP(A121, RESEARCH!$A$4:$AS$5000, 13, FALSE), 0)</f>
        <v/>
      </c>
      <c r="O121">
        <f>MAX(0, ($L$2 * (H121/30)) - AB121)</f>
        <v/>
      </c>
      <c r="P121">
        <f>N121*O121</f>
        <v/>
      </c>
      <c r="X121">
        <f>IFERROR(VLOOKUP(A121, KEEPA!$A$4:$AW$5000, 26, FALSE), 0)</f>
        <v/>
      </c>
      <c r="Y121">
        <f>IF(X121=0,0,(X121-E121)/X121)</f>
        <v/>
      </c>
      <c r="Z121">
        <f>IFERROR(VLOOKUP(A121, KEEPA!$A$4:$AW$5000, 28, FALSE), 0)</f>
        <v/>
      </c>
      <c r="AA121">
        <f>IF(Z121=0,0,(Z121-E121)/Z121)</f>
        <v/>
      </c>
    </row>
    <row r="122">
      <c r="D122">
        <f>IFERROR(VLOOKUP(A122, RESEARCH!$A$4:$AS$5000, 14, FALSE), 0)</f>
        <v/>
      </c>
      <c r="E122">
        <f>IFERROR(VLOOKUP(A122, RESEARCH!$A$4:$AS$5000, 8, FALSE), 0)</f>
        <v/>
      </c>
      <c r="F122">
        <f>D122-N122</f>
        <v/>
      </c>
      <c r="G122">
        <f>IF(N122=0,0,F122/N122)</f>
        <v/>
      </c>
      <c r="H122">
        <f>IFERROR(VLOOKUP(A122, RESEARCH!$A$4:$AS$5000, 9, FALSE), 0)</f>
        <v/>
      </c>
      <c r="L122">
        <f>IF(H122=0, 999, AB122/(H122/30))</f>
        <v/>
      </c>
      <c r="N122">
        <f>IFERROR(VLOOKUP(A122, RESEARCH!$A$4:$AS$5000, 13, FALSE), 0)</f>
        <v/>
      </c>
      <c r="O122">
        <f>MAX(0, ($L$2 * (H122/30)) - AB122)</f>
        <v/>
      </c>
      <c r="P122">
        <f>N122*O122</f>
        <v/>
      </c>
      <c r="X122">
        <f>IFERROR(VLOOKUP(A122, KEEPA!$A$4:$AW$5000, 26, FALSE), 0)</f>
        <v/>
      </c>
      <c r="Y122">
        <f>IF(X122=0,0,(X122-E122)/X122)</f>
        <v/>
      </c>
      <c r="Z122">
        <f>IFERROR(VLOOKUP(A122, KEEPA!$A$4:$AW$5000, 28, FALSE), 0)</f>
        <v/>
      </c>
      <c r="AA122">
        <f>IF(Z122=0,0,(Z122-E122)/Z122)</f>
        <v/>
      </c>
    </row>
    <row r="123">
      <c r="D123">
        <f>IFERROR(VLOOKUP(A123, RESEARCH!$A$4:$AS$5000, 14, FALSE), 0)</f>
        <v/>
      </c>
      <c r="E123">
        <f>IFERROR(VLOOKUP(A123, RESEARCH!$A$4:$AS$5000, 8, FALSE), 0)</f>
        <v/>
      </c>
      <c r="F123">
        <f>D123-N123</f>
        <v/>
      </c>
      <c r="G123">
        <f>IF(N123=0,0,F123/N123)</f>
        <v/>
      </c>
      <c r="H123">
        <f>IFERROR(VLOOKUP(A123, RESEARCH!$A$4:$AS$5000, 9, FALSE), 0)</f>
        <v/>
      </c>
      <c r="L123">
        <f>IF(H123=0, 999, AB123/(H123/30))</f>
        <v/>
      </c>
      <c r="N123">
        <f>IFERROR(VLOOKUP(A123, RESEARCH!$A$4:$AS$5000, 13, FALSE), 0)</f>
        <v/>
      </c>
      <c r="O123">
        <f>MAX(0, ($L$2 * (H123/30)) - AB123)</f>
        <v/>
      </c>
      <c r="P123">
        <f>N123*O123</f>
        <v/>
      </c>
      <c r="X123">
        <f>IFERROR(VLOOKUP(A123, KEEPA!$A$4:$AW$5000, 26, FALSE), 0)</f>
        <v/>
      </c>
      <c r="Y123">
        <f>IF(X123=0,0,(X123-E123)/X123)</f>
        <v/>
      </c>
      <c r="Z123">
        <f>IFERROR(VLOOKUP(A123, KEEPA!$A$4:$AW$5000, 28, FALSE), 0)</f>
        <v/>
      </c>
      <c r="AA123">
        <f>IF(Z123=0,0,(Z123-E123)/Z123)</f>
        <v/>
      </c>
    </row>
    <row r="124">
      <c r="D124">
        <f>IFERROR(VLOOKUP(A124, RESEARCH!$A$4:$AS$5000, 14, FALSE), 0)</f>
        <v/>
      </c>
      <c r="E124">
        <f>IFERROR(VLOOKUP(A124, RESEARCH!$A$4:$AS$5000, 8, FALSE), 0)</f>
        <v/>
      </c>
      <c r="F124">
        <f>D124-N124</f>
        <v/>
      </c>
      <c r="G124">
        <f>IF(N124=0,0,F124/N124)</f>
        <v/>
      </c>
      <c r="H124">
        <f>IFERROR(VLOOKUP(A124, RESEARCH!$A$4:$AS$5000, 9, FALSE), 0)</f>
        <v/>
      </c>
      <c r="L124">
        <f>IF(H124=0, 999, AB124/(H124/30))</f>
        <v/>
      </c>
      <c r="N124">
        <f>IFERROR(VLOOKUP(A124, RESEARCH!$A$4:$AS$5000, 13, FALSE), 0)</f>
        <v/>
      </c>
      <c r="O124">
        <f>MAX(0, ($L$2 * (H124/30)) - AB124)</f>
        <v/>
      </c>
      <c r="P124">
        <f>N124*O124</f>
        <v/>
      </c>
      <c r="X124">
        <f>IFERROR(VLOOKUP(A124, KEEPA!$A$4:$AW$5000, 26, FALSE), 0)</f>
        <v/>
      </c>
      <c r="Y124">
        <f>IF(X124=0,0,(X124-E124)/X124)</f>
        <v/>
      </c>
      <c r="Z124">
        <f>IFERROR(VLOOKUP(A124, KEEPA!$A$4:$AW$5000, 28, FALSE), 0)</f>
        <v/>
      </c>
      <c r="AA124">
        <f>IF(Z124=0,0,(Z124-E124)/Z124)</f>
        <v/>
      </c>
    </row>
    <row r="125">
      <c r="D125">
        <f>IFERROR(VLOOKUP(A125, RESEARCH!$A$4:$AS$5000, 14, FALSE), 0)</f>
        <v/>
      </c>
      <c r="E125">
        <f>IFERROR(VLOOKUP(A125, RESEARCH!$A$4:$AS$5000, 8, FALSE), 0)</f>
        <v/>
      </c>
      <c r="F125">
        <f>D125-N125</f>
        <v/>
      </c>
      <c r="G125">
        <f>IF(N125=0,0,F125/N125)</f>
        <v/>
      </c>
      <c r="H125">
        <f>IFERROR(VLOOKUP(A125, RESEARCH!$A$4:$AS$5000, 9, FALSE), 0)</f>
        <v/>
      </c>
      <c r="L125">
        <f>IF(H125=0, 999, AB125/(H125/30))</f>
        <v/>
      </c>
      <c r="N125">
        <f>IFERROR(VLOOKUP(A125, RESEARCH!$A$4:$AS$5000, 13, FALSE), 0)</f>
        <v/>
      </c>
      <c r="O125">
        <f>MAX(0, ($L$2 * (H125/30)) - AB125)</f>
        <v/>
      </c>
      <c r="P125">
        <f>N125*O125</f>
        <v/>
      </c>
      <c r="X125">
        <f>IFERROR(VLOOKUP(A125, KEEPA!$A$4:$AW$5000, 26, FALSE), 0)</f>
        <v/>
      </c>
      <c r="Y125">
        <f>IF(X125=0,0,(X125-E125)/X125)</f>
        <v/>
      </c>
      <c r="Z125">
        <f>IFERROR(VLOOKUP(A125, KEEPA!$A$4:$AW$5000, 28, FALSE), 0)</f>
        <v/>
      </c>
      <c r="AA125">
        <f>IF(Z125=0,0,(Z125-E125)/Z125)</f>
        <v/>
      </c>
    </row>
    <row r="126">
      <c r="D126">
        <f>IFERROR(VLOOKUP(A126, RESEARCH!$A$4:$AS$5000, 14, FALSE), 0)</f>
        <v/>
      </c>
      <c r="E126">
        <f>IFERROR(VLOOKUP(A126, RESEARCH!$A$4:$AS$5000, 8, FALSE), 0)</f>
        <v/>
      </c>
      <c r="F126">
        <f>D126-N126</f>
        <v/>
      </c>
      <c r="G126">
        <f>IF(N126=0,0,F126/N126)</f>
        <v/>
      </c>
      <c r="H126">
        <f>IFERROR(VLOOKUP(A126, RESEARCH!$A$4:$AS$5000, 9, FALSE), 0)</f>
        <v/>
      </c>
      <c r="L126">
        <f>IF(H126=0, 999, AB126/(H126/30))</f>
        <v/>
      </c>
      <c r="N126">
        <f>IFERROR(VLOOKUP(A126, RESEARCH!$A$4:$AS$5000, 13, FALSE), 0)</f>
        <v/>
      </c>
      <c r="O126">
        <f>MAX(0, ($L$2 * (H126/30)) - AB126)</f>
        <v/>
      </c>
      <c r="P126">
        <f>N126*O126</f>
        <v/>
      </c>
      <c r="X126">
        <f>IFERROR(VLOOKUP(A126, KEEPA!$A$4:$AW$5000, 26, FALSE), 0)</f>
        <v/>
      </c>
      <c r="Y126">
        <f>IF(X126=0,0,(X126-E126)/X126)</f>
        <v/>
      </c>
      <c r="Z126">
        <f>IFERROR(VLOOKUP(A126, KEEPA!$A$4:$AW$5000, 28, FALSE), 0)</f>
        <v/>
      </c>
      <c r="AA126">
        <f>IF(Z126=0,0,(Z126-E126)/Z126)</f>
        <v/>
      </c>
    </row>
    <row r="127">
      <c r="D127">
        <f>IFERROR(VLOOKUP(A127, RESEARCH!$A$4:$AS$5000, 14, FALSE), 0)</f>
        <v/>
      </c>
      <c r="E127">
        <f>IFERROR(VLOOKUP(A127, RESEARCH!$A$4:$AS$5000, 8, FALSE), 0)</f>
        <v/>
      </c>
      <c r="F127">
        <f>D127-N127</f>
        <v/>
      </c>
      <c r="G127">
        <f>IF(N127=0,0,F127/N127)</f>
        <v/>
      </c>
      <c r="H127">
        <f>IFERROR(VLOOKUP(A127, RESEARCH!$A$4:$AS$5000, 9, FALSE), 0)</f>
        <v/>
      </c>
      <c r="L127">
        <f>IF(H127=0, 999, AB127/(H127/30))</f>
        <v/>
      </c>
      <c r="N127">
        <f>IFERROR(VLOOKUP(A127, RESEARCH!$A$4:$AS$5000, 13, FALSE), 0)</f>
        <v/>
      </c>
      <c r="O127">
        <f>MAX(0, ($L$2 * (H127/30)) - AB127)</f>
        <v/>
      </c>
      <c r="P127">
        <f>N127*O127</f>
        <v/>
      </c>
      <c r="X127">
        <f>IFERROR(VLOOKUP(A127, KEEPA!$A$4:$AW$5000, 26, FALSE), 0)</f>
        <v/>
      </c>
      <c r="Y127">
        <f>IF(X127=0,0,(X127-E127)/X127)</f>
        <v/>
      </c>
      <c r="Z127">
        <f>IFERROR(VLOOKUP(A127, KEEPA!$A$4:$AW$5000, 28, FALSE), 0)</f>
        <v/>
      </c>
      <c r="AA127">
        <f>IF(Z127=0,0,(Z127-E127)/Z127)</f>
        <v/>
      </c>
    </row>
    <row r="128">
      <c r="D128">
        <f>IFERROR(VLOOKUP(A128, RESEARCH!$A$4:$AS$5000, 14, FALSE), 0)</f>
        <v/>
      </c>
      <c r="E128">
        <f>IFERROR(VLOOKUP(A128, RESEARCH!$A$4:$AS$5000, 8, FALSE), 0)</f>
        <v/>
      </c>
      <c r="F128">
        <f>D128-N128</f>
        <v/>
      </c>
      <c r="G128">
        <f>IF(N128=0,0,F128/N128)</f>
        <v/>
      </c>
      <c r="H128">
        <f>IFERROR(VLOOKUP(A128, RESEARCH!$A$4:$AS$5000, 9, FALSE), 0)</f>
        <v/>
      </c>
      <c r="L128">
        <f>IF(H128=0, 999, AB128/(H128/30))</f>
        <v/>
      </c>
      <c r="N128">
        <f>IFERROR(VLOOKUP(A128, RESEARCH!$A$4:$AS$5000, 13, FALSE), 0)</f>
        <v/>
      </c>
      <c r="O128">
        <f>MAX(0, ($L$2 * (H128/30)) - AB128)</f>
        <v/>
      </c>
      <c r="P128">
        <f>N128*O128</f>
        <v/>
      </c>
      <c r="X128">
        <f>IFERROR(VLOOKUP(A128, KEEPA!$A$4:$AW$5000, 26, FALSE), 0)</f>
        <v/>
      </c>
      <c r="Y128">
        <f>IF(X128=0,0,(X128-E128)/X128)</f>
        <v/>
      </c>
      <c r="Z128">
        <f>IFERROR(VLOOKUP(A128, KEEPA!$A$4:$AW$5000, 28, FALSE), 0)</f>
        <v/>
      </c>
      <c r="AA128">
        <f>IF(Z128=0,0,(Z128-E128)/Z128)</f>
        <v/>
      </c>
    </row>
    <row r="129">
      <c r="D129">
        <f>IFERROR(VLOOKUP(A129, RESEARCH!$A$4:$AS$5000, 14, FALSE), 0)</f>
        <v/>
      </c>
      <c r="E129">
        <f>IFERROR(VLOOKUP(A129, RESEARCH!$A$4:$AS$5000, 8, FALSE), 0)</f>
        <v/>
      </c>
      <c r="F129">
        <f>D129-N129</f>
        <v/>
      </c>
      <c r="G129">
        <f>IF(N129=0,0,F129/N129)</f>
        <v/>
      </c>
      <c r="H129">
        <f>IFERROR(VLOOKUP(A129, RESEARCH!$A$4:$AS$5000, 9, FALSE), 0)</f>
        <v/>
      </c>
      <c r="L129">
        <f>IF(H129=0, 999, AB129/(H129/30))</f>
        <v/>
      </c>
      <c r="N129">
        <f>IFERROR(VLOOKUP(A129, RESEARCH!$A$4:$AS$5000, 13, FALSE), 0)</f>
        <v/>
      </c>
      <c r="O129">
        <f>MAX(0, ($L$2 * (H129/30)) - AB129)</f>
        <v/>
      </c>
      <c r="P129">
        <f>N129*O129</f>
        <v/>
      </c>
      <c r="X129">
        <f>IFERROR(VLOOKUP(A129, KEEPA!$A$4:$AW$5000, 26, FALSE), 0)</f>
        <v/>
      </c>
      <c r="Y129">
        <f>IF(X129=0,0,(X129-E129)/X129)</f>
        <v/>
      </c>
      <c r="Z129">
        <f>IFERROR(VLOOKUP(A129, KEEPA!$A$4:$AW$5000, 28, FALSE), 0)</f>
        <v/>
      </c>
      <c r="AA129">
        <f>IF(Z129=0,0,(Z129-E129)/Z129)</f>
        <v/>
      </c>
    </row>
    <row r="130">
      <c r="D130">
        <f>IFERROR(VLOOKUP(A130, RESEARCH!$A$4:$AS$5000, 14, FALSE), 0)</f>
        <v/>
      </c>
      <c r="E130">
        <f>IFERROR(VLOOKUP(A130, RESEARCH!$A$4:$AS$5000, 8, FALSE), 0)</f>
        <v/>
      </c>
      <c r="F130">
        <f>D130-N130</f>
        <v/>
      </c>
      <c r="G130">
        <f>IF(N130=0,0,F130/N130)</f>
        <v/>
      </c>
      <c r="H130">
        <f>IFERROR(VLOOKUP(A130, RESEARCH!$A$4:$AS$5000, 9, FALSE), 0)</f>
        <v/>
      </c>
      <c r="L130">
        <f>IF(H130=0, 999, AB130/(H130/30))</f>
        <v/>
      </c>
      <c r="N130">
        <f>IFERROR(VLOOKUP(A130, RESEARCH!$A$4:$AS$5000, 13, FALSE), 0)</f>
        <v/>
      </c>
      <c r="O130">
        <f>MAX(0, ($L$2 * (H130/30)) - AB130)</f>
        <v/>
      </c>
      <c r="P130">
        <f>N130*O130</f>
        <v/>
      </c>
      <c r="X130">
        <f>IFERROR(VLOOKUP(A130, KEEPA!$A$4:$AW$5000, 26, FALSE), 0)</f>
        <v/>
      </c>
      <c r="Y130">
        <f>IF(X130=0,0,(X130-E130)/X130)</f>
        <v/>
      </c>
      <c r="Z130">
        <f>IFERROR(VLOOKUP(A130, KEEPA!$A$4:$AW$5000, 28, FALSE), 0)</f>
        <v/>
      </c>
      <c r="AA130">
        <f>IF(Z130=0,0,(Z130-E130)/Z130)</f>
        <v/>
      </c>
    </row>
    <row r="131">
      <c r="D131">
        <f>IFERROR(VLOOKUP(A131, RESEARCH!$A$4:$AS$5000, 14, FALSE), 0)</f>
        <v/>
      </c>
      <c r="E131">
        <f>IFERROR(VLOOKUP(A131, RESEARCH!$A$4:$AS$5000, 8, FALSE), 0)</f>
        <v/>
      </c>
      <c r="F131">
        <f>D131-N131</f>
        <v/>
      </c>
      <c r="G131">
        <f>IF(N131=0,0,F131/N131)</f>
        <v/>
      </c>
      <c r="H131">
        <f>IFERROR(VLOOKUP(A131, RESEARCH!$A$4:$AS$5000, 9, FALSE), 0)</f>
        <v/>
      </c>
      <c r="L131">
        <f>IF(H131=0, 999, AB131/(H131/30))</f>
        <v/>
      </c>
      <c r="N131">
        <f>IFERROR(VLOOKUP(A131, RESEARCH!$A$4:$AS$5000, 13, FALSE), 0)</f>
        <v/>
      </c>
      <c r="O131">
        <f>MAX(0, ($L$2 * (H131/30)) - AB131)</f>
        <v/>
      </c>
      <c r="P131">
        <f>N131*O131</f>
        <v/>
      </c>
      <c r="X131">
        <f>IFERROR(VLOOKUP(A131, KEEPA!$A$4:$AW$5000, 26, FALSE), 0)</f>
        <v/>
      </c>
      <c r="Y131">
        <f>IF(X131=0,0,(X131-E131)/X131)</f>
        <v/>
      </c>
      <c r="Z131">
        <f>IFERROR(VLOOKUP(A131, KEEPA!$A$4:$AW$5000, 28, FALSE), 0)</f>
        <v/>
      </c>
      <c r="AA131">
        <f>IF(Z131=0,0,(Z131-E131)/Z131)</f>
        <v/>
      </c>
    </row>
    <row r="132">
      <c r="D132">
        <f>IFERROR(VLOOKUP(A132, RESEARCH!$A$4:$AS$5000, 14, FALSE), 0)</f>
        <v/>
      </c>
      <c r="E132">
        <f>IFERROR(VLOOKUP(A132, RESEARCH!$A$4:$AS$5000, 8, FALSE), 0)</f>
        <v/>
      </c>
      <c r="F132">
        <f>D132-N132</f>
        <v/>
      </c>
      <c r="G132">
        <f>IF(N132=0,0,F132/N132)</f>
        <v/>
      </c>
      <c r="H132">
        <f>IFERROR(VLOOKUP(A132, RESEARCH!$A$4:$AS$5000, 9, FALSE), 0)</f>
        <v/>
      </c>
      <c r="L132">
        <f>IF(H132=0, 999, AB132/(H132/30))</f>
        <v/>
      </c>
      <c r="N132">
        <f>IFERROR(VLOOKUP(A132, RESEARCH!$A$4:$AS$5000, 13, FALSE), 0)</f>
        <v/>
      </c>
      <c r="O132">
        <f>MAX(0, ($L$2 * (H132/30)) - AB132)</f>
        <v/>
      </c>
      <c r="P132">
        <f>N132*O132</f>
        <v/>
      </c>
      <c r="X132">
        <f>IFERROR(VLOOKUP(A132, KEEPA!$A$4:$AW$5000, 26, FALSE), 0)</f>
        <v/>
      </c>
      <c r="Y132">
        <f>IF(X132=0,0,(X132-E132)/X132)</f>
        <v/>
      </c>
      <c r="Z132">
        <f>IFERROR(VLOOKUP(A132, KEEPA!$A$4:$AW$5000, 28, FALSE), 0)</f>
        <v/>
      </c>
      <c r="AA132">
        <f>IF(Z132=0,0,(Z132-E132)/Z132)</f>
        <v/>
      </c>
    </row>
    <row r="133">
      <c r="D133">
        <f>IFERROR(VLOOKUP(A133, RESEARCH!$A$4:$AS$5000, 14, FALSE), 0)</f>
        <v/>
      </c>
      <c r="E133">
        <f>IFERROR(VLOOKUP(A133, RESEARCH!$A$4:$AS$5000, 8, FALSE), 0)</f>
        <v/>
      </c>
      <c r="F133">
        <f>D133-N133</f>
        <v/>
      </c>
      <c r="G133">
        <f>IF(N133=0,0,F133/N133)</f>
        <v/>
      </c>
      <c r="H133">
        <f>IFERROR(VLOOKUP(A133, RESEARCH!$A$4:$AS$5000, 9, FALSE), 0)</f>
        <v/>
      </c>
      <c r="L133">
        <f>IF(H133=0, 999, AB133/(H133/30))</f>
        <v/>
      </c>
      <c r="N133">
        <f>IFERROR(VLOOKUP(A133, RESEARCH!$A$4:$AS$5000, 13, FALSE), 0)</f>
        <v/>
      </c>
      <c r="O133">
        <f>MAX(0, ($L$2 * (H133/30)) - AB133)</f>
        <v/>
      </c>
      <c r="P133">
        <f>N133*O133</f>
        <v/>
      </c>
      <c r="X133">
        <f>IFERROR(VLOOKUP(A133, KEEPA!$A$4:$AW$5000, 26, FALSE), 0)</f>
        <v/>
      </c>
      <c r="Y133">
        <f>IF(X133=0,0,(X133-E133)/X133)</f>
        <v/>
      </c>
      <c r="Z133">
        <f>IFERROR(VLOOKUP(A133, KEEPA!$A$4:$AW$5000, 28, FALSE), 0)</f>
        <v/>
      </c>
      <c r="AA133">
        <f>IF(Z133=0,0,(Z133-E133)/Z133)</f>
        <v/>
      </c>
    </row>
    <row r="134">
      <c r="D134">
        <f>IFERROR(VLOOKUP(A134, RESEARCH!$A$4:$AS$5000, 14, FALSE), 0)</f>
        <v/>
      </c>
      <c r="E134">
        <f>IFERROR(VLOOKUP(A134, RESEARCH!$A$4:$AS$5000, 8, FALSE), 0)</f>
        <v/>
      </c>
      <c r="F134">
        <f>D134-N134</f>
        <v/>
      </c>
      <c r="G134">
        <f>IF(N134=0,0,F134/N134)</f>
        <v/>
      </c>
      <c r="H134">
        <f>IFERROR(VLOOKUP(A134, RESEARCH!$A$4:$AS$5000, 9, FALSE), 0)</f>
        <v/>
      </c>
      <c r="L134">
        <f>IF(H134=0, 999, AB134/(H134/30))</f>
        <v/>
      </c>
      <c r="N134">
        <f>IFERROR(VLOOKUP(A134, RESEARCH!$A$4:$AS$5000, 13, FALSE), 0)</f>
        <v/>
      </c>
      <c r="O134">
        <f>MAX(0, ($L$2 * (H134/30)) - AB134)</f>
        <v/>
      </c>
      <c r="P134">
        <f>N134*O134</f>
        <v/>
      </c>
      <c r="X134">
        <f>IFERROR(VLOOKUP(A134, KEEPA!$A$4:$AW$5000, 26, FALSE), 0)</f>
        <v/>
      </c>
      <c r="Y134">
        <f>IF(X134=0,0,(X134-E134)/X134)</f>
        <v/>
      </c>
      <c r="Z134">
        <f>IFERROR(VLOOKUP(A134, KEEPA!$A$4:$AW$5000, 28, FALSE), 0)</f>
        <v/>
      </c>
      <c r="AA134">
        <f>IF(Z134=0,0,(Z134-E134)/Z134)</f>
        <v/>
      </c>
    </row>
    <row r="135">
      <c r="D135">
        <f>IFERROR(VLOOKUP(A135, RESEARCH!$A$4:$AS$5000, 14, FALSE), 0)</f>
        <v/>
      </c>
      <c r="E135">
        <f>IFERROR(VLOOKUP(A135, RESEARCH!$A$4:$AS$5000, 8, FALSE), 0)</f>
        <v/>
      </c>
      <c r="F135">
        <f>D135-N135</f>
        <v/>
      </c>
      <c r="G135">
        <f>IF(N135=0,0,F135/N135)</f>
        <v/>
      </c>
      <c r="H135">
        <f>IFERROR(VLOOKUP(A135, RESEARCH!$A$4:$AS$5000, 9, FALSE), 0)</f>
        <v/>
      </c>
      <c r="L135">
        <f>IF(H135=0, 999, AB135/(H135/30))</f>
        <v/>
      </c>
      <c r="N135">
        <f>IFERROR(VLOOKUP(A135, RESEARCH!$A$4:$AS$5000, 13, FALSE), 0)</f>
        <v/>
      </c>
      <c r="O135">
        <f>MAX(0, ($L$2 * (H135/30)) - AB135)</f>
        <v/>
      </c>
      <c r="P135">
        <f>N135*O135</f>
        <v/>
      </c>
      <c r="X135">
        <f>IFERROR(VLOOKUP(A135, KEEPA!$A$4:$AW$5000, 26, FALSE), 0)</f>
        <v/>
      </c>
      <c r="Y135">
        <f>IF(X135=0,0,(X135-E135)/X135)</f>
        <v/>
      </c>
      <c r="Z135">
        <f>IFERROR(VLOOKUP(A135, KEEPA!$A$4:$AW$5000, 28, FALSE), 0)</f>
        <v/>
      </c>
      <c r="AA135">
        <f>IF(Z135=0,0,(Z135-E135)/Z135)</f>
        <v/>
      </c>
    </row>
    <row r="136">
      <c r="D136">
        <f>IFERROR(VLOOKUP(A136, RESEARCH!$A$4:$AS$5000, 14, FALSE), 0)</f>
        <v/>
      </c>
      <c r="E136">
        <f>IFERROR(VLOOKUP(A136, RESEARCH!$A$4:$AS$5000, 8, FALSE), 0)</f>
        <v/>
      </c>
      <c r="F136">
        <f>D136-N136</f>
        <v/>
      </c>
      <c r="G136">
        <f>IF(N136=0,0,F136/N136)</f>
        <v/>
      </c>
      <c r="H136">
        <f>IFERROR(VLOOKUP(A136, RESEARCH!$A$4:$AS$5000, 9, FALSE), 0)</f>
        <v/>
      </c>
      <c r="L136">
        <f>IF(H136=0, 999, AB136/(H136/30))</f>
        <v/>
      </c>
      <c r="N136">
        <f>IFERROR(VLOOKUP(A136, RESEARCH!$A$4:$AS$5000, 13, FALSE), 0)</f>
        <v/>
      </c>
      <c r="O136">
        <f>MAX(0, ($L$2 * (H136/30)) - AB136)</f>
        <v/>
      </c>
      <c r="P136">
        <f>N136*O136</f>
        <v/>
      </c>
      <c r="X136">
        <f>IFERROR(VLOOKUP(A136, KEEPA!$A$4:$AW$5000, 26, FALSE), 0)</f>
        <v/>
      </c>
      <c r="Y136">
        <f>IF(X136=0,0,(X136-E136)/X136)</f>
        <v/>
      </c>
      <c r="Z136">
        <f>IFERROR(VLOOKUP(A136, KEEPA!$A$4:$AW$5000, 28, FALSE), 0)</f>
        <v/>
      </c>
      <c r="AA136">
        <f>IF(Z136=0,0,(Z136-E136)/Z136)</f>
        <v/>
      </c>
    </row>
    <row r="137">
      <c r="D137">
        <f>IFERROR(VLOOKUP(A137, RESEARCH!$A$4:$AS$5000, 14, FALSE), 0)</f>
        <v/>
      </c>
      <c r="E137">
        <f>IFERROR(VLOOKUP(A137, RESEARCH!$A$4:$AS$5000, 8, FALSE), 0)</f>
        <v/>
      </c>
      <c r="F137">
        <f>D137-N137</f>
        <v/>
      </c>
      <c r="G137">
        <f>IF(N137=0,0,F137/N137)</f>
        <v/>
      </c>
      <c r="H137">
        <f>IFERROR(VLOOKUP(A137, RESEARCH!$A$4:$AS$5000, 9, FALSE), 0)</f>
        <v/>
      </c>
      <c r="L137">
        <f>IF(H137=0, 999, AB137/(H137/30))</f>
        <v/>
      </c>
      <c r="N137">
        <f>IFERROR(VLOOKUP(A137, RESEARCH!$A$4:$AS$5000, 13, FALSE), 0)</f>
        <v/>
      </c>
      <c r="O137">
        <f>MAX(0, ($L$2 * (H137/30)) - AB137)</f>
        <v/>
      </c>
      <c r="P137">
        <f>N137*O137</f>
        <v/>
      </c>
      <c r="X137">
        <f>IFERROR(VLOOKUP(A137, KEEPA!$A$4:$AW$5000, 26, FALSE), 0)</f>
        <v/>
      </c>
      <c r="Y137">
        <f>IF(X137=0,0,(X137-E137)/X137)</f>
        <v/>
      </c>
      <c r="Z137">
        <f>IFERROR(VLOOKUP(A137, KEEPA!$A$4:$AW$5000, 28, FALSE), 0)</f>
        <v/>
      </c>
      <c r="AA137">
        <f>IF(Z137=0,0,(Z137-E137)/Z137)</f>
        <v/>
      </c>
    </row>
    <row r="138">
      <c r="D138">
        <f>IFERROR(VLOOKUP(A138, RESEARCH!$A$4:$AS$5000, 14, FALSE), 0)</f>
        <v/>
      </c>
      <c r="E138">
        <f>IFERROR(VLOOKUP(A138, RESEARCH!$A$4:$AS$5000, 8, FALSE), 0)</f>
        <v/>
      </c>
      <c r="F138">
        <f>D138-N138</f>
        <v/>
      </c>
      <c r="G138">
        <f>IF(N138=0,0,F138/N138)</f>
        <v/>
      </c>
      <c r="H138">
        <f>IFERROR(VLOOKUP(A138, RESEARCH!$A$4:$AS$5000, 9, FALSE), 0)</f>
        <v/>
      </c>
      <c r="L138">
        <f>IF(H138=0, 999, AB138/(H138/30))</f>
        <v/>
      </c>
      <c r="N138">
        <f>IFERROR(VLOOKUP(A138, RESEARCH!$A$4:$AS$5000, 13, FALSE), 0)</f>
        <v/>
      </c>
      <c r="O138">
        <f>MAX(0, ($L$2 * (H138/30)) - AB138)</f>
        <v/>
      </c>
      <c r="P138">
        <f>N138*O138</f>
        <v/>
      </c>
      <c r="X138">
        <f>IFERROR(VLOOKUP(A138, KEEPA!$A$4:$AW$5000, 26, FALSE), 0)</f>
        <v/>
      </c>
      <c r="Y138">
        <f>IF(X138=0,0,(X138-E138)/X138)</f>
        <v/>
      </c>
      <c r="Z138">
        <f>IFERROR(VLOOKUP(A138, KEEPA!$A$4:$AW$5000, 28, FALSE), 0)</f>
        <v/>
      </c>
      <c r="AA138">
        <f>IF(Z138=0,0,(Z138-E138)/Z138)</f>
        <v/>
      </c>
    </row>
    <row r="139">
      <c r="D139">
        <f>IFERROR(VLOOKUP(A139, RESEARCH!$A$4:$AS$5000, 14, FALSE), 0)</f>
        <v/>
      </c>
      <c r="E139">
        <f>IFERROR(VLOOKUP(A139, RESEARCH!$A$4:$AS$5000, 8, FALSE), 0)</f>
        <v/>
      </c>
      <c r="F139">
        <f>D139-N139</f>
        <v/>
      </c>
      <c r="G139">
        <f>IF(N139=0,0,F139/N139)</f>
        <v/>
      </c>
      <c r="H139">
        <f>IFERROR(VLOOKUP(A139, RESEARCH!$A$4:$AS$5000, 9, FALSE), 0)</f>
        <v/>
      </c>
      <c r="L139">
        <f>IF(H139=0, 999, AB139/(H139/30))</f>
        <v/>
      </c>
      <c r="N139">
        <f>IFERROR(VLOOKUP(A139, RESEARCH!$A$4:$AS$5000, 13, FALSE), 0)</f>
        <v/>
      </c>
      <c r="O139">
        <f>MAX(0, ($L$2 * (H139/30)) - AB139)</f>
        <v/>
      </c>
      <c r="P139">
        <f>N139*O139</f>
        <v/>
      </c>
      <c r="X139">
        <f>IFERROR(VLOOKUP(A139, KEEPA!$A$4:$AW$5000, 26, FALSE), 0)</f>
        <v/>
      </c>
      <c r="Y139">
        <f>IF(X139=0,0,(X139-E139)/X139)</f>
        <v/>
      </c>
      <c r="Z139">
        <f>IFERROR(VLOOKUP(A139, KEEPA!$A$4:$AW$5000, 28, FALSE), 0)</f>
        <v/>
      </c>
      <c r="AA139">
        <f>IF(Z139=0,0,(Z139-E139)/Z139)</f>
        <v/>
      </c>
    </row>
    <row r="140">
      <c r="D140">
        <f>IFERROR(VLOOKUP(A140, RESEARCH!$A$4:$AS$5000, 14, FALSE), 0)</f>
        <v/>
      </c>
      <c r="E140">
        <f>IFERROR(VLOOKUP(A140, RESEARCH!$A$4:$AS$5000, 8, FALSE), 0)</f>
        <v/>
      </c>
      <c r="F140">
        <f>D140-N140</f>
        <v/>
      </c>
      <c r="G140">
        <f>IF(N140=0,0,F140/N140)</f>
        <v/>
      </c>
      <c r="H140">
        <f>IFERROR(VLOOKUP(A140, RESEARCH!$A$4:$AS$5000, 9, FALSE), 0)</f>
        <v/>
      </c>
      <c r="L140">
        <f>IF(H140=0, 999, AB140/(H140/30))</f>
        <v/>
      </c>
      <c r="N140">
        <f>IFERROR(VLOOKUP(A140, RESEARCH!$A$4:$AS$5000, 13, FALSE), 0)</f>
        <v/>
      </c>
      <c r="O140">
        <f>MAX(0, ($L$2 * (H140/30)) - AB140)</f>
        <v/>
      </c>
      <c r="P140">
        <f>N140*O140</f>
        <v/>
      </c>
      <c r="X140">
        <f>IFERROR(VLOOKUP(A140, KEEPA!$A$4:$AW$5000, 26, FALSE), 0)</f>
        <v/>
      </c>
      <c r="Y140">
        <f>IF(X140=0,0,(X140-E140)/X140)</f>
        <v/>
      </c>
      <c r="Z140">
        <f>IFERROR(VLOOKUP(A140, KEEPA!$A$4:$AW$5000, 28, FALSE), 0)</f>
        <v/>
      </c>
      <c r="AA140">
        <f>IF(Z140=0,0,(Z140-E140)/Z140)</f>
        <v/>
      </c>
    </row>
    <row r="141">
      <c r="D141">
        <f>IFERROR(VLOOKUP(A141, RESEARCH!$A$4:$AS$5000, 14, FALSE), 0)</f>
        <v/>
      </c>
      <c r="E141">
        <f>IFERROR(VLOOKUP(A141, RESEARCH!$A$4:$AS$5000, 8, FALSE), 0)</f>
        <v/>
      </c>
      <c r="F141">
        <f>D141-N141</f>
        <v/>
      </c>
      <c r="G141">
        <f>IF(N141=0,0,F141/N141)</f>
        <v/>
      </c>
      <c r="H141">
        <f>IFERROR(VLOOKUP(A141, RESEARCH!$A$4:$AS$5000, 9, FALSE), 0)</f>
        <v/>
      </c>
      <c r="L141">
        <f>IF(H141=0, 999, AB141/(H141/30))</f>
        <v/>
      </c>
      <c r="N141">
        <f>IFERROR(VLOOKUP(A141, RESEARCH!$A$4:$AS$5000, 13, FALSE), 0)</f>
        <v/>
      </c>
      <c r="O141">
        <f>MAX(0, ($L$2 * (H141/30)) - AB141)</f>
        <v/>
      </c>
      <c r="P141">
        <f>N141*O141</f>
        <v/>
      </c>
      <c r="X141">
        <f>IFERROR(VLOOKUP(A141, KEEPA!$A$4:$AW$5000, 26, FALSE), 0)</f>
        <v/>
      </c>
      <c r="Y141">
        <f>IF(X141=0,0,(X141-E141)/X141)</f>
        <v/>
      </c>
      <c r="Z141">
        <f>IFERROR(VLOOKUP(A141, KEEPA!$A$4:$AW$5000, 28, FALSE), 0)</f>
        <v/>
      </c>
      <c r="AA141">
        <f>IF(Z141=0,0,(Z141-E141)/Z141)</f>
        <v/>
      </c>
    </row>
    <row r="142">
      <c r="D142">
        <f>IFERROR(VLOOKUP(A142, RESEARCH!$A$4:$AS$5000, 14, FALSE), 0)</f>
        <v/>
      </c>
      <c r="E142">
        <f>IFERROR(VLOOKUP(A142, RESEARCH!$A$4:$AS$5000, 8, FALSE), 0)</f>
        <v/>
      </c>
      <c r="F142">
        <f>D142-N142</f>
        <v/>
      </c>
      <c r="G142">
        <f>IF(N142=0,0,F142/N142)</f>
        <v/>
      </c>
      <c r="H142">
        <f>IFERROR(VLOOKUP(A142, RESEARCH!$A$4:$AS$5000, 9, FALSE), 0)</f>
        <v/>
      </c>
      <c r="L142">
        <f>IF(H142=0, 999, AB142/(H142/30))</f>
        <v/>
      </c>
      <c r="N142">
        <f>IFERROR(VLOOKUP(A142, RESEARCH!$A$4:$AS$5000, 13, FALSE), 0)</f>
        <v/>
      </c>
      <c r="O142">
        <f>MAX(0, ($L$2 * (H142/30)) - AB142)</f>
        <v/>
      </c>
      <c r="P142">
        <f>N142*O142</f>
        <v/>
      </c>
      <c r="X142">
        <f>IFERROR(VLOOKUP(A142, KEEPA!$A$4:$AW$5000, 26, FALSE), 0)</f>
        <v/>
      </c>
      <c r="Y142">
        <f>IF(X142=0,0,(X142-E142)/X142)</f>
        <v/>
      </c>
      <c r="Z142">
        <f>IFERROR(VLOOKUP(A142, KEEPA!$A$4:$AW$5000, 28, FALSE), 0)</f>
        <v/>
      </c>
      <c r="AA142">
        <f>IF(Z142=0,0,(Z142-E142)/Z142)</f>
        <v/>
      </c>
    </row>
    <row r="143">
      <c r="D143">
        <f>IFERROR(VLOOKUP(A143, RESEARCH!$A$4:$AS$5000, 14, FALSE), 0)</f>
        <v/>
      </c>
      <c r="E143">
        <f>IFERROR(VLOOKUP(A143, RESEARCH!$A$4:$AS$5000, 8, FALSE), 0)</f>
        <v/>
      </c>
      <c r="F143">
        <f>D143-N143</f>
        <v/>
      </c>
      <c r="G143">
        <f>IF(N143=0,0,F143/N143)</f>
        <v/>
      </c>
      <c r="H143">
        <f>IFERROR(VLOOKUP(A143, RESEARCH!$A$4:$AS$5000, 9, FALSE), 0)</f>
        <v/>
      </c>
      <c r="L143">
        <f>IF(H143=0, 999, AB143/(H143/30))</f>
        <v/>
      </c>
      <c r="N143">
        <f>IFERROR(VLOOKUP(A143, RESEARCH!$A$4:$AS$5000, 13, FALSE), 0)</f>
        <v/>
      </c>
      <c r="O143">
        <f>MAX(0, ($L$2 * (H143/30)) - AB143)</f>
        <v/>
      </c>
      <c r="P143">
        <f>N143*O143</f>
        <v/>
      </c>
      <c r="X143">
        <f>IFERROR(VLOOKUP(A143, KEEPA!$A$4:$AW$5000, 26, FALSE), 0)</f>
        <v/>
      </c>
      <c r="Y143">
        <f>IF(X143=0,0,(X143-E143)/X143)</f>
        <v/>
      </c>
      <c r="Z143">
        <f>IFERROR(VLOOKUP(A143, KEEPA!$A$4:$AW$5000, 28, FALSE), 0)</f>
        <v/>
      </c>
      <c r="AA143">
        <f>IF(Z143=0,0,(Z143-E143)/Z143)</f>
        <v/>
      </c>
    </row>
    <row r="144">
      <c r="D144">
        <f>IFERROR(VLOOKUP(A144, RESEARCH!$A$4:$AS$5000, 14, FALSE), 0)</f>
        <v/>
      </c>
      <c r="E144">
        <f>IFERROR(VLOOKUP(A144, RESEARCH!$A$4:$AS$5000, 8, FALSE), 0)</f>
        <v/>
      </c>
      <c r="F144">
        <f>D144-N144</f>
        <v/>
      </c>
      <c r="G144">
        <f>IF(N144=0,0,F144/N144)</f>
        <v/>
      </c>
      <c r="H144">
        <f>IFERROR(VLOOKUP(A144, RESEARCH!$A$4:$AS$5000, 9, FALSE), 0)</f>
        <v/>
      </c>
      <c r="L144">
        <f>IF(H144=0, 999, AB144/(H144/30))</f>
        <v/>
      </c>
      <c r="N144">
        <f>IFERROR(VLOOKUP(A144, RESEARCH!$A$4:$AS$5000, 13, FALSE), 0)</f>
        <v/>
      </c>
      <c r="O144">
        <f>MAX(0, ($L$2 * (H144/30)) - AB144)</f>
        <v/>
      </c>
      <c r="P144">
        <f>N144*O144</f>
        <v/>
      </c>
      <c r="X144">
        <f>IFERROR(VLOOKUP(A144, KEEPA!$A$4:$AW$5000, 26, FALSE), 0)</f>
        <v/>
      </c>
      <c r="Y144">
        <f>IF(X144=0,0,(X144-E144)/X144)</f>
        <v/>
      </c>
      <c r="Z144">
        <f>IFERROR(VLOOKUP(A144, KEEPA!$A$4:$AW$5000, 28, FALSE), 0)</f>
        <v/>
      </c>
      <c r="AA144">
        <f>IF(Z144=0,0,(Z144-E144)/Z144)</f>
        <v/>
      </c>
    </row>
    <row r="145">
      <c r="D145">
        <f>IFERROR(VLOOKUP(A145, RESEARCH!$A$4:$AS$5000, 14, FALSE), 0)</f>
        <v/>
      </c>
      <c r="E145">
        <f>IFERROR(VLOOKUP(A145, RESEARCH!$A$4:$AS$5000, 8, FALSE), 0)</f>
        <v/>
      </c>
      <c r="F145">
        <f>D145-N145</f>
        <v/>
      </c>
      <c r="G145">
        <f>IF(N145=0,0,F145/N145)</f>
        <v/>
      </c>
      <c r="H145">
        <f>IFERROR(VLOOKUP(A145, RESEARCH!$A$4:$AS$5000, 9, FALSE), 0)</f>
        <v/>
      </c>
      <c r="L145">
        <f>IF(H145=0, 999, AB145/(H145/30))</f>
        <v/>
      </c>
      <c r="N145">
        <f>IFERROR(VLOOKUP(A145, RESEARCH!$A$4:$AS$5000, 13, FALSE), 0)</f>
        <v/>
      </c>
      <c r="O145">
        <f>MAX(0, ($L$2 * (H145/30)) - AB145)</f>
        <v/>
      </c>
      <c r="P145">
        <f>N145*O145</f>
        <v/>
      </c>
      <c r="X145">
        <f>IFERROR(VLOOKUP(A145, KEEPA!$A$4:$AW$5000, 26, FALSE), 0)</f>
        <v/>
      </c>
      <c r="Y145">
        <f>IF(X145=0,0,(X145-E145)/X145)</f>
        <v/>
      </c>
      <c r="Z145">
        <f>IFERROR(VLOOKUP(A145, KEEPA!$A$4:$AW$5000, 28, FALSE), 0)</f>
        <v/>
      </c>
      <c r="AA145">
        <f>IF(Z145=0,0,(Z145-E145)/Z145)</f>
        <v/>
      </c>
    </row>
    <row r="146">
      <c r="D146">
        <f>IFERROR(VLOOKUP(A146, RESEARCH!$A$4:$AS$5000, 14, FALSE), 0)</f>
        <v/>
      </c>
      <c r="E146">
        <f>IFERROR(VLOOKUP(A146, RESEARCH!$A$4:$AS$5000, 8, FALSE), 0)</f>
        <v/>
      </c>
      <c r="F146">
        <f>D146-N146</f>
        <v/>
      </c>
      <c r="G146">
        <f>IF(N146=0,0,F146/N146)</f>
        <v/>
      </c>
      <c r="H146">
        <f>IFERROR(VLOOKUP(A146, RESEARCH!$A$4:$AS$5000, 9, FALSE), 0)</f>
        <v/>
      </c>
      <c r="L146">
        <f>IF(H146=0, 999, AB146/(H146/30))</f>
        <v/>
      </c>
      <c r="N146">
        <f>IFERROR(VLOOKUP(A146, RESEARCH!$A$4:$AS$5000, 13, FALSE), 0)</f>
        <v/>
      </c>
      <c r="O146">
        <f>MAX(0, ($L$2 * (H146/30)) - AB146)</f>
        <v/>
      </c>
      <c r="P146">
        <f>N146*O146</f>
        <v/>
      </c>
      <c r="X146">
        <f>IFERROR(VLOOKUP(A146, KEEPA!$A$4:$AW$5000, 26, FALSE), 0)</f>
        <v/>
      </c>
      <c r="Y146">
        <f>IF(X146=0,0,(X146-E146)/X146)</f>
        <v/>
      </c>
      <c r="Z146">
        <f>IFERROR(VLOOKUP(A146, KEEPA!$A$4:$AW$5000, 28, FALSE), 0)</f>
        <v/>
      </c>
      <c r="AA146">
        <f>IF(Z146=0,0,(Z146-E146)/Z146)</f>
        <v/>
      </c>
    </row>
    <row r="147">
      <c r="D147">
        <f>IFERROR(VLOOKUP(A147, RESEARCH!$A$4:$AS$5000, 14, FALSE), 0)</f>
        <v/>
      </c>
      <c r="E147">
        <f>IFERROR(VLOOKUP(A147, RESEARCH!$A$4:$AS$5000, 8, FALSE), 0)</f>
        <v/>
      </c>
      <c r="F147">
        <f>D147-N147</f>
        <v/>
      </c>
      <c r="G147">
        <f>IF(N147=0,0,F147/N147)</f>
        <v/>
      </c>
      <c r="H147">
        <f>IFERROR(VLOOKUP(A147, RESEARCH!$A$4:$AS$5000, 9, FALSE), 0)</f>
        <v/>
      </c>
      <c r="L147">
        <f>IF(H147=0, 999, AB147/(H147/30))</f>
        <v/>
      </c>
      <c r="N147">
        <f>IFERROR(VLOOKUP(A147, RESEARCH!$A$4:$AS$5000, 13, FALSE), 0)</f>
        <v/>
      </c>
      <c r="O147">
        <f>MAX(0, ($L$2 * (H147/30)) - AB147)</f>
        <v/>
      </c>
      <c r="P147">
        <f>N147*O147</f>
        <v/>
      </c>
      <c r="X147">
        <f>IFERROR(VLOOKUP(A147, KEEPA!$A$4:$AW$5000, 26, FALSE), 0)</f>
        <v/>
      </c>
      <c r="Y147">
        <f>IF(X147=0,0,(X147-E147)/X147)</f>
        <v/>
      </c>
      <c r="Z147">
        <f>IFERROR(VLOOKUP(A147, KEEPA!$A$4:$AW$5000, 28, FALSE), 0)</f>
        <v/>
      </c>
      <c r="AA147">
        <f>IF(Z147=0,0,(Z147-E147)/Z147)</f>
        <v/>
      </c>
    </row>
    <row r="148">
      <c r="D148">
        <f>IFERROR(VLOOKUP(A148, RESEARCH!$A$4:$AS$5000, 14, FALSE), 0)</f>
        <v/>
      </c>
      <c r="E148">
        <f>IFERROR(VLOOKUP(A148, RESEARCH!$A$4:$AS$5000, 8, FALSE), 0)</f>
        <v/>
      </c>
      <c r="F148">
        <f>D148-N148</f>
        <v/>
      </c>
      <c r="G148">
        <f>IF(N148=0,0,F148/N148)</f>
        <v/>
      </c>
      <c r="H148">
        <f>IFERROR(VLOOKUP(A148, RESEARCH!$A$4:$AS$5000, 9, FALSE), 0)</f>
        <v/>
      </c>
      <c r="L148">
        <f>IF(H148=0, 999, AB148/(H148/30))</f>
        <v/>
      </c>
      <c r="N148">
        <f>IFERROR(VLOOKUP(A148, RESEARCH!$A$4:$AS$5000, 13, FALSE), 0)</f>
        <v/>
      </c>
      <c r="O148">
        <f>MAX(0, ($L$2 * (H148/30)) - AB148)</f>
        <v/>
      </c>
      <c r="P148">
        <f>N148*O148</f>
        <v/>
      </c>
      <c r="X148">
        <f>IFERROR(VLOOKUP(A148, KEEPA!$A$4:$AW$5000, 26, FALSE), 0)</f>
        <v/>
      </c>
      <c r="Y148">
        <f>IF(X148=0,0,(X148-E148)/X148)</f>
        <v/>
      </c>
      <c r="Z148">
        <f>IFERROR(VLOOKUP(A148, KEEPA!$A$4:$AW$5000, 28, FALSE), 0)</f>
        <v/>
      </c>
      <c r="AA148">
        <f>IF(Z148=0,0,(Z148-E148)/Z148)</f>
        <v/>
      </c>
    </row>
    <row r="149">
      <c r="D149">
        <f>IFERROR(VLOOKUP(A149, RESEARCH!$A$4:$AS$5000, 14, FALSE), 0)</f>
        <v/>
      </c>
      <c r="E149">
        <f>IFERROR(VLOOKUP(A149, RESEARCH!$A$4:$AS$5000, 8, FALSE), 0)</f>
        <v/>
      </c>
      <c r="F149">
        <f>D149-N149</f>
        <v/>
      </c>
      <c r="G149">
        <f>IF(N149=0,0,F149/N149)</f>
        <v/>
      </c>
      <c r="H149">
        <f>IFERROR(VLOOKUP(A149, RESEARCH!$A$4:$AS$5000, 9, FALSE), 0)</f>
        <v/>
      </c>
      <c r="L149">
        <f>IF(H149=0, 999, AB149/(H149/30))</f>
        <v/>
      </c>
      <c r="N149">
        <f>IFERROR(VLOOKUP(A149, RESEARCH!$A$4:$AS$5000, 13, FALSE), 0)</f>
        <v/>
      </c>
      <c r="O149">
        <f>MAX(0, ($L$2 * (H149/30)) - AB149)</f>
        <v/>
      </c>
      <c r="P149">
        <f>N149*O149</f>
        <v/>
      </c>
      <c r="X149">
        <f>IFERROR(VLOOKUP(A149, KEEPA!$A$4:$AW$5000, 26, FALSE), 0)</f>
        <v/>
      </c>
      <c r="Y149">
        <f>IF(X149=0,0,(X149-E149)/X149)</f>
        <v/>
      </c>
      <c r="Z149">
        <f>IFERROR(VLOOKUP(A149, KEEPA!$A$4:$AW$5000, 28, FALSE), 0)</f>
        <v/>
      </c>
      <c r="AA149">
        <f>IF(Z149=0,0,(Z149-E149)/Z149)</f>
        <v/>
      </c>
    </row>
    <row r="150">
      <c r="D150">
        <f>IFERROR(VLOOKUP(A150, RESEARCH!$A$4:$AS$5000, 14, FALSE), 0)</f>
        <v/>
      </c>
      <c r="E150">
        <f>IFERROR(VLOOKUP(A150, RESEARCH!$A$4:$AS$5000, 8, FALSE), 0)</f>
        <v/>
      </c>
      <c r="F150">
        <f>D150-N150</f>
        <v/>
      </c>
      <c r="G150">
        <f>IF(N150=0,0,F150/N150)</f>
        <v/>
      </c>
      <c r="H150">
        <f>IFERROR(VLOOKUP(A150, RESEARCH!$A$4:$AS$5000, 9, FALSE), 0)</f>
        <v/>
      </c>
      <c r="L150">
        <f>IF(H150=0, 999, AB150/(H150/30))</f>
        <v/>
      </c>
      <c r="N150">
        <f>IFERROR(VLOOKUP(A150, RESEARCH!$A$4:$AS$5000, 13, FALSE), 0)</f>
        <v/>
      </c>
      <c r="O150">
        <f>MAX(0, ($L$2 * (H150/30)) - AB150)</f>
        <v/>
      </c>
      <c r="P150">
        <f>N150*O150</f>
        <v/>
      </c>
      <c r="X150">
        <f>IFERROR(VLOOKUP(A150, KEEPA!$A$4:$AW$5000, 26, FALSE), 0)</f>
        <v/>
      </c>
      <c r="Y150">
        <f>IF(X150=0,0,(X150-E150)/X150)</f>
        <v/>
      </c>
      <c r="Z150">
        <f>IFERROR(VLOOKUP(A150, KEEPA!$A$4:$AW$5000, 28, FALSE), 0)</f>
        <v/>
      </c>
      <c r="AA150">
        <f>IF(Z150=0,0,(Z150-E150)/Z150)</f>
        <v/>
      </c>
    </row>
    <row r="151">
      <c r="D151">
        <f>IFERROR(VLOOKUP(A151, RESEARCH!$A$4:$AS$5000, 14, FALSE), 0)</f>
        <v/>
      </c>
      <c r="E151">
        <f>IFERROR(VLOOKUP(A151, RESEARCH!$A$4:$AS$5000, 8, FALSE), 0)</f>
        <v/>
      </c>
      <c r="F151">
        <f>D151-N151</f>
        <v/>
      </c>
      <c r="G151">
        <f>IF(N151=0,0,F151/N151)</f>
        <v/>
      </c>
      <c r="H151">
        <f>IFERROR(VLOOKUP(A151, RESEARCH!$A$4:$AS$5000, 9, FALSE), 0)</f>
        <v/>
      </c>
      <c r="L151">
        <f>IF(H151=0, 999, AB151/(H151/30))</f>
        <v/>
      </c>
      <c r="N151">
        <f>IFERROR(VLOOKUP(A151, RESEARCH!$A$4:$AS$5000, 13, FALSE), 0)</f>
        <v/>
      </c>
      <c r="O151">
        <f>MAX(0, ($L$2 * (H151/30)) - AB151)</f>
        <v/>
      </c>
      <c r="P151">
        <f>N151*O151</f>
        <v/>
      </c>
      <c r="X151">
        <f>IFERROR(VLOOKUP(A151, KEEPA!$A$4:$AW$5000, 26, FALSE), 0)</f>
        <v/>
      </c>
      <c r="Y151">
        <f>IF(X151=0,0,(X151-E151)/X151)</f>
        <v/>
      </c>
      <c r="Z151">
        <f>IFERROR(VLOOKUP(A151, KEEPA!$A$4:$AW$5000, 28, FALSE), 0)</f>
        <v/>
      </c>
      <c r="AA151">
        <f>IF(Z151=0,0,(Z151-E151)/Z151)</f>
        <v/>
      </c>
    </row>
    <row r="152">
      <c r="D152">
        <f>IFERROR(VLOOKUP(A152, RESEARCH!$A$4:$AS$5000, 14, FALSE), 0)</f>
        <v/>
      </c>
      <c r="E152">
        <f>IFERROR(VLOOKUP(A152, RESEARCH!$A$4:$AS$5000, 8, FALSE), 0)</f>
        <v/>
      </c>
      <c r="F152">
        <f>D152-N152</f>
        <v/>
      </c>
      <c r="G152">
        <f>IF(N152=0,0,F152/N152)</f>
        <v/>
      </c>
      <c r="H152">
        <f>IFERROR(VLOOKUP(A152, RESEARCH!$A$4:$AS$5000, 9, FALSE), 0)</f>
        <v/>
      </c>
      <c r="L152">
        <f>IF(H152=0, 999, AB152/(H152/30))</f>
        <v/>
      </c>
      <c r="N152">
        <f>IFERROR(VLOOKUP(A152, RESEARCH!$A$4:$AS$5000, 13, FALSE), 0)</f>
        <v/>
      </c>
      <c r="O152">
        <f>MAX(0, ($L$2 * (H152/30)) - AB152)</f>
        <v/>
      </c>
      <c r="P152">
        <f>N152*O152</f>
        <v/>
      </c>
      <c r="X152">
        <f>IFERROR(VLOOKUP(A152, KEEPA!$A$4:$AW$5000, 26, FALSE), 0)</f>
        <v/>
      </c>
      <c r="Y152">
        <f>IF(X152=0,0,(X152-E152)/X152)</f>
        <v/>
      </c>
      <c r="Z152">
        <f>IFERROR(VLOOKUP(A152, KEEPA!$A$4:$AW$5000, 28, FALSE), 0)</f>
        <v/>
      </c>
      <c r="AA152">
        <f>IF(Z152=0,0,(Z152-E152)/Z152)</f>
        <v/>
      </c>
    </row>
    <row r="153">
      <c r="D153">
        <f>IFERROR(VLOOKUP(A153, RESEARCH!$A$4:$AS$5000, 14, FALSE), 0)</f>
        <v/>
      </c>
      <c r="E153">
        <f>IFERROR(VLOOKUP(A153, RESEARCH!$A$4:$AS$5000, 8, FALSE), 0)</f>
        <v/>
      </c>
      <c r="F153">
        <f>D153-N153</f>
        <v/>
      </c>
      <c r="G153">
        <f>IF(N153=0,0,F153/N153)</f>
        <v/>
      </c>
      <c r="H153">
        <f>IFERROR(VLOOKUP(A153, RESEARCH!$A$4:$AS$5000, 9, FALSE), 0)</f>
        <v/>
      </c>
      <c r="L153">
        <f>IF(H153=0, 999, AB153/(H153/30))</f>
        <v/>
      </c>
      <c r="N153">
        <f>IFERROR(VLOOKUP(A153, RESEARCH!$A$4:$AS$5000, 13, FALSE), 0)</f>
        <v/>
      </c>
      <c r="O153">
        <f>MAX(0, ($L$2 * (H153/30)) - AB153)</f>
        <v/>
      </c>
      <c r="P153">
        <f>N153*O153</f>
        <v/>
      </c>
      <c r="X153">
        <f>IFERROR(VLOOKUP(A153, KEEPA!$A$4:$AW$5000, 26, FALSE), 0)</f>
        <v/>
      </c>
      <c r="Y153">
        <f>IF(X153=0,0,(X153-E153)/X153)</f>
        <v/>
      </c>
      <c r="Z153">
        <f>IFERROR(VLOOKUP(A153, KEEPA!$A$4:$AW$5000, 28, FALSE), 0)</f>
        <v/>
      </c>
      <c r="AA153">
        <f>IF(Z153=0,0,(Z153-E153)/Z153)</f>
        <v/>
      </c>
    </row>
    <row r="154">
      <c r="D154">
        <f>IFERROR(VLOOKUP(A154, RESEARCH!$A$4:$AS$5000, 14, FALSE), 0)</f>
        <v/>
      </c>
      <c r="E154">
        <f>IFERROR(VLOOKUP(A154, RESEARCH!$A$4:$AS$5000, 8, FALSE), 0)</f>
        <v/>
      </c>
      <c r="F154">
        <f>D154-N154</f>
        <v/>
      </c>
      <c r="G154">
        <f>IF(N154=0,0,F154/N154)</f>
        <v/>
      </c>
      <c r="H154">
        <f>IFERROR(VLOOKUP(A154, RESEARCH!$A$4:$AS$5000, 9, FALSE), 0)</f>
        <v/>
      </c>
      <c r="L154">
        <f>IF(H154=0, 999, AB154/(H154/30))</f>
        <v/>
      </c>
      <c r="N154">
        <f>IFERROR(VLOOKUP(A154, RESEARCH!$A$4:$AS$5000, 13, FALSE), 0)</f>
        <v/>
      </c>
      <c r="O154">
        <f>MAX(0, ($L$2 * (H154/30)) - AB154)</f>
        <v/>
      </c>
      <c r="P154">
        <f>N154*O154</f>
        <v/>
      </c>
      <c r="X154">
        <f>IFERROR(VLOOKUP(A154, KEEPA!$A$4:$AW$5000, 26, FALSE), 0)</f>
        <v/>
      </c>
      <c r="Y154">
        <f>IF(X154=0,0,(X154-E154)/X154)</f>
        <v/>
      </c>
      <c r="Z154">
        <f>IFERROR(VLOOKUP(A154, KEEPA!$A$4:$AW$5000, 28, FALSE), 0)</f>
        <v/>
      </c>
      <c r="AA154">
        <f>IF(Z154=0,0,(Z154-E154)/Z154)</f>
        <v/>
      </c>
    </row>
    <row r="155">
      <c r="D155">
        <f>IFERROR(VLOOKUP(A155, RESEARCH!$A$4:$AS$5000, 14, FALSE), 0)</f>
        <v/>
      </c>
      <c r="E155">
        <f>IFERROR(VLOOKUP(A155, RESEARCH!$A$4:$AS$5000, 8, FALSE), 0)</f>
        <v/>
      </c>
      <c r="F155">
        <f>D155-N155</f>
        <v/>
      </c>
      <c r="G155">
        <f>IF(N155=0,0,F155/N155)</f>
        <v/>
      </c>
      <c r="H155">
        <f>IFERROR(VLOOKUP(A155, RESEARCH!$A$4:$AS$5000, 9, FALSE), 0)</f>
        <v/>
      </c>
      <c r="L155">
        <f>IF(H155=0, 999, AB155/(H155/30))</f>
        <v/>
      </c>
      <c r="N155">
        <f>IFERROR(VLOOKUP(A155, RESEARCH!$A$4:$AS$5000, 13, FALSE), 0)</f>
        <v/>
      </c>
      <c r="O155">
        <f>MAX(0, ($L$2 * (H155/30)) - AB155)</f>
        <v/>
      </c>
      <c r="P155">
        <f>N155*O155</f>
        <v/>
      </c>
      <c r="X155">
        <f>IFERROR(VLOOKUP(A155, KEEPA!$A$4:$AW$5000, 26, FALSE), 0)</f>
        <v/>
      </c>
      <c r="Y155">
        <f>IF(X155=0,0,(X155-E155)/X155)</f>
        <v/>
      </c>
      <c r="Z155">
        <f>IFERROR(VLOOKUP(A155, KEEPA!$A$4:$AW$5000, 28, FALSE), 0)</f>
        <v/>
      </c>
      <c r="AA155">
        <f>IF(Z155=0,0,(Z155-E155)/Z155)</f>
        <v/>
      </c>
    </row>
    <row r="156">
      <c r="D156">
        <f>IFERROR(VLOOKUP(A156, RESEARCH!$A$4:$AS$5000, 14, FALSE), 0)</f>
        <v/>
      </c>
      <c r="E156">
        <f>IFERROR(VLOOKUP(A156, RESEARCH!$A$4:$AS$5000, 8, FALSE), 0)</f>
        <v/>
      </c>
      <c r="F156">
        <f>D156-N156</f>
        <v/>
      </c>
      <c r="G156">
        <f>IF(N156=0,0,F156/N156)</f>
        <v/>
      </c>
      <c r="H156">
        <f>IFERROR(VLOOKUP(A156, RESEARCH!$A$4:$AS$5000, 9, FALSE), 0)</f>
        <v/>
      </c>
      <c r="L156">
        <f>IF(H156=0, 999, AB156/(H156/30))</f>
        <v/>
      </c>
      <c r="N156">
        <f>IFERROR(VLOOKUP(A156, RESEARCH!$A$4:$AS$5000, 13, FALSE), 0)</f>
        <v/>
      </c>
      <c r="O156">
        <f>MAX(0, ($L$2 * (H156/30)) - AB156)</f>
        <v/>
      </c>
      <c r="P156">
        <f>N156*O156</f>
        <v/>
      </c>
      <c r="X156">
        <f>IFERROR(VLOOKUP(A156, KEEPA!$A$4:$AW$5000, 26, FALSE), 0)</f>
        <v/>
      </c>
      <c r="Y156">
        <f>IF(X156=0,0,(X156-E156)/X156)</f>
        <v/>
      </c>
      <c r="Z156">
        <f>IFERROR(VLOOKUP(A156, KEEPA!$A$4:$AW$5000, 28, FALSE), 0)</f>
        <v/>
      </c>
      <c r="AA156">
        <f>IF(Z156=0,0,(Z156-E156)/Z156)</f>
        <v/>
      </c>
    </row>
    <row r="157">
      <c r="D157">
        <f>IFERROR(VLOOKUP(A157, RESEARCH!$A$4:$AS$5000, 14, FALSE), 0)</f>
        <v/>
      </c>
      <c r="E157">
        <f>IFERROR(VLOOKUP(A157, RESEARCH!$A$4:$AS$5000, 8, FALSE), 0)</f>
        <v/>
      </c>
      <c r="F157">
        <f>D157-N157</f>
        <v/>
      </c>
      <c r="G157">
        <f>IF(N157=0,0,F157/N157)</f>
        <v/>
      </c>
      <c r="H157">
        <f>IFERROR(VLOOKUP(A157, RESEARCH!$A$4:$AS$5000, 9, FALSE), 0)</f>
        <v/>
      </c>
      <c r="L157">
        <f>IF(H157=0, 999, AB157/(H157/30))</f>
        <v/>
      </c>
      <c r="N157">
        <f>IFERROR(VLOOKUP(A157, RESEARCH!$A$4:$AS$5000, 13, FALSE), 0)</f>
        <v/>
      </c>
      <c r="O157">
        <f>MAX(0, ($L$2 * (H157/30)) - AB157)</f>
        <v/>
      </c>
      <c r="P157">
        <f>N157*O157</f>
        <v/>
      </c>
      <c r="X157">
        <f>IFERROR(VLOOKUP(A157, KEEPA!$A$4:$AW$5000, 26, FALSE), 0)</f>
        <v/>
      </c>
      <c r="Y157">
        <f>IF(X157=0,0,(X157-E157)/X157)</f>
        <v/>
      </c>
      <c r="Z157">
        <f>IFERROR(VLOOKUP(A157, KEEPA!$A$4:$AW$5000, 28, FALSE), 0)</f>
        <v/>
      </c>
      <c r="AA157">
        <f>IF(Z157=0,0,(Z157-E157)/Z157)</f>
        <v/>
      </c>
    </row>
    <row r="158">
      <c r="D158">
        <f>IFERROR(VLOOKUP(A158, RESEARCH!$A$4:$AS$5000, 14, FALSE), 0)</f>
        <v/>
      </c>
      <c r="E158">
        <f>IFERROR(VLOOKUP(A158, RESEARCH!$A$4:$AS$5000, 8, FALSE), 0)</f>
        <v/>
      </c>
      <c r="F158">
        <f>D158-N158</f>
        <v/>
      </c>
      <c r="G158">
        <f>IF(N158=0,0,F158/N158)</f>
        <v/>
      </c>
      <c r="H158">
        <f>IFERROR(VLOOKUP(A158, RESEARCH!$A$4:$AS$5000, 9, FALSE), 0)</f>
        <v/>
      </c>
      <c r="L158">
        <f>IF(H158=0, 999, AB158/(H158/30))</f>
        <v/>
      </c>
      <c r="N158">
        <f>IFERROR(VLOOKUP(A158, RESEARCH!$A$4:$AS$5000, 13, FALSE), 0)</f>
        <v/>
      </c>
      <c r="O158">
        <f>MAX(0, ($L$2 * (H158/30)) - AB158)</f>
        <v/>
      </c>
      <c r="P158">
        <f>N158*O158</f>
        <v/>
      </c>
      <c r="X158">
        <f>IFERROR(VLOOKUP(A158, KEEPA!$A$4:$AW$5000, 26, FALSE), 0)</f>
        <v/>
      </c>
      <c r="Y158">
        <f>IF(X158=0,0,(X158-E158)/X158)</f>
        <v/>
      </c>
      <c r="Z158">
        <f>IFERROR(VLOOKUP(A158, KEEPA!$A$4:$AW$5000, 28, FALSE), 0)</f>
        <v/>
      </c>
      <c r="AA158">
        <f>IF(Z158=0,0,(Z158-E158)/Z158)</f>
        <v/>
      </c>
    </row>
    <row r="159">
      <c r="D159">
        <f>IFERROR(VLOOKUP(A159, RESEARCH!$A$4:$AS$5000, 14, FALSE), 0)</f>
        <v/>
      </c>
      <c r="E159">
        <f>IFERROR(VLOOKUP(A159, RESEARCH!$A$4:$AS$5000, 8, FALSE), 0)</f>
        <v/>
      </c>
      <c r="F159">
        <f>D159-N159</f>
        <v/>
      </c>
      <c r="G159">
        <f>IF(N159=0,0,F159/N159)</f>
        <v/>
      </c>
      <c r="H159">
        <f>IFERROR(VLOOKUP(A159, RESEARCH!$A$4:$AS$5000, 9, FALSE), 0)</f>
        <v/>
      </c>
      <c r="L159">
        <f>IF(H159=0, 999, AB159/(H159/30))</f>
        <v/>
      </c>
      <c r="N159">
        <f>IFERROR(VLOOKUP(A159, RESEARCH!$A$4:$AS$5000, 13, FALSE), 0)</f>
        <v/>
      </c>
      <c r="O159">
        <f>MAX(0, ($L$2 * (H159/30)) - AB159)</f>
        <v/>
      </c>
      <c r="P159">
        <f>N159*O159</f>
        <v/>
      </c>
      <c r="X159">
        <f>IFERROR(VLOOKUP(A159, KEEPA!$A$4:$AW$5000, 26, FALSE), 0)</f>
        <v/>
      </c>
      <c r="Y159">
        <f>IF(X159=0,0,(X159-E159)/X159)</f>
        <v/>
      </c>
      <c r="Z159">
        <f>IFERROR(VLOOKUP(A159, KEEPA!$A$4:$AW$5000, 28, FALSE), 0)</f>
        <v/>
      </c>
      <c r="AA159">
        <f>IF(Z159=0,0,(Z159-E159)/Z159)</f>
        <v/>
      </c>
    </row>
    <row r="160">
      <c r="D160">
        <f>IFERROR(VLOOKUP(A160, RESEARCH!$A$4:$AS$5000, 14, FALSE), 0)</f>
        <v/>
      </c>
      <c r="E160">
        <f>IFERROR(VLOOKUP(A160, RESEARCH!$A$4:$AS$5000, 8, FALSE), 0)</f>
        <v/>
      </c>
      <c r="F160">
        <f>D160-N160</f>
        <v/>
      </c>
      <c r="G160">
        <f>IF(N160=0,0,F160/N160)</f>
        <v/>
      </c>
      <c r="H160">
        <f>IFERROR(VLOOKUP(A160, RESEARCH!$A$4:$AS$5000, 9, FALSE), 0)</f>
        <v/>
      </c>
      <c r="L160">
        <f>IF(H160=0, 999, AB160/(H160/30))</f>
        <v/>
      </c>
      <c r="N160">
        <f>IFERROR(VLOOKUP(A160, RESEARCH!$A$4:$AS$5000, 13, FALSE), 0)</f>
        <v/>
      </c>
      <c r="O160">
        <f>MAX(0, ($L$2 * (H160/30)) - AB160)</f>
        <v/>
      </c>
      <c r="P160">
        <f>N160*O160</f>
        <v/>
      </c>
      <c r="X160">
        <f>IFERROR(VLOOKUP(A160, KEEPA!$A$4:$AW$5000, 26, FALSE), 0)</f>
        <v/>
      </c>
      <c r="Y160">
        <f>IF(X160=0,0,(X160-E160)/X160)</f>
        <v/>
      </c>
      <c r="Z160">
        <f>IFERROR(VLOOKUP(A160, KEEPA!$A$4:$AW$5000, 28, FALSE), 0)</f>
        <v/>
      </c>
      <c r="AA160">
        <f>IF(Z160=0,0,(Z160-E160)/Z160)</f>
        <v/>
      </c>
    </row>
    <row r="161">
      <c r="D161">
        <f>IFERROR(VLOOKUP(A161, RESEARCH!$A$4:$AS$5000, 14, FALSE), 0)</f>
        <v/>
      </c>
      <c r="E161">
        <f>IFERROR(VLOOKUP(A161, RESEARCH!$A$4:$AS$5000, 8, FALSE), 0)</f>
        <v/>
      </c>
      <c r="F161">
        <f>D161-N161</f>
        <v/>
      </c>
      <c r="G161">
        <f>IF(N161=0,0,F161/N161)</f>
        <v/>
      </c>
      <c r="H161">
        <f>IFERROR(VLOOKUP(A161, RESEARCH!$A$4:$AS$5000, 9, FALSE), 0)</f>
        <v/>
      </c>
      <c r="L161">
        <f>IF(H161=0, 999, AB161/(H161/30))</f>
        <v/>
      </c>
      <c r="N161">
        <f>IFERROR(VLOOKUP(A161, RESEARCH!$A$4:$AS$5000, 13, FALSE), 0)</f>
        <v/>
      </c>
      <c r="O161">
        <f>MAX(0, ($L$2 * (H161/30)) - AB161)</f>
        <v/>
      </c>
      <c r="P161">
        <f>N161*O161</f>
        <v/>
      </c>
      <c r="X161">
        <f>IFERROR(VLOOKUP(A161, KEEPA!$A$4:$AW$5000, 26, FALSE), 0)</f>
        <v/>
      </c>
      <c r="Y161">
        <f>IF(X161=0,0,(X161-E161)/X161)</f>
        <v/>
      </c>
      <c r="Z161">
        <f>IFERROR(VLOOKUP(A161, KEEPA!$A$4:$AW$5000, 28, FALSE), 0)</f>
        <v/>
      </c>
      <c r="AA161">
        <f>IF(Z161=0,0,(Z161-E161)/Z161)</f>
        <v/>
      </c>
    </row>
    <row r="162">
      <c r="D162">
        <f>IFERROR(VLOOKUP(A162, RESEARCH!$A$4:$AS$5000, 14, FALSE), 0)</f>
        <v/>
      </c>
      <c r="E162">
        <f>IFERROR(VLOOKUP(A162, RESEARCH!$A$4:$AS$5000, 8, FALSE), 0)</f>
        <v/>
      </c>
      <c r="F162">
        <f>D162-N162</f>
        <v/>
      </c>
      <c r="G162">
        <f>IF(N162=0,0,F162/N162)</f>
        <v/>
      </c>
      <c r="H162">
        <f>IFERROR(VLOOKUP(A162, RESEARCH!$A$4:$AS$5000, 9, FALSE), 0)</f>
        <v/>
      </c>
      <c r="L162">
        <f>IF(H162=0, 999, AB162/(H162/30))</f>
        <v/>
      </c>
      <c r="N162">
        <f>IFERROR(VLOOKUP(A162, RESEARCH!$A$4:$AS$5000, 13, FALSE), 0)</f>
        <v/>
      </c>
      <c r="O162">
        <f>MAX(0, ($L$2 * (H162/30)) - AB162)</f>
        <v/>
      </c>
      <c r="P162">
        <f>N162*O162</f>
        <v/>
      </c>
      <c r="X162">
        <f>IFERROR(VLOOKUP(A162, KEEPA!$A$4:$AW$5000, 26, FALSE), 0)</f>
        <v/>
      </c>
      <c r="Y162">
        <f>IF(X162=0,0,(X162-E162)/X162)</f>
        <v/>
      </c>
      <c r="Z162">
        <f>IFERROR(VLOOKUP(A162, KEEPA!$A$4:$AW$5000, 28, FALSE), 0)</f>
        <v/>
      </c>
      <c r="AA162">
        <f>IF(Z162=0,0,(Z162-E162)/Z162)</f>
        <v/>
      </c>
    </row>
    <row r="163">
      <c r="D163">
        <f>IFERROR(VLOOKUP(A163, RESEARCH!$A$4:$AS$5000, 14, FALSE), 0)</f>
        <v/>
      </c>
      <c r="E163">
        <f>IFERROR(VLOOKUP(A163, RESEARCH!$A$4:$AS$5000, 8, FALSE), 0)</f>
        <v/>
      </c>
      <c r="F163">
        <f>D163-N163</f>
        <v/>
      </c>
      <c r="G163">
        <f>IF(N163=0,0,F163/N163)</f>
        <v/>
      </c>
      <c r="H163">
        <f>IFERROR(VLOOKUP(A163, RESEARCH!$A$4:$AS$5000, 9, FALSE), 0)</f>
        <v/>
      </c>
      <c r="L163">
        <f>IF(H163=0, 999, AB163/(H163/30))</f>
        <v/>
      </c>
      <c r="N163">
        <f>IFERROR(VLOOKUP(A163, RESEARCH!$A$4:$AS$5000, 13, FALSE), 0)</f>
        <v/>
      </c>
      <c r="O163">
        <f>MAX(0, ($L$2 * (H163/30)) - AB163)</f>
        <v/>
      </c>
      <c r="P163">
        <f>N163*O163</f>
        <v/>
      </c>
      <c r="X163">
        <f>IFERROR(VLOOKUP(A163, KEEPA!$A$4:$AW$5000, 26, FALSE), 0)</f>
        <v/>
      </c>
      <c r="Y163">
        <f>IF(X163=0,0,(X163-E163)/X163)</f>
        <v/>
      </c>
      <c r="Z163">
        <f>IFERROR(VLOOKUP(A163, KEEPA!$A$4:$AW$5000, 28, FALSE), 0)</f>
        <v/>
      </c>
      <c r="AA163">
        <f>IF(Z163=0,0,(Z163-E163)/Z163)</f>
        <v/>
      </c>
    </row>
    <row r="164">
      <c r="D164">
        <f>IFERROR(VLOOKUP(A164, RESEARCH!$A$4:$AS$5000, 14, FALSE), 0)</f>
        <v/>
      </c>
      <c r="E164">
        <f>IFERROR(VLOOKUP(A164, RESEARCH!$A$4:$AS$5000, 8, FALSE), 0)</f>
        <v/>
      </c>
      <c r="F164">
        <f>D164-N164</f>
        <v/>
      </c>
      <c r="G164">
        <f>IF(N164=0,0,F164/N164)</f>
        <v/>
      </c>
      <c r="H164">
        <f>IFERROR(VLOOKUP(A164, RESEARCH!$A$4:$AS$5000, 9, FALSE), 0)</f>
        <v/>
      </c>
      <c r="L164">
        <f>IF(H164=0, 999, AB164/(H164/30))</f>
        <v/>
      </c>
      <c r="N164">
        <f>IFERROR(VLOOKUP(A164, RESEARCH!$A$4:$AS$5000, 13, FALSE), 0)</f>
        <v/>
      </c>
      <c r="O164">
        <f>MAX(0, ($L$2 * (H164/30)) - AB164)</f>
        <v/>
      </c>
      <c r="P164">
        <f>N164*O164</f>
        <v/>
      </c>
      <c r="X164">
        <f>IFERROR(VLOOKUP(A164, KEEPA!$A$4:$AW$5000, 26, FALSE), 0)</f>
        <v/>
      </c>
      <c r="Y164">
        <f>IF(X164=0,0,(X164-E164)/X164)</f>
        <v/>
      </c>
      <c r="Z164">
        <f>IFERROR(VLOOKUP(A164, KEEPA!$A$4:$AW$5000, 28, FALSE), 0)</f>
        <v/>
      </c>
      <c r="AA164">
        <f>IF(Z164=0,0,(Z164-E164)/Z164)</f>
        <v/>
      </c>
    </row>
    <row r="165">
      <c r="D165">
        <f>IFERROR(VLOOKUP(A165, RESEARCH!$A$4:$AS$5000, 14, FALSE), 0)</f>
        <v/>
      </c>
      <c r="E165">
        <f>IFERROR(VLOOKUP(A165, RESEARCH!$A$4:$AS$5000, 8, FALSE), 0)</f>
        <v/>
      </c>
      <c r="F165">
        <f>D165-N165</f>
        <v/>
      </c>
      <c r="G165">
        <f>IF(N165=0,0,F165/N165)</f>
        <v/>
      </c>
      <c r="H165">
        <f>IFERROR(VLOOKUP(A165, RESEARCH!$A$4:$AS$5000, 9, FALSE), 0)</f>
        <v/>
      </c>
      <c r="L165">
        <f>IF(H165=0, 999, AB165/(H165/30))</f>
        <v/>
      </c>
      <c r="N165">
        <f>IFERROR(VLOOKUP(A165, RESEARCH!$A$4:$AS$5000, 13, FALSE), 0)</f>
        <v/>
      </c>
      <c r="O165">
        <f>MAX(0, ($L$2 * (H165/30)) - AB165)</f>
        <v/>
      </c>
      <c r="P165">
        <f>N165*O165</f>
        <v/>
      </c>
      <c r="X165">
        <f>IFERROR(VLOOKUP(A165, KEEPA!$A$4:$AW$5000, 26, FALSE), 0)</f>
        <v/>
      </c>
      <c r="Y165">
        <f>IF(X165=0,0,(X165-E165)/X165)</f>
        <v/>
      </c>
      <c r="Z165">
        <f>IFERROR(VLOOKUP(A165, KEEPA!$A$4:$AW$5000, 28, FALSE), 0)</f>
        <v/>
      </c>
      <c r="AA165">
        <f>IF(Z165=0,0,(Z165-E165)/Z165)</f>
        <v/>
      </c>
    </row>
    <row r="166">
      <c r="D166">
        <f>IFERROR(VLOOKUP(A166, RESEARCH!$A$4:$AS$5000, 14, FALSE), 0)</f>
        <v/>
      </c>
      <c r="E166">
        <f>IFERROR(VLOOKUP(A166, RESEARCH!$A$4:$AS$5000, 8, FALSE), 0)</f>
        <v/>
      </c>
      <c r="F166">
        <f>D166-N166</f>
        <v/>
      </c>
      <c r="G166">
        <f>IF(N166=0,0,F166/N166)</f>
        <v/>
      </c>
      <c r="H166">
        <f>IFERROR(VLOOKUP(A166, RESEARCH!$A$4:$AS$5000, 9, FALSE), 0)</f>
        <v/>
      </c>
      <c r="L166">
        <f>IF(H166=0, 999, AB166/(H166/30))</f>
        <v/>
      </c>
      <c r="N166">
        <f>IFERROR(VLOOKUP(A166, RESEARCH!$A$4:$AS$5000, 13, FALSE), 0)</f>
        <v/>
      </c>
      <c r="O166">
        <f>MAX(0, ($L$2 * (H166/30)) - AB166)</f>
        <v/>
      </c>
      <c r="P166">
        <f>N166*O166</f>
        <v/>
      </c>
      <c r="X166">
        <f>IFERROR(VLOOKUP(A166, KEEPA!$A$4:$AW$5000, 26, FALSE), 0)</f>
        <v/>
      </c>
      <c r="Y166">
        <f>IF(X166=0,0,(X166-E166)/X166)</f>
        <v/>
      </c>
      <c r="Z166">
        <f>IFERROR(VLOOKUP(A166, KEEPA!$A$4:$AW$5000, 28, FALSE), 0)</f>
        <v/>
      </c>
      <c r="AA166">
        <f>IF(Z166=0,0,(Z166-E166)/Z166)</f>
        <v/>
      </c>
    </row>
    <row r="167">
      <c r="D167">
        <f>IFERROR(VLOOKUP(A167, RESEARCH!$A$4:$AS$5000, 14, FALSE), 0)</f>
        <v/>
      </c>
      <c r="E167">
        <f>IFERROR(VLOOKUP(A167, RESEARCH!$A$4:$AS$5000, 8, FALSE), 0)</f>
        <v/>
      </c>
      <c r="F167">
        <f>D167-N167</f>
        <v/>
      </c>
      <c r="G167">
        <f>IF(N167=0,0,F167/N167)</f>
        <v/>
      </c>
      <c r="H167">
        <f>IFERROR(VLOOKUP(A167, RESEARCH!$A$4:$AS$5000, 9, FALSE), 0)</f>
        <v/>
      </c>
      <c r="L167">
        <f>IF(H167=0, 999, AB167/(H167/30))</f>
        <v/>
      </c>
      <c r="N167">
        <f>IFERROR(VLOOKUP(A167, RESEARCH!$A$4:$AS$5000, 13, FALSE), 0)</f>
        <v/>
      </c>
      <c r="O167">
        <f>MAX(0, ($L$2 * (H167/30)) - AB167)</f>
        <v/>
      </c>
      <c r="P167">
        <f>N167*O167</f>
        <v/>
      </c>
      <c r="X167">
        <f>IFERROR(VLOOKUP(A167, KEEPA!$A$4:$AW$5000, 26, FALSE), 0)</f>
        <v/>
      </c>
      <c r="Y167">
        <f>IF(X167=0,0,(X167-E167)/X167)</f>
        <v/>
      </c>
      <c r="Z167">
        <f>IFERROR(VLOOKUP(A167, KEEPA!$A$4:$AW$5000, 28, FALSE), 0)</f>
        <v/>
      </c>
      <c r="AA167">
        <f>IF(Z167=0,0,(Z167-E167)/Z167)</f>
        <v/>
      </c>
    </row>
    <row r="168">
      <c r="D168">
        <f>IFERROR(VLOOKUP(A168, RESEARCH!$A$4:$AS$5000, 14, FALSE), 0)</f>
        <v/>
      </c>
      <c r="E168">
        <f>IFERROR(VLOOKUP(A168, RESEARCH!$A$4:$AS$5000, 8, FALSE), 0)</f>
        <v/>
      </c>
      <c r="F168">
        <f>D168-N168</f>
        <v/>
      </c>
      <c r="G168">
        <f>IF(N168=0,0,F168/N168)</f>
        <v/>
      </c>
      <c r="H168">
        <f>IFERROR(VLOOKUP(A168, RESEARCH!$A$4:$AS$5000, 9, FALSE), 0)</f>
        <v/>
      </c>
      <c r="L168">
        <f>IF(H168=0, 999, AB168/(H168/30))</f>
        <v/>
      </c>
      <c r="N168">
        <f>IFERROR(VLOOKUP(A168, RESEARCH!$A$4:$AS$5000, 13, FALSE), 0)</f>
        <v/>
      </c>
      <c r="O168">
        <f>MAX(0, ($L$2 * (H168/30)) - AB168)</f>
        <v/>
      </c>
      <c r="P168">
        <f>N168*O168</f>
        <v/>
      </c>
      <c r="X168">
        <f>IFERROR(VLOOKUP(A168, KEEPA!$A$4:$AW$5000, 26, FALSE), 0)</f>
        <v/>
      </c>
      <c r="Y168">
        <f>IF(X168=0,0,(X168-E168)/X168)</f>
        <v/>
      </c>
      <c r="Z168">
        <f>IFERROR(VLOOKUP(A168, KEEPA!$A$4:$AW$5000, 28, FALSE), 0)</f>
        <v/>
      </c>
      <c r="AA168">
        <f>IF(Z168=0,0,(Z168-E168)/Z168)</f>
        <v/>
      </c>
    </row>
    <row r="169">
      <c r="D169">
        <f>IFERROR(VLOOKUP(A169, RESEARCH!$A$4:$AS$5000, 14, FALSE), 0)</f>
        <v/>
      </c>
      <c r="E169">
        <f>IFERROR(VLOOKUP(A169, RESEARCH!$A$4:$AS$5000, 8, FALSE), 0)</f>
        <v/>
      </c>
      <c r="F169">
        <f>D169-N169</f>
        <v/>
      </c>
      <c r="G169">
        <f>IF(N169=0,0,F169/N169)</f>
        <v/>
      </c>
      <c r="H169">
        <f>IFERROR(VLOOKUP(A169, RESEARCH!$A$4:$AS$5000, 9, FALSE), 0)</f>
        <v/>
      </c>
      <c r="L169">
        <f>IF(H169=0, 999, AB169/(H169/30))</f>
        <v/>
      </c>
      <c r="N169">
        <f>IFERROR(VLOOKUP(A169, RESEARCH!$A$4:$AS$5000, 13, FALSE), 0)</f>
        <v/>
      </c>
      <c r="O169">
        <f>MAX(0, ($L$2 * (H169/30)) - AB169)</f>
        <v/>
      </c>
      <c r="P169">
        <f>N169*O169</f>
        <v/>
      </c>
      <c r="X169">
        <f>IFERROR(VLOOKUP(A169, KEEPA!$A$4:$AW$5000, 26, FALSE), 0)</f>
        <v/>
      </c>
      <c r="Y169">
        <f>IF(X169=0,0,(X169-E169)/X169)</f>
        <v/>
      </c>
      <c r="Z169">
        <f>IFERROR(VLOOKUP(A169, KEEPA!$A$4:$AW$5000, 28, FALSE), 0)</f>
        <v/>
      </c>
      <c r="AA169">
        <f>IF(Z169=0,0,(Z169-E169)/Z169)</f>
        <v/>
      </c>
    </row>
    <row r="170">
      <c r="D170">
        <f>IFERROR(VLOOKUP(A170, RESEARCH!$A$4:$AS$5000, 14, FALSE), 0)</f>
        <v/>
      </c>
      <c r="E170">
        <f>IFERROR(VLOOKUP(A170, RESEARCH!$A$4:$AS$5000, 8, FALSE), 0)</f>
        <v/>
      </c>
      <c r="F170">
        <f>D170-N170</f>
        <v/>
      </c>
      <c r="G170">
        <f>IF(N170=0,0,F170/N170)</f>
        <v/>
      </c>
      <c r="H170">
        <f>IFERROR(VLOOKUP(A170, RESEARCH!$A$4:$AS$5000, 9, FALSE), 0)</f>
        <v/>
      </c>
      <c r="L170">
        <f>IF(H170=0, 999, AB170/(H170/30))</f>
        <v/>
      </c>
      <c r="N170">
        <f>IFERROR(VLOOKUP(A170, RESEARCH!$A$4:$AS$5000, 13, FALSE), 0)</f>
        <v/>
      </c>
      <c r="O170">
        <f>MAX(0, ($L$2 * (H170/30)) - AB170)</f>
        <v/>
      </c>
      <c r="P170">
        <f>N170*O170</f>
        <v/>
      </c>
      <c r="X170">
        <f>IFERROR(VLOOKUP(A170, KEEPA!$A$4:$AW$5000, 26, FALSE), 0)</f>
        <v/>
      </c>
      <c r="Y170">
        <f>IF(X170=0,0,(X170-E170)/X170)</f>
        <v/>
      </c>
      <c r="Z170">
        <f>IFERROR(VLOOKUP(A170, KEEPA!$A$4:$AW$5000, 28, FALSE), 0)</f>
        <v/>
      </c>
      <c r="AA170">
        <f>IF(Z170=0,0,(Z170-E170)/Z170)</f>
        <v/>
      </c>
    </row>
    <row r="171">
      <c r="D171">
        <f>IFERROR(VLOOKUP(A171, RESEARCH!$A$4:$AS$5000, 14, FALSE), 0)</f>
        <v/>
      </c>
      <c r="E171">
        <f>IFERROR(VLOOKUP(A171, RESEARCH!$A$4:$AS$5000, 8, FALSE), 0)</f>
        <v/>
      </c>
      <c r="F171">
        <f>D171-N171</f>
        <v/>
      </c>
      <c r="G171">
        <f>IF(N171=0,0,F171/N171)</f>
        <v/>
      </c>
      <c r="H171">
        <f>IFERROR(VLOOKUP(A171, RESEARCH!$A$4:$AS$5000, 9, FALSE), 0)</f>
        <v/>
      </c>
      <c r="L171">
        <f>IF(H171=0, 999, AB171/(H171/30))</f>
        <v/>
      </c>
      <c r="N171">
        <f>IFERROR(VLOOKUP(A171, RESEARCH!$A$4:$AS$5000, 13, FALSE), 0)</f>
        <v/>
      </c>
      <c r="O171">
        <f>MAX(0, ($L$2 * (H171/30)) - AB171)</f>
        <v/>
      </c>
      <c r="P171">
        <f>N171*O171</f>
        <v/>
      </c>
      <c r="X171">
        <f>IFERROR(VLOOKUP(A171, KEEPA!$A$4:$AW$5000, 26, FALSE), 0)</f>
        <v/>
      </c>
      <c r="Y171">
        <f>IF(X171=0,0,(X171-E171)/X171)</f>
        <v/>
      </c>
      <c r="Z171">
        <f>IFERROR(VLOOKUP(A171, KEEPA!$A$4:$AW$5000, 28, FALSE), 0)</f>
        <v/>
      </c>
      <c r="AA171">
        <f>IF(Z171=0,0,(Z171-E171)/Z171)</f>
        <v/>
      </c>
    </row>
    <row r="172">
      <c r="D172">
        <f>IFERROR(VLOOKUP(A172, RESEARCH!$A$4:$AS$5000, 14, FALSE), 0)</f>
        <v/>
      </c>
      <c r="E172">
        <f>IFERROR(VLOOKUP(A172, RESEARCH!$A$4:$AS$5000, 8, FALSE), 0)</f>
        <v/>
      </c>
      <c r="F172">
        <f>D172-N172</f>
        <v/>
      </c>
      <c r="G172">
        <f>IF(N172=0,0,F172/N172)</f>
        <v/>
      </c>
      <c r="H172">
        <f>IFERROR(VLOOKUP(A172, RESEARCH!$A$4:$AS$5000, 9, FALSE), 0)</f>
        <v/>
      </c>
      <c r="L172">
        <f>IF(H172=0, 999, AB172/(H172/30))</f>
        <v/>
      </c>
      <c r="N172">
        <f>IFERROR(VLOOKUP(A172, RESEARCH!$A$4:$AS$5000, 13, FALSE), 0)</f>
        <v/>
      </c>
      <c r="O172">
        <f>MAX(0, ($L$2 * (H172/30)) - AB172)</f>
        <v/>
      </c>
      <c r="P172">
        <f>N172*O172</f>
        <v/>
      </c>
      <c r="X172">
        <f>IFERROR(VLOOKUP(A172, KEEPA!$A$4:$AW$5000, 26, FALSE), 0)</f>
        <v/>
      </c>
      <c r="Y172">
        <f>IF(X172=0,0,(X172-E172)/X172)</f>
        <v/>
      </c>
      <c r="Z172">
        <f>IFERROR(VLOOKUP(A172, KEEPA!$A$4:$AW$5000, 28, FALSE), 0)</f>
        <v/>
      </c>
      <c r="AA172">
        <f>IF(Z172=0,0,(Z172-E172)/Z172)</f>
        <v/>
      </c>
    </row>
    <row r="173">
      <c r="D173">
        <f>IFERROR(VLOOKUP(A173, RESEARCH!$A$4:$AS$5000, 14, FALSE), 0)</f>
        <v/>
      </c>
      <c r="E173">
        <f>IFERROR(VLOOKUP(A173, RESEARCH!$A$4:$AS$5000, 8, FALSE), 0)</f>
        <v/>
      </c>
      <c r="F173">
        <f>D173-N173</f>
        <v/>
      </c>
      <c r="G173">
        <f>IF(N173=0,0,F173/N173)</f>
        <v/>
      </c>
      <c r="H173">
        <f>IFERROR(VLOOKUP(A173, RESEARCH!$A$4:$AS$5000, 9, FALSE), 0)</f>
        <v/>
      </c>
      <c r="L173">
        <f>IF(H173=0, 999, AB173/(H173/30))</f>
        <v/>
      </c>
      <c r="N173">
        <f>IFERROR(VLOOKUP(A173, RESEARCH!$A$4:$AS$5000, 13, FALSE), 0)</f>
        <v/>
      </c>
      <c r="O173">
        <f>MAX(0, ($L$2 * (H173/30)) - AB173)</f>
        <v/>
      </c>
      <c r="P173">
        <f>N173*O173</f>
        <v/>
      </c>
      <c r="X173">
        <f>IFERROR(VLOOKUP(A173, KEEPA!$A$4:$AW$5000, 26, FALSE), 0)</f>
        <v/>
      </c>
      <c r="Y173">
        <f>IF(X173=0,0,(X173-E173)/X173)</f>
        <v/>
      </c>
      <c r="Z173">
        <f>IFERROR(VLOOKUP(A173, KEEPA!$A$4:$AW$5000, 28, FALSE), 0)</f>
        <v/>
      </c>
      <c r="AA173">
        <f>IF(Z173=0,0,(Z173-E173)/Z173)</f>
        <v/>
      </c>
    </row>
    <row r="174">
      <c r="D174">
        <f>IFERROR(VLOOKUP(A174, RESEARCH!$A$4:$AS$5000, 14, FALSE), 0)</f>
        <v/>
      </c>
      <c r="E174">
        <f>IFERROR(VLOOKUP(A174, RESEARCH!$A$4:$AS$5000, 8, FALSE), 0)</f>
        <v/>
      </c>
      <c r="F174">
        <f>D174-N174</f>
        <v/>
      </c>
      <c r="G174">
        <f>IF(N174=0,0,F174/N174)</f>
        <v/>
      </c>
      <c r="H174">
        <f>IFERROR(VLOOKUP(A174, RESEARCH!$A$4:$AS$5000, 9, FALSE), 0)</f>
        <v/>
      </c>
      <c r="L174">
        <f>IF(H174=0, 999, AB174/(H174/30))</f>
        <v/>
      </c>
      <c r="N174">
        <f>IFERROR(VLOOKUP(A174, RESEARCH!$A$4:$AS$5000, 13, FALSE), 0)</f>
        <v/>
      </c>
      <c r="O174">
        <f>MAX(0, ($L$2 * (H174/30)) - AB174)</f>
        <v/>
      </c>
      <c r="P174">
        <f>N174*O174</f>
        <v/>
      </c>
      <c r="X174">
        <f>IFERROR(VLOOKUP(A174, KEEPA!$A$4:$AW$5000, 26, FALSE), 0)</f>
        <v/>
      </c>
      <c r="Y174">
        <f>IF(X174=0,0,(X174-E174)/X174)</f>
        <v/>
      </c>
      <c r="Z174">
        <f>IFERROR(VLOOKUP(A174, KEEPA!$A$4:$AW$5000, 28, FALSE), 0)</f>
        <v/>
      </c>
      <c r="AA174">
        <f>IF(Z174=0,0,(Z174-E174)/Z174)</f>
        <v/>
      </c>
    </row>
    <row r="175">
      <c r="D175">
        <f>IFERROR(VLOOKUP(A175, RESEARCH!$A$4:$AS$5000, 14, FALSE), 0)</f>
        <v/>
      </c>
      <c r="E175">
        <f>IFERROR(VLOOKUP(A175, RESEARCH!$A$4:$AS$5000, 8, FALSE), 0)</f>
        <v/>
      </c>
      <c r="F175">
        <f>D175-N175</f>
        <v/>
      </c>
      <c r="G175">
        <f>IF(N175=0,0,F175/N175)</f>
        <v/>
      </c>
      <c r="H175">
        <f>IFERROR(VLOOKUP(A175, RESEARCH!$A$4:$AS$5000, 9, FALSE), 0)</f>
        <v/>
      </c>
      <c r="L175">
        <f>IF(H175=0, 999, AB175/(H175/30))</f>
        <v/>
      </c>
      <c r="N175">
        <f>IFERROR(VLOOKUP(A175, RESEARCH!$A$4:$AS$5000, 13, FALSE), 0)</f>
        <v/>
      </c>
      <c r="O175">
        <f>MAX(0, ($L$2 * (H175/30)) - AB175)</f>
        <v/>
      </c>
      <c r="P175">
        <f>N175*O175</f>
        <v/>
      </c>
      <c r="X175">
        <f>IFERROR(VLOOKUP(A175, KEEPA!$A$4:$AW$5000, 26, FALSE), 0)</f>
        <v/>
      </c>
      <c r="Y175">
        <f>IF(X175=0,0,(X175-E175)/X175)</f>
        <v/>
      </c>
      <c r="Z175">
        <f>IFERROR(VLOOKUP(A175, KEEPA!$A$4:$AW$5000, 28, FALSE), 0)</f>
        <v/>
      </c>
      <c r="AA175">
        <f>IF(Z175=0,0,(Z175-E175)/Z175)</f>
        <v/>
      </c>
    </row>
    <row r="176">
      <c r="D176">
        <f>IFERROR(VLOOKUP(A176, RESEARCH!$A$4:$AS$5000, 14, FALSE), 0)</f>
        <v/>
      </c>
      <c r="E176">
        <f>IFERROR(VLOOKUP(A176, RESEARCH!$A$4:$AS$5000, 8, FALSE), 0)</f>
        <v/>
      </c>
      <c r="F176">
        <f>D176-N176</f>
        <v/>
      </c>
      <c r="G176">
        <f>IF(N176=0,0,F176/N176)</f>
        <v/>
      </c>
      <c r="H176">
        <f>IFERROR(VLOOKUP(A176, RESEARCH!$A$4:$AS$5000, 9, FALSE), 0)</f>
        <v/>
      </c>
      <c r="L176">
        <f>IF(H176=0, 999, AB176/(H176/30))</f>
        <v/>
      </c>
      <c r="N176">
        <f>IFERROR(VLOOKUP(A176, RESEARCH!$A$4:$AS$5000, 13, FALSE), 0)</f>
        <v/>
      </c>
      <c r="O176">
        <f>MAX(0, ($L$2 * (H176/30)) - AB176)</f>
        <v/>
      </c>
      <c r="P176">
        <f>N176*O176</f>
        <v/>
      </c>
      <c r="X176">
        <f>IFERROR(VLOOKUP(A176, KEEPA!$A$4:$AW$5000, 26, FALSE), 0)</f>
        <v/>
      </c>
      <c r="Y176">
        <f>IF(X176=0,0,(X176-E176)/X176)</f>
        <v/>
      </c>
      <c r="Z176">
        <f>IFERROR(VLOOKUP(A176, KEEPA!$A$4:$AW$5000, 28, FALSE), 0)</f>
        <v/>
      </c>
      <c r="AA176">
        <f>IF(Z176=0,0,(Z176-E176)/Z176)</f>
        <v/>
      </c>
    </row>
    <row r="177">
      <c r="D177">
        <f>IFERROR(VLOOKUP(A177, RESEARCH!$A$4:$AS$5000, 14, FALSE), 0)</f>
        <v/>
      </c>
      <c r="E177">
        <f>IFERROR(VLOOKUP(A177, RESEARCH!$A$4:$AS$5000, 8, FALSE), 0)</f>
        <v/>
      </c>
      <c r="F177">
        <f>D177-N177</f>
        <v/>
      </c>
      <c r="G177">
        <f>IF(N177=0,0,F177/N177)</f>
        <v/>
      </c>
      <c r="H177">
        <f>IFERROR(VLOOKUP(A177, RESEARCH!$A$4:$AS$5000, 9, FALSE), 0)</f>
        <v/>
      </c>
      <c r="L177">
        <f>IF(H177=0, 999, AB177/(H177/30))</f>
        <v/>
      </c>
      <c r="N177">
        <f>IFERROR(VLOOKUP(A177, RESEARCH!$A$4:$AS$5000, 13, FALSE), 0)</f>
        <v/>
      </c>
      <c r="O177">
        <f>MAX(0, ($L$2 * (H177/30)) - AB177)</f>
        <v/>
      </c>
      <c r="P177">
        <f>N177*O177</f>
        <v/>
      </c>
      <c r="X177">
        <f>IFERROR(VLOOKUP(A177, KEEPA!$A$4:$AW$5000, 26, FALSE), 0)</f>
        <v/>
      </c>
      <c r="Y177">
        <f>IF(X177=0,0,(X177-E177)/X177)</f>
        <v/>
      </c>
      <c r="Z177">
        <f>IFERROR(VLOOKUP(A177, KEEPA!$A$4:$AW$5000, 28, FALSE), 0)</f>
        <v/>
      </c>
      <c r="AA177">
        <f>IF(Z177=0,0,(Z177-E177)/Z177)</f>
        <v/>
      </c>
    </row>
    <row r="178">
      <c r="D178">
        <f>IFERROR(VLOOKUP(A178, RESEARCH!$A$4:$AS$5000, 14, FALSE), 0)</f>
        <v/>
      </c>
      <c r="E178">
        <f>IFERROR(VLOOKUP(A178, RESEARCH!$A$4:$AS$5000, 8, FALSE), 0)</f>
        <v/>
      </c>
      <c r="F178">
        <f>D178-N178</f>
        <v/>
      </c>
      <c r="G178">
        <f>IF(N178=0,0,F178/N178)</f>
        <v/>
      </c>
      <c r="H178">
        <f>IFERROR(VLOOKUP(A178, RESEARCH!$A$4:$AS$5000, 9, FALSE), 0)</f>
        <v/>
      </c>
      <c r="L178">
        <f>IF(H178=0, 999, AB178/(H178/30))</f>
        <v/>
      </c>
      <c r="N178">
        <f>IFERROR(VLOOKUP(A178, RESEARCH!$A$4:$AS$5000, 13, FALSE), 0)</f>
        <v/>
      </c>
      <c r="O178">
        <f>MAX(0, ($L$2 * (H178/30)) - AB178)</f>
        <v/>
      </c>
      <c r="P178">
        <f>N178*O178</f>
        <v/>
      </c>
      <c r="X178">
        <f>IFERROR(VLOOKUP(A178, KEEPA!$A$4:$AW$5000, 26, FALSE), 0)</f>
        <v/>
      </c>
      <c r="Y178">
        <f>IF(X178=0,0,(X178-E178)/X178)</f>
        <v/>
      </c>
      <c r="Z178">
        <f>IFERROR(VLOOKUP(A178, KEEPA!$A$4:$AW$5000, 28, FALSE), 0)</f>
        <v/>
      </c>
      <c r="AA178">
        <f>IF(Z178=0,0,(Z178-E178)/Z178)</f>
        <v/>
      </c>
    </row>
    <row r="179">
      <c r="D179">
        <f>IFERROR(VLOOKUP(A179, RESEARCH!$A$4:$AS$5000, 14, FALSE), 0)</f>
        <v/>
      </c>
      <c r="E179">
        <f>IFERROR(VLOOKUP(A179, RESEARCH!$A$4:$AS$5000, 8, FALSE), 0)</f>
        <v/>
      </c>
      <c r="F179">
        <f>D179-N179</f>
        <v/>
      </c>
      <c r="G179">
        <f>IF(N179=0,0,F179/N179)</f>
        <v/>
      </c>
      <c r="H179">
        <f>IFERROR(VLOOKUP(A179, RESEARCH!$A$4:$AS$5000, 9, FALSE), 0)</f>
        <v/>
      </c>
      <c r="L179">
        <f>IF(H179=0, 999, AB179/(H179/30))</f>
        <v/>
      </c>
      <c r="N179">
        <f>IFERROR(VLOOKUP(A179, RESEARCH!$A$4:$AS$5000, 13, FALSE), 0)</f>
        <v/>
      </c>
      <c r="O179">
        <f>MAX(0, ($L$2 * (H179/30)) - AB179)</f>
        <v/>
      </c>
      <c r="P179">
        <f>N179*O179</f>
        <v/>
      </c>
      <c r="X179">
        <f>IFERROR(VLOOKUP(A179, KEEPA!$A$4:$AW$5000, 26, FALSE), 0)</f>
        <v/>
      </c>
      <c r="Y179">
        <f>IF(X179=0,0,(X179-E179)/X179)</f>
        <v/>
      </c>
      <c r="Z179">
        <f>IFERROR(VLOOKUP(A179, KEEPA!$A$4:$AW$5000, 28, FALSE), 0)</f>
        <v/>
      </c>
      <c r="AA179">
        <f>IF(Z179=0,0,(Z179-E179)/Z179)</f>
        <v/>
      </c>
    </row>
    <row r="180">
      <c r="D180">
        <f>IFERROR(VLOOKUP(A180, RESEARCH!$A$4:$AS$5000, 14, FALSE), 0)</f>
        <v/>
      </c>
      <c r="E180">
        <f>IFERROR(VLOOKUP(A180, RESEARCH!$A$4:$AS$5000, 8, FALSE), 0)</f>
        <v/>
      </c>
      <c r="F180">
        <f>D180-N180</f>
        <v/>
      </c>
      <c r="G180">
        <f>IF(N180=0,0,F180/N180)</f>
        <v/>
      </c>
      <c r="H180">
        <f>IFERROR(VLOOKUP(A180, RESEARCH!$A$4:$AS$5000, 9, FALSE), 0)</f>
        <v/>
      </c>
      <c r="L180">
        <f>IF(H180=0, 999, AB180/(H180/30))</f>
        <v/>
      </c>
      <c r="N180">
        <f>IFERROR(VLOOKUP(A180, RESEARCH!$A$4:$AS$5000, 13, FALSE), 0)</f>
        <v/>
      </c>
      <c r="O180">
        <f>MAX(0, ($L$2 * (H180/30)) - AB180)</f>
        <v/>
      </c>
      <c r="P180">
        <f>N180*O180</f>
        <v/>
      </c>
      <c r="X180">
        <f>IFERROR(VLOOKUP(A180, KEEPA!$A$4:$AW$5000, 26, FALSE), 0)</f>
        <v/>
      </c>
      <c r="Y180">
        <f>IF(X180=0,0,(X180-E180)/X180)</f>
        <v/>
      </c>
      <c r="Z180">
        <f>IFERROR(VLOOKUP(A180, KEEPA!$A$4:$AW$5000, 28, FALSE), 0)</f>
        <v/>
      </c>
      <c r="AA180">
        <f>IF(Z180=0,0,(Z180-E180)/Z180)</f>
        <v/>
      </c>
    </row>
    <row r="181">
      <c r="D181">
        <f>IFERROR(VLOOKUP(A181, RESEARCH!$A$4:$AS$5000, 14, FALSE), 0)</f>
        <v/>
      </c>
      <c r="E181">
        <f>IFERROR(VLOOKUP(A181, RESEARCH!$A$4:$AS$5000, 8, FALSE), 0)</f>
        <v/>
      </c>
      <c r="F181">
        <f>D181-N181</f>
        <v/>
      </c>
      <c r="G181">
        <f>IF(N181=0,0,F181/N181)</f>
        <v/>
      </c>
      <c r="H181">
        <f>IFERROR(VLOOKUP(A181, RESEARCH!$A$4:$AS$5000, 9, FALSE), 0)</f>
        <v/>
      </c>
      <c r="L181">
        <f>IF(H181=0, 999, AB181/(H181/30))</f>
        <v/>
      </c>
      <c r="N181">
        <f>IFERROR(VLOOKUP(A181, RESEARCH!$A$4:$AS$5000, 13, FALSE), 0)</f>
        <v/>
      </c>
      <c r="O181">
        <f>MAX(0, ($L$2 * (H181/30)) - AB181)</f>
        <v/>
      </c>
      <c r="P181">
        <f>N181*O181</f>
        <v/>
      </c>
      <c r="X181">
        <f>IFERROR(VLOOKUP(A181, KEEPA!$A$4:$AW$5000, 26, FALSE), 0)</f>
        <v/>
      </c>
      <c r="Y181">
        <f>IF(X181=0,0,(X181-E181)/X181)</f>
        <v/>
      </c>
      <c r="Z181">
        <f>IFERROR(VLOOKUP(A181, KEEPA!$A$4:$AW$5000, 28, FALSE), 0)</f>
        <v/>
      </c>
      <c r="AA181">
        <f>IF(Z181=0,0,(Z181-E181)/Z181)</f>
        <v/>
      </c>
    </row>
    <row r="182">
      <c r="D182">
        <f>IFERROR(VLOOKUP(A182, RESEARCH!$A$4:$AS$5000, 14, FALSE), 0)</f>
        <v/>
      </c>
      <c r="E182">
        <f>IFERROR(VLOOKUP(A182, RESEARCH!$A$4:$AS$5000, 8, FALSE), 0)</f>
        <v/>
      </c>
      <c r="F182">
        <f>D182-N182</f>
        <v/>
      </c>
      <c r="G182">
        <f>IF(N182=0,0,F182/N182)</f>
        <v/>
      </c>
      <c r="H182">
        <f>IFERROR(VLOOKUP(A182, RESEARCH!$A$4:$AS$5000, 9, FALSE), 0)</f>
        <v/>
      </c>
      <c r="L182">
        <f>IF(H182=0, 999, AB182/(H182/30))</f>
        <v/>
      </c>
      <c r="N182">
        <f>IFERROR(VLOOKUP(A182, RESEARCH!$A$4:$AS$5000, 13, FALSE), 0)</f>
        <v/>
      </c>
      <c r="O182">
        <f>MAX(0, ($L$2 * (H182/30)) - AB182)</f>
        <v/>
      </c>
      <c r="P182">
        <f>N182*O182</f>
        <v/>
      </c>
      <c r="X182">
        <f>IFERROR(VLOOKUP(A182, KEEPA!$A$4:$AW$5000, 26, FALSE), 0)</f>
        <v/>
      </c>
      <c r="Y182">
        <f>IF(X182=0,0,(X182-E182)/X182)</f>
        <v/>
      </c>
      <c r="Z182">
        <f>IFERROR(VLOOKUP(A182, KEEPA!$A$4:$AW$5000, 28, FALSE), 0)</f>
        <v/>
      </c>
      <c r="AA182">
        <f>IF(Z182=0,0,(Z182-E182)/Z182)</f>
        <v/>
      </c>
    </row>
    <row r="183">
      <c r="D183">
        <f>IFERROR(VLOOKUP(A183, RESEARCH!$A$4:$AS$5000, 14, FALSE), 0)</f>
        <v/>
      </c>
      <c r="E183">
        <f>IFERROR(VLOOKUP(A183, RESEARCH!$A$4:$AS$5000, 8, FALSE), 0)</f>
        <v/>
      </c>
      <c r="F183">
        <f>D183-N183</f>
        <v/>
      </c>
      <c r="G183">
        <f>IF(N183=0,0,F183/N183)</f>
        <v/>
      </c>
      <c r="H183">
        <f>IFERROR(VLOOKUP(A183, RESEARCH!$A$4:$AS$5000, 9, FALSE), 0)</f>
        <v/>
      </c>
      <c r="L183">
        <f>IF(H183=0, 999, AB183/(H183/30))</f>
        <v/>
      </c>
      <c r="N183">
        <f>IFERROR(VLOOKUP(A183, RESEARCH!$A$4:$AS$5000, 13, FALSE), 0)</f>
        <v/>
      </c>
      <c r="O183">
        <f>MAX(0, ($L$2 * (H183/30)) - AB183)</f>
        <v/>
      </c>
      <c r="P183">
        <f>N183*O183</f>
        <v/>
      </c>
      <c r="X183">
        <f>IFERROR(VLOOKUP(A183, KEEPA!$A$4:$AW$5000, 26, FALSE), 0)</f>
        <v/>
      </c>
      <c r="Y183">
        <f>IF(X183=0,0,(X183-E183)/X183)</f>
        <v/>
      </c>
      <c r="Z183">
        <f>IFERROR(VLOOKUP(A183, KEEPA!$A$4:$AW$5000, 28, FALSE), 0)</f>
        <v/>
      </c>
      <c r="AA183">
        <f>IF(Z183=0,0,(Z183-E183)/Z183)</f>
        <v/>
      </c>
    </row>
    <row r="184">
      <c r="D184">
        <f>IFERROR(VLOOKUP(A184, RESEARCH!$A$4:$AS$5000, 14, FALSE), 0)</f>
        <v/>
      </c>
      <c r="E184">
        <f>IFERROR(VLOOKUP(A184, RESEARCH!$A$4:$AS$5000, 8, FALSE), 0)</f>
        <v/>
      </c>
      <c r="F184">
        <f>D184-N184</f>
        <v/>
      </c>
      <c r="G184">
        <f>IF(N184=0,0,F184/N184)</f>
        <v/>
      </c>
      <c r="H184">
        <f>IFERROR(VLOOKUP(A184, RESEARCH!$A$4:$AS$5000, 9, FALSE), 0)</f>
        <v/>
      </c>
      <c r="L184">
        <f>IF(H184=0, 999, AB184/(H184/30))</f>
        <v/>
      </c>
      <c r="N184">
        <f>IFERROR(VLOOKUP(A184, RESEARCH!$A$4:$AS$5000, 13, FALSE), 0)</f>
        <v/>
      </c>
      <c r="O184">
        <f>MAX(0, ($L$2 * (H184/30)) - AB184)</f>
        <v/>
      </c>
      <c r="P184">
        <f>N184*O184</f>
        <v/>
      </c>
      <c r="X184">
        <f>IFERROR(VLOOKUP(A184, KEEPA!$A$4:$AW$5000, 26, FALSE), 0)</f>
        <v/>
      </c>
      <c r="Y184">
        <f>IF(X184=0,0,(X184-E184)/X184)</f>
        <v/>
      </c>
      <c r="Z184">
        <f>IFERROR(VLOOKUP(A184, KEEPA!$A$4:$AW$5000, 28, FALSE), 0)</f>
        <v/>
      </c>
      <c r="AA184">
        <f>IF(Z184=0,0,(Z184-E184)/Z184)</f>
        <v/>
      </c>
    </row>
    <row r="185">
      <c r="D185">
        <f>IFERROR(VLOOKUP(A185, RESEARCH!$A$4:$AS$5000, 14, FALSE), 0)</f>
        <v/>
      </c>
      <c r="E185">
        <f>IFERROR(VLOOKUP(A185, RESEARCH!$A$4:$AS$5000, 8, FALSE), 0)</f>
        <v/>
      </c>
      <c r="F185">
        <f>D185-N185</f>
        <v/>
      </c>
      <c r="G185">
        <f>IF(N185=0,0,F185/N185)</f>
        <v/>
      </c>
      <c r="H185">
        <f>IFERROR(VLOOKUP(A185, RESEARCH!$A$4:$AS$5000, 9, FALSE), 0)</f>
        <v/>
      </c>
      <c r="L185">
        <f>IF(H185=0, 999, AB185/(H185/30))</f>
        <v/>
      </c>
      <c r="N185">
        <f>IFERROR(VLOOKUP(A185, RESEARCH!$A$4:$AS$5000, 13, FALSE), 0)</f>
        <v/>
      </c>
      <c r="O185">
        <f>MAX(0, ($L$2 * (H185/30)) - AB185)</f>
        <v/>
      </c>
      <c r="P185">
        <f>N185*O185</f>
        <v/>
      </c>
      <c r="X185">
        <f>IFERROR(VLOOKUP(A185, KEEPA!$A$4:$AW$5000, 26, FALSE), 0)</f>
        <v/>
      </c>
      <c r="Y185">
        <f>IF(X185=0,0,(X185-E185)/X185)</f>
        <v/>
      </c>
      <c r="Z185">
        <f>IFERROR(VLOOKUP(A185, KEEPA!$A$4:$AW$5000, 28, FALSE), 0)</f>
        <v/>
      </c>
      <c r="AA185">
        <f>IF(Z185=0,0,(Z185-E185)/Z185)</f>
        <v/>
      </c>
    </row>
    <row r="186">
      <c r="D186">
        <f>IFERROR(VLOOKUP(A186, RESEARCH!$A$4:$AS$5000, 14, FALSE), 0)</f>
        <v/>
      </c>
      <c r="E186">
        <f>IFERROR(VLOOKUP(A186, RESEARCH!$A$4:$AS$5000, 8, FALSE), 0)</f>
        <v/>
      </c>
      <c r="F186">
        <f>D186-N186</f>
        <v/>
      </c>
      <c r="G186">
        <f>IF(N186=0,0,F186/N186)</f>
        <v/>
      </c>
      <c r="H186">
        <f>IFERROR(VLOOKUP(A186, RESEARCH!$A$4:$AS$5000, 9, FALSE), 0)</f>
        <v/>
      </c>
      <c r="L186">
        <f>IF(H186=0, 999, AB186/(H186/30))</f>
        <v/>
      </c>
      <c r="N186">
        <f>IFERROR(VLOOKUP(A186, RESEARCH!$A$4:$AS$5000, 13, FALSE), 0)</f>
        <v/>
      </c>
      <c r="O186">
        <f>MAX(0, ($L$2 * (H186/30)) - AB186)</f>
        <v/>
      </c>
      <c r="P186">
        <f>N186*O186</f>
        <v/>
      </c>
      <c r="X186">
        <f>IFERROR(VLOOKUP(A186, KEEPA!$A$4:$AW$5000, 26, FALSE), 0)</f>
        <v/>
      </c>
      <c r="Y186">
        <f>IF(X186=0,0,(X186-E186)/X186)</f>
        <v/>
      </c>
      <c r="Z186">
        <f>IFERROR(VLOOKUP(A186, KEEPA!$A$4:$AW$5000, 28, FALSE), 0)</f>
        <v/>
      </c>
      <c r="AA186">
        <f>IF(Z186=0,0,(Z186-E186)/Z186)</f>
        <v/>
      </c>
    </row>
    <row r="187">
      <c r="D187">
        <f>IFERROR(VLOOKUP(A187, RESEARCH!$A$4:$AS$5000, 14, FALSE), 0)</f>
        <v/>
      </c>
      <c r="E187">
        <f>IFERROR(VLOOKUP(A187, RESEARCH!$A$4:$AS$5000, 8, FALSE), 0)</f>
        <v/>
      </c>
      <c r="F187">
        <f>D187-N187</f>
        <v/>
      </c>
      <c r="G187">
        <f>IF(N187=0,0,F187/N187)</f>
        <v/>
      </c>
      <c r="H187">
        <f>IFERROR(VLOOKUP(A187, RESEARCH!$A$4:$AS$5000, 9, FALSE), 0)</f>
        <v/>
      </c>
      <c r="L187">
        <f>IF(H187=0, 999, AB187/(H187/30))</f>
        <v/>
      </c>
      <c r="N187">
        <f>IFERROR(VLOOKUP(A187, RESEARCH!$A$4:$AS$5000, 13, FALSE), 0)</f>
        <v/>
      </c>
      <c r="O187">
        <f>MAX(0, ($L$2 * (H187/30)) - AB187)</f>
        <v/>
      </c>
      <c r="P187">
        <f>N187*O187</f>
        <v/>
      </c>
      <c r="X187">
        <f>IFERROR(VLOOKUP(A187, KEEPA!$A$4:$AW$5000, 26, FALSE), 0)</f>
        <v/>
      </c>
      <c r="Y187">
        <f>IF(X187=0,0,(X187-E187)/X187)</f>
        <v/>
      </c>
      <c r="Z187">
        <f>IFERROR(VLOOKUP(A187, KEEPA!$A$4:$AW$5000, 28, FALSE), 0)</f>
        <v/>
      </c>
      <c r="AA187">
        <f>IF(Z187=0,0,(Z187-E187)/Z187)</f>
        <v/>
      </c>
    </row>
    <row r="188">
      <c r="D188">
        <f>IFERROR(VLOOKUP(A188, RESEARCH!$A$4:$AS$5000, 14, FALSE), 0)</f>
        <v/>
      </c>
      <c r="E188">
        <f>IFERROR(VLOOKUP(A188, RESEARCH!$A$4:$AS$5000, 8, FALSE), 0)</f>
        <v/>
      </c>
      <c r="F188">
        <f>D188-N188</f>
        <v/>
      </c>
      <c r="G188">
        <f>IF(N188=0,0,F188/N188)</f>
        <v/>
      </c>
      <c r="H188">
        <f>IFERROR(VLOOKUP(A188, RESEARCH!$A$4:$AS$5000, 9, FALSE), 0)</f>
        <v/>
      </c>
      <c r="L188">
        <f>IF(H188=0, 999, AB188/(H188/30))</f>
        <v/>
      </c>
      <c r="N188">
        <f>IFERROR(VLOOKUP(A188, RESEARCH!$A$4:$AS$5000, 13, FALSE), 0)</f>
        <v/>
      </c>
      <c r="O188">
        <f>MAX(0, ($L$2 * (H188/30)) - AB188)</f>
        <v/>
      </c>
      <c r="P188">
        <f>N188*O188</f>
        <v/>
      </c>
      <c r="X188">
        <f>IFERROR(VLOOKUP(A188, KEEPA!$A$4:$AW$5000, 26, FALSE), 0)</f>
        <v/>
      </c>
      <c r="Y188">
        <f>IF(X188=0,0,(X188-E188)/X188)</f>
        <v/>
      </c>
      <c r="Z188">
        <f>IFERROR(VLOOKUP(A188, KEEPA!$A$4:$AW$5000, 28, FALSE), 0)</f>
        <v/>
      </c>
      <c r="AA188">
        <f>IF(Z188=0,0,(Z188-E188)/Z188)</f>
        <v/>
      </c>
    </row>
    <row r="189">
      <c r="D189">
        <f>IFERROR(VLOOKUP(A189, RESEARCH!$A$4:$AS$5000, 14, FALSE), 0)</f>
        <v/>
      </c>
      <c r="E189">
        <f>IFERROR(VLOOKUP(A189, RESEARCH!$A$4:$AS$5000, 8, FALSE), 0)</f>
        <v/>
      </c>
      <c r="F189">
        <f>D189-N189</f>
        <v/>
      </c>
      <c r="G189">
        <f>IF(N189=0,0,F189/N189)</f>
        <v/>
      </c>
      <c r="H189">
        <f>IFERROR(VLOOKUP(A189, RESEARCH!$A$4:$AS$5000, 9, FALSE), 0)</f>
        <v/>
      </c>
      <c r="L189">
        <f>IF(H189=0, 999, AB189/(H189/30))</f>
        <v/>
      </c>
      <c r="N189">
        <f>IFERROR(VLOOKUP(A189, RESEARCH!$A$4:$AS$5000, 13, FALSE), 0)</f>
        <v/>
      </c>
      <c r="O189">
        <f>MAX(0, ($L$2 * (H189/30)) - AB189)</f>
        <v/>
      </c>
      <c r="P189">
        <f>N189*O189</f>
        <v/>
      </c>
      <c r="X189">
        <f>IFERROR(VLOOKUP(A189, KEEPA!$A$4:$AW$5000, 26, FALSE), 0)</f>
        <v/>
      </c>
      <c r="Y189">
        <f>IF(X189=0,0,(X189-E189)/X189)</f>
        <v/>
      </c>
      <c r="Z189">
        <f>IFERROR(VLOOKUP(A189, KEEPA!$A$4:$AW$5000, 28, FALSE), 0)</f>
        <v/>
      </c>
      <c r="AA189">
        <f>IF(Z189=0,0,(Z189-E189)/Z189)</f>
        <v/>
      </c>
    </row>
    <row r="190">
      <c r="D190">
        <f>IFERROR(VLOOKUP(A190, RESEARCH!$A$4:$AS$5000, 14, FALSE), 0)</f>
        <v/>
      </c>
      <c r="E190">
        <f>IFERROR(VLOOKUP(A190, RESEARCH!$A$4:$AS$5000, 8, FALSE), 0)</f>
        <v/>
      </c>
      <c r="F190">
        <f>D190-N190</f>
        <v/>
      </c>
      <c r="G190">
        <f>IF(N190=0,0,F190/N190)</f>
        <v/>
      </c>
      <c r="H190">
        <f>IFERROR(VLOOKUP(A190, RESEARCH!$A$4:$AS$5000, 9, FALSE), 0)</f>
        <v/>
      </c>
      <c r="L190">
        <f>IF(H190=0, 999, AB190/(H190/30))</f>
        <v/>
      </c>
      <c r="N190">
        <f>IFERROR(VLOOKUP(A190, RESEARCH!$A$4:$AS$5000, 13, FALSE), 0)</f>
        <v/>
      </c>
      <c r="O190">
        <f>MAX(0, ($L$2 * (H190/30)) - AB190)</f>
        <v/>
      </c>
      <c r="P190">
        <f>N190*O190</f>
        <v/>
      </c>
      <c r="X190">
        <f>IFERROR(VLOOKUP(A190, KEEPA!$A$4:$AW$5000, 26, FALSE), 0)</f>
        <v/>
      </c>
      <c r="Y190">
        <f>IF(X190=0,0,(X190-E190)/X190)</f>
        <v/>
      </c>
      <c r="Z190">
        <f>IFERROR(VLOOKUP(A190, KEEPA!$A$4:$AW$5000, 28, FALSE), 0)</f>
        <v/>
      </c>
      <c r="AA190">
        <f>IF(Z190=0,0,(Z190-E190)/Z190)</f>
        <v/>
      </c>
    </row>
    <row r="191">
      <c r="D191">
        <f>IFERROR(VLOOKUP(A191, RESEARCH!$A$4:$AS$5000, 14, FALSE), 0)</f>
        <v/>
      </c>
      <c r="E191">
        <f>IFERROR(VLOOKUP(A191, RESEARCH!$A$4:$AS$5000, 8, FALSE), 0)</f>
        <v/>
      </c>
      <c r="F191">
        <f>D191-N191</f>
        <v/>
      </c>
      <c r="G191">
        <f>IF(N191=0,0,F191/N191)</f>
        <v/>
      </c>
      <c r="H191">
        <f>IFERROR(VLOOKUP(A191, RESEARCH!$A$4:$AS$5000, 9, FALSE), 0)</f>
        <v/>
      </c>
      <c r="L191">
        <f>IF(H191=0, 999, AB191/(H191/30))</f>
        <v/>
      </c>
      <c r="N191">
        <f>IFERROR(VLOOKUP(A191, RESEARCH!$A$4:$AS$5000, 13, FALSE), 0)</f>
        <v/>
      </c>
      <c r="O191">
        <f>MAX(0, ($L$2 * (H191/30)) - AB191)</f>
        <v/>
      </c>
      <c r="P191">
        <f>N191*O191</f>
        <v/>
      </c>
      <c r="X191">
        <f>IFERROR(VLOOKUP(A191, KEEPA!$A$4:$AW$5000, 26, FALSE), 0)</f>
        <v/>
      </c>
      <c r="Y191">
        <f>IF(X191=0,0,(X191-E191)/X191)</f>
        <v/>
      </c>
      <c r="Z191">
        <f>IFERROR(VLOOKUP(A191, KEEPA!$A$4:$AW$5000, 28, FALSE), 0)</f>
        <v/>
      </c>
      <c r="AA191">
        <f>IF(Z191=0,0,(Z191-E191)/Z191)</f>
        <v/>
      </c>
    </row>
    <row r="192">
      <c r="D192">
        <f>IFERROR(VLOOKUP(A192, RESEARCH!$A$4:$AS$5000, 14, FALSE), 0)</f>
        <v/>
      </c>
      <c r="E192">
        <f>IFERROR(VLOOKUP(A192, RESEARCH!$A$4:$AS$5000, 8, FALSE), 0)</f>
        <v/>
      </c>
      <c r="F192">
        <f>D192-N192</f>
        <v/>
      </c>
      <c r="G192">
        <f>IF(N192=0,0,F192/N192)</f>
        <v/>
      </c>
      <c r="H192">
        <f>IFERROR(VLOOKUP(A192, RESEARCH!$A$4:$AS$5000, 9, FALSE), 0)</f>
        <v/>
      </c>
      <c r="L192">
        <f>IF(H192=0, 999, AB192/(H192/30))</f>
        <v/>
      </c>
      <c r="N192">
        <f>IFERROR(VLOOKUP(A192, RESEARCH!$A$4:$AS$5000, 13, FALSE), 0)</f>
        <v/>
      </c>
      <c r="O192">
        <f>MAX(0, ($L$2 * (H192/30)) - AB192)</f>
        <v/>
      </c>
      <c r="P192">
        <f>N192*O192</f>
        <v/>
      </c>
      <c r="X192">
        <f>IFERROR(VLOOKUP(A192, KEEPA!$A$4:$AW$5000, 26, FALSE), 0)</f>
        <v/>
      </c>
      <c r="Y192">
        <f>IF(X192=0,0,(X192-E192)/X192)</f>
        <v/>
      </c>
      <c r="Z192">
        <f>IFERROR(VLOOKUP(A192, KEEPA!$A$4:$AW$5000, 28, FALSE), 0)</f>
        <v/>
      </c>
      <c r="AA192">
        <f>IF(Z192=0,0,(Z192-E192)/Z192)</f>
        <v/>
      </c>
    </row>
    <row r="193">
      <c r="D193">
        <f>IFERROR(VLOOKUP(A193, RESEARCH!$A$4:$AS$5000, 14, FALSE), 0)</f>
        <v/>
      </c>
      <c r="E193">
        <f>IFERROR(VLOOKUP(A193, RESEARCH!$A$4:$AS$5000, 8, FALSE), 0)</f>
        <v/>
      </c>
      <c r="F193">
        <f>D193-N193</f>
        <v/>
      </c>
      <c r="G193">
        <f>IF(N193=0,0,F193/N193)</f>
        <v/>
      </c>
      <c r="H193">
        <f>IFERROR(VLOOKUP(A193, RESEARCH!$A$4:$AS$5000, 9, FALSE), 0)</f>
        <v/>
      </c>
      <c r="L193">
        <f>IF(H193=0, 999, AB193/(H193/30))</f>
        <v/>
      </c>
      <c r="N193">
        <f>IFERROR(VLOOKUP(A193, RESEARCH!$A$4:$AS$5000, 13, FALSE), 0)</f>
        <v/>
      </c>
      <c r="O193">
        <f>MAX(0, ($L$2 * (H193/30)) - AB193)</f>
        <v/>
      </c>
      <c r="P193">
        <f>N193*O193</f>
        <v/>
      </c>
      <c r="X193">
        <f>IFERROR(VLOOKUP(A193, KEEPA!$A$4:$AW$5000, 26, FALSE), 0)</f>
        <v/>
      </c>
      <c r="Y193">
        <f>IF(X193=0,0,(X193-E193)/X193)</f>
        <v/>
      </c>
      <c r="Z193">
        <f>IFERROR(VLOOKUP(A193, KEEPA!$A$4:$AW$5000, 28, FALSE), 0)</f>
        <v/>
      </c>
      <c r="AA193">
        <f>IF(Z193=0,0,(Z193-E193)/Z193)</f>
        <v/>
      </c>
    </row>
    <row r="194">
      <c r="D194">
        <f>IFERROR(VLOOKUP(A194, RESEARCH!$A$4:$AS$5000, 14, FALSE), 0)</f>
        <v/>
      </c>
      <c r="E194">
        <f>IFERROR(VLOOKUP(A194, RESEARCH!$A$4:$AS$5000, 8, FALSE), 0)</f>
        <v/>
      </c>
      <c r="F194">
        <f>D194-N194</f>
        <v/>
      </c>
      <c r="G194">
        <f>IF(N194=0,0,F194/N194)</f>
        <v/>
      </c>
      <c r="H194">
        <f>IFERROR(VLOOKUP(A194, RESEARCH!$A$4:$AS$5000, 9, FALSE), 0)</f>
        <v/>
      </c>
      <c r="L194">
        <f>IF(H194=0, 999, AB194/(H194/30))</f>
        <v/>
      </c>
      <c r="N194">
        <f>IFERROR(VLOOKUP(A194, RESEARCH!$A$4:$AS$5000, 13, FALSE), 0)</f>
        <v/>
      </c>
      <c r="O194">
        <f>MAX(0, ($L$2 * (H194/30)) - AB194)</f>
        <v/>
      </c>
      <c r="P194">
        <f>N194*O194</f>
        <v/>
      </c>
      <c r="X194">
        <f>IFERROR(VLOOKUP(A194, KEEPA!$A$4:$AW$5000, 26, FALSE), 0)</f>
        <v/>
      </c>
      <c r="Y194">
        <f>IF(X194=0,0,(X194-E194)/X194)</f>
        <v/>
      </c>
      <c r="Z194">
        <f>IFERROR(VLOOKUP(A194, KEEPA!$A$4:$AW$5000, 28, FALSE), 0)</f>
        <v/>
      </c>
      <c r="AA194">
        <f>IF(Z194=0,0,(Z194-E194)/Z194)</f>
        <v/>
      </c>
    </row>
    <row r="195">
      <c r="D195">
        <f>IFERROR(VLOOKUP(A195, RESEARCH!$A$4:$AS$5000, 14, FALSE), 0)</f>
        <v/>
      </c>
      <c r="E195">
        <f>IFERROR(VLOOKUP(A195, RESEARCH!$A$4:$AS$5000, 8, FALSE), 0)</f>
        <v/>
      </c>
      <c r="F195">
        <f>D195-N195</f>
        <v/>
      </c>
      <c r="G195">
        <f>IF(N195=0,0,F195/N195)</f>
        <v/>
      </c>
      <c r="H195">
        <f>IFERROR(VLOOKUP(A195, RESEARCH!$A$4:$AS$5000, 9, FALSE), 0)</f>
        <v/>
      </c>
      <c r="L195">
        <f>IF(H195=0, 999, AB195/(H195/30))</f>
        <v/>
      </c>
      <c r="N195">
        <f>IFERROR(VLOOKUP(A195, RESEARCH!$A$4:$AS$5000, 13, FALSE), 0)</f>
        <v/>
      </c>
      <c r="O195">
        <f>MAX(0, ($L$2 * (H195/30)) - AB195)</f>
        <v/>
      </c>
      <c r="P195">
        <f>N195*O195</f>
        <v/>
      </c>
      <c r="X195">
        <f>IFERROR(VLOOKUP(A195, KEEPA!$A$4:$AW$5000, 26, FALSE), 0)</f>
        <v/>
      </c>
      <c r="Y195">
        <f>IF(X195=0,0,(X195-E195)/X195)</f>
        <v/>
      </c>
      <c r="Z195">
        <f>IFERROR(VLOOKUP(A195, KEEPA!$A$4:$AW$5000, 28, FALSE), 0)</f>
        <v/>
      </c>
      <c r="AA195">
        <f>IF(Z195=0,0,(Z195-E195)/Z195)</f>
        <v/>
      </c>
    </row>
    <row r="196">
      <c r="D196">
        <f>IFERROR(VLOOKUP(A196, RESEARCH!$A$4:$AS$5000, 14, FALSE), 0)</f>
        <v/>
      </c>
      <c r="E196">
        <f>IFERROR(VLOOKUP(A196, RESEARCH!$A$4:$AS$5000, 8, FALSE), 0)</f>
        <v/>
      </c>
      <c r="F196">
        <f>D196-N196</f>
        <v/>
      </c>
      <c r="G196">
        <f>IF(N196=0,0,F196/N196)</f>
        <v/>
      </c>
      <c r="H196">
        <f>IFERROR(VLOOKUP(A196, RESEARCH!$A$4:$AS$5000, 9, FALSE), 0)</f>
        <v/>
      </c>
      <c r="L196">
        <f>IF(H196=0, 999, AB196/(H196/30))</f>
        <v/>
      </c>
      <c r="N196">
        <f>IFERROR(VLOOKUP(A196, RESEARCH!$A$4:$AS$5000, 13, FALSE), 0)</f>
        <v/>
      </c>
      <c r="O196">
        <f>MAX(0, ($L$2 * (H196/30)) - AB196)</f>
        <v/>
      </c>
      <c r="P196">
        <f>N196*O196</f>
        <v/>
      </c>
      <c r="X196">
        <f>IFERROR(VLOOKUP(A196, KEEPA!$A$4:$AW$5000, 26, FALSE), 0)</f>
        <v/>
      </c>
      <c r="Y196">
        <f>IF(X196=0,0,(X196-E196)/X196)</f>
        <v/>
      </c>
      <c r="Z196">
        <f>IFERROR(VLOOKUP(A196, KEEPA!$A$4:$AW$5000, 28, FALSE), 0)</f>
        <v/>
      </c>
      <c r="AA196">
        <f>IF(Z196=0,0,(Z196-E196)/Z196)</f>
        <v/>
      </c>
    </row>
    <row r="197">
      <c r="D197">
        <f>IFERROR(VLOOKUP(A197, RESEARCH!$A$4:$AS$5000, 14, FALSE), 0)</f>
        <v/>
      </c>
      <c r="E197">
        <f>IFERROR(VLOOKUP(A197, RESEARCH!$A$4:$AS$5000, 8, FALSE), 0)</f>
        <v/>
      </c>
      <c r="F197">
        <f>D197-N197</f>
        <v/>
      </c>
      <c r="G197">
        <f>IF(N197=0,0,F197/N197)</f>
        <v/>
      </c>
      <c r="H197">
        <f>IFERROR(VLOOKUP(A197, RESEARCH!$A$4:$AS$5000, 9, FALSE), 0)</f>
        <v/>
      </c>
      <c r="L197">
        <f>IF(H197=0, 999, AB197/(H197/30))</f>
        <v/>
      </c>
      <c r="N197">
        <f>IFERROR(VLOOKUP(A197, RESEARCH!$A$4:$AS$5000, 13, FALSE), 0)</f>
        <v/>
      </c>
      <c r="O197">
        <f>MAX(0, ($L$2 * (H197/30)) - AB197)</f>
        <v/>
      </c>
      <c r="P197">
        <f>N197*O197</f>
        <v/>
      </c>
      <c r="X197">
        <f>IFERROR(VLOOKUP(A197, KEEPA!$A$4:$AW$5000, 26, FALSE), 0)</f>
        <v/>
      </c>
      <c r="Y197">
        <f>IF(X197=0,0,(X197-E197)/X197)</f>
        <v/>
      </c>
      <c r="Z197">
        <f>IFERROR(VLOOKUP(A197, KEEPA!$A$4:$AW$5000, 28, FALSE), 0)</f>
        <v/>
      </c>
      <c r="AA197">
        <f>IF(Z197=0,0,(Z197-E197)/Z197)</f>
        <v/>
      </c>
    </row>
    <row r="198">
      <c r="D198">
        <f>IFERROR(VLOOKUP(A198, RESEARCH!$A$4:$AS$5000, 14, FALSE), 0)</f>
        <v/>
      </c>
      <c r="E198">
        <f>IFERROR(VLOOKUP(A198, RESEARCH!$A$4:$AS$5000, 8, FALSE), 0)</f>
        <v/>
      </c>
      <c r="F198">
        <f>D198-N198</f>
        <v/>
      </c>
      <c r="G198">
        <f>IF(N198=0,0,F198/N198)</f>
        <v/>
      </c>
      <c r="H198">
        <f>IFERROR(VLOOKUP(A198, RESEARCH!$A$4:$AS$5000, 9, FALSE), 0)</f>
        <v/>
      </c>
      <c r="L198">
        <f>IF(H198=0, 999, AB198/(H198/30))</f>
        <v/>
      </c>
      <c r="N198">
        <f>IFERROR(VLOOKUP(A198, RESEARCH!$A$4:$AS$5000, 13, FALSE), 0)</f>
        <v/>
      </c>
      <c r="O198">
        <f>MAX(0, ($L$2 * (H198/30)) - AB198)</f>
        <v/>
      </c>
      <c r="P198">
        <f>N198*O198</f>
        <v/>
      </c>
      <c r="X198">
        <f>IFERROR(VLOOKUP(A198, KEEPA!$A$4:$AW$5000, 26, FALSE), 0)</f>
        <v/>
      </c>
      <c r="Y198">
        <f>IF(X198=0,0,(X198-E198)/X198)</f>
        <v/>
      </c>
      <c r="Z198">
        <f>IFERROR(VLOOKUP(A198, KEEPA!$A$4:$AW$5000, 28, FALSE), 0)</f>
        <v/>
      </c>
      <c r="AA198">
        <f>IF(Z198=0,0,(Z198-E198)/Z198)</f>
        <v/>
      </c>
    </row>
    <row r="199">
      <c r="D199">
        <f>IFERROR(VLOOKUP(A199, RESEARCH!$A$4:$AS$5000, 14, FALSE), 0)</f>
        <v/>
      </c>
      <c r="E199">
        <f>IFERROR(VLOOKUP(A199, RESEARCH!$A$4:$AS$5000, 8, FALSE), 0)</f>
        <v/>
      </c>
      <c r="F199">
        <f>D199-N199</f>
        <v/>
      </c>
      <c r="G199">
        <f>IF(N199=0,0,F199/N199)</f>
        <v/>
      </c>
      <c r="H199">
        <f>IFERROR(VLOOKUP(A199, RESEARCH!$A$4:$AS$5000, 9, FALSE), 0)</f>
        <v/>
      </c>
      <c r="L199">
        <f>IF(H199=0, 999, AB199/(H199/30))</f>
        <v/>
      </c>
      <c r="N199">
        <f>IFERROR(VLOOKUP(A199, RESEARCH!$A$4:$AS$5000, 13, FALSE), 0)</f>
        <v/>
      </c>
      <c r="O199">
        <f>MAX(0, ($L$2 * (H199/30)) - AB199)</f>
        <v/>
      </c>
      <c r="P199">
        <f>N199*O199</f>
        <v/>
      </c>
      <c r="X199">
        <f>IFERROR(VLOOKUP(A199, KEEPA!$A$4:$AW$5000, 26, FALSE), 0)</f>
        <v/>
      </c>
      <c r="Y199">
        <f>IF(X199=0,0,(X199-E199)/X199)</f>
        <v/>
      </c>
      <c r="Z199">
        <f>IFERROR(VLOOKUP(A199, KEEPA!$A$4:$AW$5000, 28, FALSE), 0)</f>
        <v/>
      </c>
      <c r="AA199">
        <f>IF(Z199=0,0,(Z199-E199)/Z199)</f>
        <v/>
      </c>
    </row>
    <row r="200">
      <c r="D200">
        <f>IFERROR(VLOOKUP(A200, RESEARCH!$A$4:$AS$5000, 14, FALSE), 0)</f>
        <v/>
      </c>
      <c r="E200">
        <f>IFERROR(VLOOKUP(A200, RESEARCH!$A$4:$AS$5000, 8, FALSE), 0)</f>
        <v/>
      </c>
      <c r="F200">
        <f>D200-N200</f>
        <v/>
      </c>
      <c r="G200">
        <f>IF(N200=0,0,F200/N200)</f>
        <v/>
      </c>
      <c r="H200">
        <f>IFERROR(VLOOKUP(A200, RESEARCH!$A$4:$AS$5000, 9, FALSE), 0)</f>
        <v/>
      </c>
      <c r="L200">
        <f>IF(H200=0, 999, AB200/(H200/30))</f>
        <v/>
      </c>
      <c r="N200">
        <f>IFERROR(VLOOKUP(A200, RESEARCH!$A$4:$AS$5000, 13, FALSE), 0)</f>
        <v/>
      </c>
      <c r="O200">
        <f>MAX(0, ($L$2 * (H200/30)) - AB200)</f>
        <v/>
      </c>
      <c r="P200">
        <f>N200*O200</f>
        <v/>
      </c>
      <c r="X200">
        <f>IFERROR(VLOOKUP(A200, KEEPA!$A$4:$AW$5000, 26, FALSE), 0)</f>
        <v/>
      </c>
      <c r="Y200">
        <f>IF(X200=0,0,(X200-E200)/X200)</f>
        <v/>
      </c>
      <c r="Z200">
        <f>IFERROR(VLOOKUP(A200, KEEPA!$A$4:$AW$5000, 28, FALSE), 0)</f>
        <v/>
      </c>
      <c r="AA200">
        <f>IF(Z200=0,0,(Z200-E200)/Z200)</f>
        <v/>
      </c>
    </row>
    <row r="201">
      <c r="D201">
        <f>IFERROR(VLOOKUP(A201, RESEARCH!$A$4:$AS$5000, 14, FALSE), 0)</f>
        <v/>
      </c>
      <c r="E201">
        <f>IFERROR(VLOOKUP(A201, RESEARCH!$A$4:$AS$5000, 8, FALSE), 0)</f>
        <v/>
      </c>
      <c r="F201">
        <f>D201-N201</f>
        <v/>
      </c>
      <c r="G201">
        <f>IF(N201=0,0,F201/N201)</f>
        <v/>
      </c>
      <c r="H201">
        <f>IFERROR(VLOOKUP(A201, RESEARCH!$A$4:$AS$5000, 9, FALSE), 0)</f>
        <v/>
      </c>
      <c r="L201">
        <f>IF(H201=0, 999, AB201/(H201/30))</f>
        <v/>
      </c>
      <c r="N201">
        <f>IFERROR(VLOOKUP(A201, RESEARCH!$A$4:$AS$5000, 13, FALSE), 0)</f>
        <v/>
      </c>
      <c r="O201">
        <f>MAX(0, ($L$2 * (H201/30)) - AB201)</f>
        <v/>
      </c>
      <c r="P201">
        <f>N201*O201</f>
        <v/>
      </c>
      <c r="X201">
        <f>IFERROR(VLOOKUP(A201, KEEPA!$A$4:$AW$5000, 26, FALSE), 0)</f>
        <v/>
      </c>
      <c r="Y201">
        <f>IF(X201=0,0,(X201-E201)/X201)</f>
        <v/>
      </c>
      <c r="Z201">
        <f>IFERROR(VLOOKUP(A201, KEEPA!$A$4:$AW$5000, 28, FALSE), 0)</f>
        <v/>
      </c>
      <c r="AA201">
        <f>IF(Z201=0,0,(Z201-E201)/Z201)</f>
        <v/>
      </c>
    </row>
    <row r="202">
      <c r="D202">
        <f>IFERROR(VLOOKUP(A202, RESEARCH!$A$4:$AS$5000, 14, FALSE), 0)</f>
        <v/>
      </c>
      <c r="E202">
        <f>IFERROR(VLOOKUP(A202, RESEARCH!$A$4:$AS$5000, 8, FALSE), 0)</f>
        <v/>
      </c>
      <c r="F202">
        <f>D202-N202</f>
        <v/>
      </c>
      <c r="G202">
        <f>IF(N202=0,0,F202/N202)</f>
        <v/>
      </c>
      <c r="H202">
        <f>IFERROR(VLOOKUP(A202, RESEARCH!$A$4:$AS$5000, 9, FALSE), 0)</f>
        <v/>
      </c>
      <c r="L202">
        <f>IF(H202=0, 999, AB202/(H202/30))</f>
        <v/>
      </c>
      <c r="N202">
        <f>IFERROR(VLOOKUP(A202, RESEARCH!$A$4:$AS$5000, 13, FALSE), 0)</f>
        <v/>
      </c>
      <c r="O202">
        <f>MAX(0, ($L$2 * (H202/30)) - AB202)</f>
        <v/>
      </c>
      <c r="P202">
        <f>N202*O202</f>
        <v/>
      </c>
      <c r="X202">
        <f>IFERROR(VLOOKUP(A202, KEEPA!$A$4:$AW$5000, 26, FALSE), 0)</f>
        <v/>
      </c>
      <c r="Y202">
        <f>IF(X202=0,0,(X202-E202)/X202)</f>
        <v/>
      </c>
      <c r="Z202">
        <f>IFERROR(VLOOKUP(A202, KEEPA!$A$4:$AW$5000, 28, FALSE), 0)</f>
        <v/>
      </c>
      <c r="AA202">
        <f>IF(Z202=0,0,(Z202-E202)/Z202)</f>
        <v/>
      </c>
    </row>
    <row r="203">
      <c r="D203">
        <f>IFERROR(VLOOKUP(A203, RESEARCH!$A$4:$AS$5000, 14, FALSE), 0)</f>
        <v/>
      </c>
      <c r="E203">
        <f>IFERROR(VLOOKUP(A203, RESEARCH!$A$4:$AS$5000, 8, FALSE), 0)</f>
        <v/>
      </c>
      <c r="F203">
        <f>D203-N203</f>
        <v/>
      </c>
      <c r="G203">
        <f>IF(N203=0,0,F203/N203)</f>
        <v/>
      </c>
      <c r="H203">
        <f>IFERROR(VLOOKUP(A203, RESEARCH!$A$4:$AS$5000, 9, FALSE), 0)</f>
        <v/>
      </c>
      <c r="L203">
        <f>IF(H203=0, 999, AB203/(H203/30))</f>
        <v/>
      </c>
      <c r="N203">
        <f>IFERROR(VLOOKUP(A203, RESEARCH!$A$4:$AS$5000, 13, FALSE), 0)</f>
        <v/>
      </c>
      <c r="O203">
        <f>MAX(0, ($L$2 * (H203/30)) - AB203)</f>
        <v/>
      </c>
      <c r="P203">
        <f>N203*O203</f>
        <v/>
      </c>
      <c r="X203">
        <f>IFERROR(VLOOKUP(A203, KEEPA!$A$4:$AW$5000, 26, FALSE), 0)</f>
        <v/>
      </c>
      <c r="Y203">
        <f>IF(X203=0,0,(X203-E203)/X203)</f>
        <v/>
      </c>
      <c r="Z203">
        <f>IFERROR(VLOOKUP(A203, KEEPA!$A$4:$AW$5000, 28, FALSE), 0)</f>
        <v/>
      </c>
      <c r="AA203">
        <f>IF(Z203=0,0,(Z203-E203)/Z203)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Items</t>
        </is>
      </c>
      <c r="B1" s="2" t="n">
        <v>4389</v>
      </c>
      <c r="C1" s="1" t="inlineStr">
        <is>
          <t>Matches Found on AMZ</t>
        </is>
      </c>
      <c r="D1" s="2" t="n">
        <v>4389</v>
      </c>
      <c r="E1" s="1" t="inlineStr">
        <is>
          <t>Not Found on AMZ</t>
        </is>
      </c>
      <c r="F1" s="2" t="n">
        <v>0</v>
      </c>
    </row>
    <row r="3">
      <c r="A3" s="5" t="inlineStr">
        <is>
          <t>ASIN</t>
        </is>
      </c>
      <c r="B3" s="5" t="inlineStr">
        <is>
          <t>Product ID</t>
        </is>
      </c>
      <c r="C3" s="5" t="inlineStr">
        <is>
          <t>Title</t>
        </is>
      </c>
      <c r="D3" s="5" t="inlineStr">
        <is>
          <t>Package Quantity</t>
        </is>
      </c>
      <c r="E3" s="5" t="inlineStr">
        <is>
          <t>Brand</t>
        </is>
      </c>
      <c r="F3" s="5" t="inlineStr">
        <is>
          <t>Product Group</t>
        </is>
      </c>
      <c r="G3" s="5" t="inlineStr">
        <is>
          <t>Total Offers</t>
        </is>
      </c>
      <c r="H3" s="5" t="inlineStr">
        <is>
          <t>Sales Rank</t>
        </is>
      </c>
      <c r="I3" s="5" t="inlineStr">
        <is>
          <t>Estimated Number of Sales</t>
        </is>
      </c>
      <c r="J3" s="5" t="inlineStr">
        <is>
          <t>Profit</t>
        </is>
      </c>
      <c r="K3" s="5" t="inlineStr">
        <is>
          <t>Margin</t>
        </is>
      </c>
      <c r="L3" s="5" t="inlineStr">
        <is>
          <t>ROI</t>
        </is>
      </c>
      <c r="M3" s="5" t="inlineStr">
        <is>
          <t>Purchase Price</t>
        </is>
      </c>
      <c r="N3" s="5" t="inlineStr">
        <is>
          <t>Sell Price</t>
        </is>
      </c>
      <c r="O3" s="5" t="inlineStr">
        <is>
          <t>Buy Box Landed</t>
        </is>
      </c>
      <c r="P3" s="5" t="inlineStr">
        <is>
          <t>Seller Proceeds</t>
        </is>
      </c>
      <c r="Q3" s="5" t="inlineStr">
        <is>
          <t>Low New Fba Price</t>
        </is>
      </c>
      <c r="R3" s="5" t="inlineStr">
        <is>
          <t>Low New Mfn Price</t>
        </is>
      </c>
      <c r="S3" s="5" t="inlineStr">
        <is>
          <t>Referral Fee</t>
        </is>
      </c>
      <c r="T3" s="5" t="inlineStr">
        <is>
          <t>Variable Closing Fee</t>
        </is>
      </c>
      <c r="U3" s="5" t="inlineStr">
        <is>
          <t>Fulfillment Subtotal</t>
        </is>
      </c>
      <c r="V3" s="5" t="inlineStr">
        <is>
          <t>Cost Sub Total</t>
        </is>
      </c>
      <c r="W3" s="5" t="inlineStr">
        <is>
          <t>VAT %</t>
        </is>
      </c>
      <c r="X3" s="5" t="inlineStr">
        <is>
          <t>VAT $</t>
        </is>
      </c>
      <c r="Y3" s="5" t="inlineStr">
        <is>
          <t>Inbound Shipping Estimate</t>
        </is>
      </c>
      <c r="Z3" s="5" t="inlineStr">
        <is>
          <t>Package Weight</t>
        </is>
      </c>
      <c r="AA3" s="5" t="inlineStr">
        <is>
          <t>Package Height</t>
        </is>
      </c>
      <c r="AB3" s="5" t="inlineStr">
        <is>
          <t>Package Length</t>
        </is>
      </c>
      <c r="AC3" s="5" t="inlineStr">
        <is>
          <t>Package Width</t>
        </is>
      </c>
      <c r="AD3" s="5" t="inlineStr">
        <is>
          <t>New FBA Num Offers</t>
        </is>
      </c>
      <c r="AE3" s="5" t="inlineStr">
        <is>
          <t>New MFN Num Offers</t>
        </is>
      </c>
      <c r="AF3" s="5" t="inlineStr">
        <is>
          <t>Keepa</t>
        </is>
      </c>
      <c r="AG3" s="5" t="inlineStr">
        <is>
          <t>CamelCC</t>
        </is>
      </c>
      <c r="AH3" s="5" t="inlineStr">
        <is>
          <t>Size</t>
        </is>
      </c>
      <c r="AI3" s="5" t="inlineStr">
        <is>
          <t>Last Run</t>
        </is>
      </c>
      <c r="AJ3" s="5" t="inlineStr">
        <is>
          <t>Item Number</t>
        </is>
      </c>
      <c r="AK3" s="5" t="inlineStr">
        <is>
          <t>PRODUCT</t>
        </is>
      </c>
      <c r="AL3" s="5" t="inlineStr">
        <is>
          <t>SKU #</t>
        </is>
      </c>
      <c r="AM3" s="5" t="inlineStr">
        <is>
          <t>Size(1)</t>
        </is>
      </c>
      <c r="AN3" s="5" t="inlineStr">
        <is>
          <t>Case Pk</t>
        </is>
      </c>
      <c r="AO3" s="5" t="inlineStr">
        <is>
          <t>Salon price / each</t>
        </is>
      </c>
      <c r="AP3" s="5" t="inlineStr">
        <is>
          <t>Salon price / case</t>
        </is>
      </c>
      <c r="AQ3" s="5" t="inlineStr">
        <is>
          <t>QTY</t>
        </is>
      </c>
      <c r="AR3" s="5" t="inlineStr">
        <is>
          <t>YOUR TOTAL COST</t>
        </is>
      </c>
      <c r="AS3" s="5" t="inlineStr">
        <is>
          <t>CASE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Item Code</t>
        </is>
      </c>
      <c r="B1" s="5" t="inlineStr">
        <is>
          <t>Description</t>
        </is>
      </c>
      <c r="C1" s="5" t="inlineStr">
        <is>
          <t>Unit Cost</t>
        </is>
      </c>
      <c r="D1" s="5" t="inlineStr">
        <is>
          <t>Order Qty</t>
        </is>
      </c>
      <c r="E1" s="5" t="inlineStr">
        <is>
          <t>Total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30 wt</t>
        </is>
      </c>
      <c r="C1" s="1" t="inlineStr">
        <is>
          <t>90 wt</t>
        </is>
      </c>
      <c r="D1" s="1" t="inlineStr">
        <is>
          <t>180 wt</t>
        </is>
      </c>
      <c r="F1" s="1" t="inlineStr">
        <is>
          <t>AMZ Less:</t>
        </is>
      </c>
    </row>
    <row r="2">
      <c r="B2" s="2" t="n">
        <v>1</v>
      </c>
      <c r="C2" s="2" t="n">
        <v>3</v>
      </c>
      <c r="D2" s="2" t="n">
        <v>1</v>
      </c>
      <c r="F2" s="4" t="n">
        <v>0.05</v>
      </c>
    </row>
    <row r="3">
      <c r="A3" s="5" t="inlineStr">
        <is>
          <t>ASIN</t>
        </is>
      </c>
      <c r="B3" s="5" t="inlineStr">
        <is>
          <t>Baseline</t>
        </is>
      </c>
      <c r="C3" s="5" t="inlineStr">
        <is>
          <t>BB Avg</t>
        </is>
      </c>
      <c r="D3" s="5" t="inlineStr">
        <is>
          <t>AMZ Avg</t>
        </is>
      </c>
      <c r="E3" s="5" t="inlineStr">
        <is>
          <t>wtd avg</t>
        </is>
      </c>
      <c r="F3" s="5" t="inlineStr">
        <is>
          <t>Variations</t>
        </is>
      </c>
      <c r="G3" s="5" t="inlineStr">
        <is>
          <t>Review Wt</t>
        </is>
      </c>
      <c r="H3" s="5" t="inlineStr">
        <is>
          <t>Confidence</t>
        </is>
      </c>
      <c r="I3" s="5" t="inlineStr">
        <is>
          <t>ASIN_SRC</t>
        </is>
      </c>
      <c r="J3" s="5" t="inlineStr">
        <is>
          <t>Title</t>
        </is>
      </c>
      <c r="K3" s="5" t="inlineStr">
        <is>
          <t>Buy Box: Current</t>
        </is>
      </c>
      <c r="L3" s="5" t="inlineStr">
        <is>
          <t>Buy Box: 30 days avg.</t>
        </is>
      </c>
      <c r="M3" s="5" t="inlineStr">
        <is>
          <t>Buy Box: 30 days drop %</t>
        </is>
      </c>
      <c r="N3" s="5" t="inlineStr">
        <is>
          <t>Buy Box: 90 days avg.</t>
        </is>
      </c>
      <c r="O3" s="5" t="inlineStr">
        <is>
          <t>Buy Box: 90 days drop %</t>
        </is>
      </c>
      <c r="P3" s="5" t="inlineStr">
        <is>
          <t>Buy Box: 180 days avg.</t>
        </is>
      </c>
      <c r="Q3" s="5" t="inlineStr">
        <is>
          <t>Buy Box Seller</t>
        </is>
      </c>
      <c r="R3" s="5" t="inlineStr">
        <is>
          <t>Amazon: Current</t>
        </is>
      </c>
      <c r="S3" s="5" t="inlineStr">
        <is>
          <t>Amazon: 30 days avg.</t>
        </is>
      </c>
      <c r="T3" s="5" t="inlineStr">
        <is>
          <t>Amazon: 30 days drop %</t>
        </is>
      </c>
      <c r="U3" s="5" t="inlineStr">
        <is>
          <t>Amazon: 90 days avg.</t>
        </is>
      </c>
      <c r="V3" s="5" t="inlineStr">
        <is>
          <t>Amazon: 90 days drop %</t>
        </is>
      </c>
      <c r="W3" s="5" t="inlineStr">
        <is>
          <t>Amazon: 180 days avg.</t>
        </is>
      </c>
      <c r="X3" s="5" t="inlineStr">
        <is>
          <t>Amazon out of stock percentage: 90 days OOS %</t>
        </is>
      </c>
      <c r="Y3" s="5" t="inlineStr">
        <is>
          <t>Sales Rank: Current</t>
        </is>
      </c>
      <c r="Z3" s="5" t="inlineStr">
        <is>
          <t>Sales Rank: 30 days avg.</t>
        </is>
      </c>
      <c r="AA3" s="5" t="inlineStr">
        <is>
          <t>Sales Rank: 30 days drop %</t>
        </is>
      </c>
      <c r="AB3" s="5" t="inlineStr">
        <is>
          <t>Sales Rank: 90 days avg.</t>
        </is>
      </c>
      <c r="AC3" s="5" t="inlineStr">
        <is>
          <t>Sales Rank: 90 days drop %</t>
        </is>
      </c>
      <c r="AD3" s="5" t="inlineStr">
        <is>
          <t>Sales Rank: 180 days avg.</t>
        </is>
      </c>
      <c r="AE3" s="5" t="inlineStr">
        <is>
          <t>Count of retrieved live offers: New, FBA</t>
        </is>
      </c>
      <c r="AF3" s="5" t="inlineStr">
        <is>
          <t>Count of retrieved live offers: New, FBM</t>
        </is>
      </c>
      <c r="AG3" s="5" t="inlineStr">
        <is>
          <t>New Offer Count: Current</t>
        </is>
      </c>
      <c r="AH3" s="5" t="inlineStr">
        <is>
          <t>New Offer Count: 90 days avg.</t>
        </is>
      </c>
      <c r="AI3" s="5" t="inlineStr">
        <is>
          <t>New, 3rd Party FBA: 30 days avg.</t>
        </is>
      </c>
      <c r="AJ3" s="5" t="inlineStr">
        <is>
          <t>New, 3rd Party FBA: 90 days avg.</t>
        </is>
      </c>
      <c r="AK3" s="5" t="inlineStr">
        <is>
          <t>New, 3rd Party FBA: 180 days avg.</t>
        </is>
      </c>
      <c r="AL3" s="5" t="inlineStr">
        <is>
          <t>Variation ASINs</t>
        </is>
      </c>
      <c r="AM3" s="5" t="inlineStr">
        <is>
          <t>Parent ASIN</t>
        </is>
      </c>
      <c r="AN3" s="5" t="inlineStr">
        <is>
          <t>Reviews: Reviews - Format Specific</t>
        </is>
      </c>
      <c r="AO3" s="5" t="inlineStr">
        <is>
          <t>Variation Attributes</t>
        </is>
      </c>
      <c r="AP3" s="5" t="inlineStr">
        <is>
          <t>Reviews: Review Count</t>
        </is>
      </c>
      <c r="AQ3" s="5" t="inlineStr">
        <is>
          <t>Model</t>
        </is>
      </c>
      <c r="AR3" s="5" t="inlineStr">
        <is>
          <t>Number of Items</t>
        </is>
      </c>
      <c r="AS3" s="5" t="inlineStr">
        <is>
          <t>Categories: Root</t>
        </is>
      </c>
      <c r="AT3" s="5" t="inlineStr">
        <is>
          <t>FBA Fees:</t>
        </is>
      </c>
      <c r="AU3" s="5" t="inlineStr">
        <is>
          <t>Referral Fee %</t>
        </is>
      </c>
      <c r="AV3" s="5" t="inlineStr">
        <is>
          <t>Buy Box out of stock percentage: 90 days OOS %</t>
        </is>
      </c>
    </row>
    <row r="4">
      <c r="E4">
        <f>IFERROR(=(Z4*KEEPA!$B$2 + AB4*KEEPA!$C$2 + AD4*KEEPA!$D$2) / (KEEPA!$B$2 + KEEPA!$C$2 + KEEPA!$D$2), 0)</f>
        <v/>
      </c>
    </row>
    <row r="5">
      <c r="E5">
        <f>IFERROR(=(Z5*KEEPA!$B$2 + AB5*KEEPA!$C$2 + AD5*KEEPA!$D$2) / (KEEPA!$B$2 + KEEPA!$C$2 + KEEPA!$D$2), 0)</f>
        <v/>
      </c>
    </row>
    <row r="6">
      <c r="E6">
        <f>IFERROR(=(Z6*KEEPA!$B$2 + AB6*KEEPA!$C$2 + AD6*KEEPA!$D$2) / (KEEPA!$B$2 + KEEPA!$C$2 + KEEPA!$D$2), 0)</f>
        <v/>
      </c>
    </row>
    <row r="7">
      <c r="E7">
        <f>IFERROR(=(Z7*KEEPA!$B$2 + AB7*KEEPA!$C$2 + AD7*KEEPA!$D$2) / (KEEPA!$B$2 + KEEPA!$C$2 + KEEPA!$D$2), 0)</f>
        <v/>
      </c>
    </row>
    <row r="8">
      <c r="E8">
        <f>IFERROR(=(Z8*KEEPA!$B$2 + AB8*KEEPA!$C$2 + AD8*KEEPA!$D$2) / (KEEPA!$B$2 + KEEPA!$C$2 + KEEPA!$D$2), 0)</f>
        <v/>
      </c>
    </row>
    <row r="9">
      <c r="E9">
        <f>IFERROR(=(Z9*KEEPA!$B$2 + AB9*KEEPA!$C$2 + AD9*KEEPA!$D$2) / (KEEPA!$B$2 + KEEPA!$C$2 + KEEPA!$D$2), 0)</f>
        <v/>
      </c>
    </row>
    <row r="10">
      <c r="E10">
        <f>IFERROR(=(Z10*KEEPA!$B$2 + AB10*KEEPA!$C$2 + AD10*KEEPA!$D$2) / (KEEPA!$B$2 + KEEPA!$C$2 + KEEPA!$D$2), 0)</f>
        <v/>
      </c>
    </row>
    <row r="11">
      <c r="E11">
        <f>IFERROR(=(Z11*KEEPA!$B$2 + AB11*KEEPA!$C$2 + AD11*KEEPA!$D$2) / (KEEPA!$B$2 + KEEPA!$C$2 + KEEPA!$D$2), 0)</f>
        <v/>
      </c>
    </row>
    <row r="12">
      <c r="E12">
        <f>IFERROR(=(Z12*KEEPA!$B$2 + AB12*KEEPA!$C$2 + AD12*KEEPA!$D$2) / (KEEPA!$B$2 + KEEPA!$C$2 + KEEPA!$D$2), 0)</f>
        <v/>
      </c>
    </row>
    <row r="13">
      <c r="E13">
        <f>IFERROR(=(Z13*KEEPA!$B$2 + AB13*KEEPA!$C$2 + AD13*KEEPA!$D$2) / (KEEPA!$B$2 + KEEPA!$C$2 + KEEPA!$D$2), 0)</f>
        <v/>
      </c>
    </row>
    <row r="14">
      <c r="E14">
        <f>IFERROR(=(Z14*KEEPA!$B$2 + AB14*KEEPA!$C$2 + AD14*KEEPA!$D$2) / (KEEPA!$B$2 + KEEPA!$C$2 + KEEPA!$D$2), 0)</f>
        <v/>
      </c>
    </row>
    <row r="15">
      <c r="E15">
        <f>IFERROR(=(Z15*KEEPA!$B$2 + AB15*KEEPA!$C$2 + AD15*KEEPA!$D$2) / (KEEPA!$B$2 + KEEPA!$C$2 + KEEPA!$D$2), 0)</f>
        <v/>
      </c>
    </row>
    <row r="16">
      <c r="E16">
        <f>IFERROR(=(Z16*KEEPA!$B$2 + AB16*KEEPA!$C$2 + AD16*KEEPA!$D$2) / (KEEPA!$B$2 + KEEPA!$C$2 + KEEPA!$D$2), 0)</f>
        <v/>
      </c>
    </row>
    <row r="17">
      <c r="E17">
        <f>IFERROR(=(Z17*KEEPA!$B$2 + AB17*KEEPA!$C$2 + AD17*KEEPA!$D$2) / (KEEPA!$B$2 + KEEPA!$C$2 + KEEPA!$D$2), 0)</f>
        <v/>
      </c>
    </row>
    <row r="18">
      <c r="E18">
        <f>IFERROR(=(Z18*KEEPA!$B$2 + AB18*KEEPA!$C$2 + AD18*KEEPA!$D$2) / (KEEPA!$B$2 + KEEPA!$C$2 + KEEPA!$D$2), 0)</f>
        <v/>
      </c>
    </row>
    <row r="19">
      <c r="E19">
        <f>IFERROR(=(Z19*KEEPA!$B$2 + AB19*KEEPA!$C$2 + AD19*KEEPA!$D$2) / (KEEPA!$B$2 + KEEPA!$C$2 + KEEPA!$D$2), 0)</f>
        <v/>
      </c>
    </row>
    <row r="20">
      <c r="E20">
        <f>IFERROR(=(Z20*KEEPA!$B$2 + AB20*KEEPA!$C$2 + AD20*KEEPA!$D$2) / (KEEPA!$B$2 + KEEPA!$C$2 + KEEPA!$D$2), 0)</f>
        <v/>
      </c>
    </row>
    <row r="21">
      <c r="E21">
        <f>IFERROR(=(Z21*KEEPA!$B$2 + AB21*KEEPA!$C$2 + AD21*KEEPA!$D$2) / (KEEPA!$B$2 + KEEPA!$C$2 + KEEPA!$D$2), 0)</f>
        <v/>
      </c>
    </row>
    <row r="22">
      <c r="E22">
        <f>IFERROR(=(Z22*KEEPA!$B$2 + AB22*KEEPA!$C$2 + AD22*KEEPA!$D$2) / (KEEPA!$B$2 + KEEPA!$C$2 + KEEPA!$D$2), 0)</f>
        <v/>
      </c>
    </row>
    <row r="23">
      <c r="E23">
        <f>IFERROR(=(Z23*KEEPA!$B$2 + AB23*KEEPA!$C$2 + AD23*KEEPA!$D$2) / (KEEPA!$B$2 + KEEPA!$C$2 + KEEPA!$D$2), 0)</f>
        <v/>
      </c>
    </row>
    <row r="24">
      <c r="E24">
        <f>IFERROR(=(Z24*KEEPA!$B$2 + AB24*KEEPA!$C$2 + AD24*KEEPA!$D$2) / (KEEPA!$B$2 + KEEPA!$C$2 + KEEPA!$D$2), 0)</f>
        <v/>
      </c>
    </row>
    <row r="25">
      <c r="E25">
        <f>IFERROR(=(Z25*KEEPA!$B$2 + AB25*KEEPA!$C$2 + AD25*KEEPA!$D$2) / (KEEPA!$B$2 + KEEPA!$C$2 + KEEPA!$D$2), 0)</f>
        <v/>
      </c>
    </row>
    <row r="26">
      <c r="E26">
        <f>IFERROR(=(Z26*KEEPA!$B$2 + AB26*KEEPA!$C$2 + AD26*KEEPA!$D$2) / (KEEPA!$B$2 + KEEPA!$C$2 + KEEPA!$D$2), 0)</f>
        <v/>
      </c>
    </row>
    <row r="27">
      <c r="E27">
        <f>IFERROR(=(Z27*KEEPA!$B$2 + AB27*KEEPA!$C$2 + AD27*KEEPA!$D$2) / (KEEPA!$B$2 + KEEPA!$C$2 + KEEPA!$D$2), 0)</f>
        <v/>
      </c>
    </row>
    <row r="28">
      <c r="E28">
        <f>IFERROR(=(Z28*KEEPA!$B$2 + AB28*KEEPA!$C$2 + AD28*KEEPA!$D$2) / (KEEPA!$B$2 + KEEPA!$C$2 + KEEPA!$D$2), 0)</f>
        <v/>
      </c>
    </row>
    <row r="29">
      <c r="E29">
        <f>IFERROR(=(Z29*KEEPA!$B$2 + AB29*KEEPA!$C$2 + AD29*KEEPA!$D$2) / (KEEPA!$B$2 + KEEPA!$C$2 + KEEPA!$D$2), 0)</f>
        <v/>
      </c>
    </row>
    <row r="30">
      <c r="E30">
        <f>IFERROR(=(Z30*KEEPA!$B$2 + AB30*KEEPA!$C$2 + AD30*KEEPA!$D$2) / (KEEPA!$B$2 + KEEPA!$C$2 + KEEPA!$D$2), 0)</f>
        <v/>
      </c>
    </row>
    <row r="31">
      <c r="E31">
        <f>IFERROR(=(Z31*KEEPA!$B$2 + AB31*KEEPA!$C$2 + AD31*KEEPA!$D$2) / (KEEPA!$B$2 + KEEPA!$C$2 + KEEPA!$D$2), 0)</f>
        <v/>
      </c>
    </row>
    <row r="32">
      <c r="E32">
        <f>IFERROR(=(Z32*KEEPA!$B$2 + AB32*KEEPA!$C$2 + AD32*KEEPA!$D$2) / (KEEPA!$B$2 + KEEPA!$C$2 + KEEPA!$D$2), 0)</f>
        <v/>
      </c>
    </row>
    <row r="33">
      <c r="E33">
        <f>IFERROR(=(Z33*KEEPA!$B$2 + AB33*KEEPA!$C$2 + AD33*KEEPA!$D$2) / (KEEPA!$B$2 + KEEPA!$C$2 + KEEPA!$D$2), 0)</f>
        <v/>
      </c>
    </row>
    <row r="34">
      <c r="E34">
        <f>IFERROR(=(Z34*KEEPA!$B$2 + AB34*KEEPA!$C$2 + AD34*KEEPA!$D$2) / (KEEPA!$B$2 + KEEPA!$C$2 + KEEPA!$D$2), 0)</f>
        <v/>
      </c>
    </row>
    <row r="35">
      <c r="E35">
        <f>IFERROR(=(Z35*KEEPA!$B$2 + AB35*KEEPA!$C$2 + AD35*KEEPA!$D$2) / (KEEPA!$B$2 + KEEPA!$C$2 + KEEPA!$D$2), 0)</f>
        <v/>
      </c>
    </row>
    <row r="36">
      <c r="E36">
        <f>IFERROR(=(Z36*KEEPA!$B$2 + AB36*KEEPA!$C$2 + AD36*KEEPA!$D$2) / (KEEPA!$B$2 + KEEPA!$C$2 + KEEPA!$D$2), 0)</f>
        <v/>
      </c>
    </row>
    <row r="37">
      <c r="E37">
        <f>IFERROR(=(Z37*KEEPA!$B$2 + AB37*KEEPA!$C$2 + AD37*KEEPA!$D$2) / (KEEPA!$B$2 + KEEPA!$C$2 + KEEPA!$D$2), 0)</f>
        <v/>
      </c>
    </row>
    <row r="38">
      <c r="E38">
        <f>IFERROR(=(Z38*KEEPA!$B$2 + AB38*KEEPA!$C$2 + AD38*KEEPA!$D$2) / (KEEPA!$B$2 + KEEPA!$C$2 + KEEPA!$D$2), 0)</f>
        <v/>
      </c>
    </row>
    <row r="39">
      <c r="E39">
        <f>IFERROR(=(Z39*KEEPA!$B$2 + AB39*KEEPA!$C$2 + AD39*KEEPA!$D$2) / (KEEPA!$B$2 + KEEPA!$C$2 + KEEPA!$D$2), 0)</f>
        <v/>
      </c>
    </row>
    <row r="40">
      <c r="E40">
        <f>IFERROR(=(Z40*KEEPA!$B$2 + AB40*KEEPA!$C$2 + AD40*KEEPA!$D$2) / (KEEPA!$B$2 + KEEPA!$C$2 + KEEPA!$D$2), 0)</f>
        <v/>
      </c>
    </row>
    <row r="41">
      <c r="E41">
        <f>IFERROR(=(Z41*KEEPA!$B$2 + AB41*KEEPA!$C$2 + AD41*KEEPA!$D$2) / (KEEPA!$B$2 + KEEPA!$C$2 + KEEPA!$D$2), 0)</f>
        <v/>
      </c>
    </row>
    <row r="42">
      <c r="E42">
        <f>IFERROR(=(Z42*KEEPA!$B$2 + AB42*KEEPA!$C$2 + AD42*KEEPA!$D$2) / (KEEPA!$B$2 + KEEPA!$C$2 + KEEPA!$D$2), 0)</f>
        <v/>
      </c>
    </row>
    <row r="43">
      <c r="E43">
        <f>IFERROR(=(Z43*KEEPA!$B$2 + AB43*KEEPA!$C$2 + AD43*KEEPA!$D$2) / (KEEPA!$B$2 + KEEPA!$C$2 + KEEPA!$D$2), 0)</f>
        <v/>
      </c>
    </row>
    <row r="44">
      <c r="E44">
        <f>IFERROR(=(Z44*KEEPA!$B$2 + AB44*KEEPA!$C$2 + AD44*KEEPA!$D$2) / (KEEPA!$B$2 + KEEPA!$C$2 + KEEPA!$D$2), 0)</f>
        <v/>
      </c>
    </row>
    <row r="45">
      <c r="E45">
        <f>IFERROR(=(Z45*KEEPA!$B$2 + AB45*KEEPA!$C$2 + AD45*KEEPA!$D$2) / (KEEPA!$B$2 + KEEPA!$C$2 + KEEPA!$D$2), 0)</f>
        <v/>
      </c>
    </row>
    <row r="46">
      <c r="E46">
        <f>IFERROR(=(Z46*KEEPA!$B$2 + AB46*KEEPA!$C$2 + AD46*KEEPA!$D$2) / (KEEPA!$B$2 + KEEPA!$C$2 + KEEPA!$D$2), 0)</f>
        <v/>
      </c>
    </row>
    <row r="47">
      <c r="E47">
        <f>IFERROR(=(Z47*KEEPA!$B$2 + AB47*KEEPA!$C$2 + AD47*KEEPA!$D$2) / (KEEPA!$B$2 + KEEPA!$C$2 + KEEPA!$D$2), 0)</f>
        <v/>
      </c>
    </row>
    <row r="48">
      <c r="E48">
        <f>IFERROR(=(Z48*KEEPA!$B$2 + AB48*KEEPA!$C$2 + AD48*KEEPA!$D$2) / (KEEPA!$B$2 + KEEPA!$C$2 + KEEPA!$D$2), 0)</f>
        <v/>
      </c>
    </row>
    <row r="49">
      <c r="E49">
        <f>IFERROR(=(Z49*KEEPA!$B$2 + AB49*KEEPA!$C$2 + AD49*KEEPA!$D$2) / (KEEPA!$B$2 + KEEPA!$C$2 + KEEPA!$D$2), 0)</f>
        <v/>
      </c>
    </row>
    <row r="50">
      <c r="E50">
        <f>IFERROR(=(Z50*KEEPA!$B$2 + AB50*KEEPA!$C$2 + AD50*KEEPA!$D$2) / (KEEPA!$B$2 + KEEPA!$C$2 + KEEPA!$D$2), 0)</f>
        <v/>
      </c>
    </row>
    <row r="51">
      <c r="E51">
        <f>IFERROR(=(Z51*KEEPA!$B$2 + AB51*KEEPA!$C$2 + AD51*KEEPA!$D$2) / (KEEPA!$B$2 + KEEPA!$C$2 + KEEPA!$D$2), 0)</f>
        <v/>
      </c>
    </row>
    <row r="52">
      <c r="E52">
        <f>IFERROR(=(Z52*KEEPA!$B$2 + AB52*KEEPA!$C$2 + AD52*KEEPA!$D$2) / (KEEPA!$B$2 + KEEPA!$C$2 + KEEPA!$D$2), 0)</f>
        <v/>
      </c>
    </row>
    <row r="53">
      <c r="E53">
        <f>IFERROR(=(Z53*KEEPA!$B$2 + AB53*KEEPA!$C$2 + AD53*KEEPA!$D$2) / (KEEPA!$B$2 + KEEPA!$C$2 + KEEPA!$D$2), 0)</f>
        <v/>
      </c>
    </row>
    <row r="54">
      <c r="E54">
        <f>IFERROR(=(Z54*KEEPA!$B$2 + AB54*KEEPA!$C$2 + AD54*KEEPA!$D$2) / (KEEPA!$B$2 + KEEPA!$C$2 + KEEPA!$D$2), 0)</f>
        <v/>
      </c>
    </row>
    <row r="55">
      <c r="E55">
        <f>IFERROR(=(Z55*KEEPA!$B$2 + AB55*KEEPA!$C$2 + AD55*KEEPA!$D$2) / (KEEPA!$B$2 + KEEPA!$C$2 + KEEPA!$D$2), 0)</f>
        <v/>
      </c>
    </row>
    <row r="56">
      <c r="E56">
        <f>IFERROR(=(Z56*KEEPA!$B$2 + AB56*KEEPA!$C$2 + AD56*KEEPA!$D$2) / (KEEPA!$B$2 + KEEPA!$C$2 + KEEPA!$D$2), 0)</f>
        <v/>
      </c>
    </row>
    <row r="57">
      <c r="E57">
        <f>IFERROR(=(Z57*KEEPA!$B$2 + AB57*KEEPA!$C$2 + AD57*KEEPA!$D$2) / (KEEPA!$B$2 + KEEPA!$C$2 + KEEPA!$D$2), 0)</f>
        <v/>
      </c>
    </row>
    <row r="58">
      <c r="E58">
        <f>IFERROR(=(Z58*KEEPA!$B$2 + AB58*KEEPA!$C$2 + AD58*KEEPA!$D$2) / (KEEPA!$B$2 + KEEPA!$C$2 + KEEPA!$D$2), 0)</f>
        <v/>
      </c>
    </row>
    <row r="59">
      <c r="E59">
        <f>IFERROR(=(Z59*KEEPA!$B$2 + AB59*KEEPA!$C$2 + AD59*KEEPA!$D$2) / (KEEPA!$B$2 + KEEPA!$C$2 + KEEPA!$D$2), 0)</f>
        <v/>
      </c>
    </row>
    <row r="60">
      <c r="E60">
        <f>IFERROR(=(Z60*KEEPA!$B$2 + AB60*KEEPA!$C$2 + AD60*KEEPA!$D$2) / (KEEPA!$B$2 + KEEPA!$C$2 + KEEPA!$D$2), 0)</f>
        <v/>
      </c>
    </row>
    <row r="61">
      <c r="E61">
        <f>IFERROR(=(Z61*KEEPA!$B$2 + AB61*KEEPA!$C$2 + AD61*KEEPA!$D$2) / (KEEPA!$B$2 + KEEPA!$C$2 + KEEPA!$D$2), 0)</f>
        <v/>
      </c>
    </row>
    <row r="62">
      <c r="E62">
        <f>IFERROR(=(Z62*KEEPA!$B$2 + AB62*KEEPA!$C$2 + AD62*KEEPA!$D$2) / (KEEPA!$B$2 + KEEPA!$C$2 + KEEPA!$D$2), 0)</f>
        <v/>
      </c>
    </row>
    <row r="63">
      <c r="E63">
        <f>IFERROR(=(Z63*KEEPA!$B$2 + AB63*KEEPA!$C$2 + AD63*KEEPA!$D$2) / (KEEPA!$B$2 + KEEPA!$C$2 + KEEPA!$D$2), 0)</f>
        <v/>
      </c>
    </row>
    <row r="64">
      <c r="E64">
        <f>IFERROR(=(Z64*KEEPA!$B$2 + AB64*KEEPA!$C$2 + AD64*KEEPA!$D$2) / (KEEPA!$B$2 + KEEPA!$C$2 + KEEPA!$D$2), 0)</f>
        <v/>
      </c>
    </row>
    <row r="65">
      <c r="E65">
        <f>IFERROR(=(Z65*KEEPA!$B$2 + AB65*KEEPA!$C$2 + AD65*KEEPA!$D$2) / (KEEPA!$B$2 + KEEPA!$C$2 + KEEPA!$D$2), 0)</f>
        <v/>
      </c>
    </row>
    <row r="66">
      <c r="E66">
        <f>IFERROR(=(Z66*KEEPA!$B$2 + AB66*KEEPA!$C$2 + AD66*KEEPA!$D$2) / (KEEPA!$B$2 + KEEPA!$C$2 + KEEPA!$D$2), 0)</f>
        <v/>
      </c>
    </row>
    <row r="67">
      <c r="E67">
        <f>IFERROR(=(Z67*KEEPA!$B$2 + AB67*KEEPA!$C$2 + AD67*KEEPA!$D$2) / (KEEPA!$B$2 + KEEPA!$C$2 + KEEPA!$D$2), 0)</f>
        <v/>
      </c>
    </row>
    <row r="68">
      <c r="E68">
        <f>IFERROR(=(Z68*KEEPA!$B$2 + AB68*KEEPA!$C$2 + AD68*KEEPA!$D$2) / (KEEPA!$B$2 + KEEPA!$C$2 + KEEPA!$D$2), 0)</f>
        <v/>
      </c>
    </row>
    <row r="69">
      <c r="E69">
        <f>IFERROR(=(Z69*KEEPA!$B$2 + AB69*KEEPA!$C$2 + AD69*KEEPA!$D$2) / (KEEPA!$B$2 + KEEPA!$C$2 + KEEPA!$D$2), 0)</f>
        <v/>
      </c>
    </row>
    <row r="70">
      <c r="E70">
        <f>IFERROR(=(Z70*KEEPA!$B$2 + AB70*KEEPA!$C$2 + AD70*KEEPA!$D$2) / (KEEPA!$B$2 + KEEPA!$C$2 + KEEPA!$D$2), 0)</f>
        <v/>
      </c>
    </row>
    <row r="71">
      <c r="E71">
        <f>IFERROR(=(Z71*KEEPA!$B$2 + AB71*KEEPA!$C$2 + AD71*KEEPA!$D$2) / (KEEPA!$B$2 + KEEPA!$C$2 + KEEPA!$D$2), 0)</f>
        <v/>
      </c>
    </row>
    <row r="72">
      <c r="E72">
        <f>IFERROR(=(Z72*KEEPA!$B$2 + AB72*KEEPA!$C$2 + AD72*KEEPA!$D$2) / (KEEPA!$B$2 + KEEPA!$C$2 + KEEPA!$D$2), 0)</f>
        <v/>
      </c>
    </row>
    <row r="73">
      <c r="E73">
        <f>IFERROR(=(Z73*KEEPA!$B$2 + AB73*KEEPA!$C$2 + AD73*KEEPA!$D$2) / (KEEPA!$B$2 + KEEPA!$C$2 + KEEPA!$D$2), 0)</f>
        <v/>
      </c>
    </row>
    <row r="74">
      <c r="E74">
        <f>IFERROR(=(Z74*KEEPA!$B$2 + AB74*KEEPA!$C$2 + AD74*KEEPA!$D$2) / (KEEPA!$B$2 + KEEPA!$C$2 + KEEPA!$D$2), 0)</f>
        <v/>
      </c>
    </row>
    <row r="75">
      <c r="E75">
        <f>IFERROR(=(Z75*KEEPA!$B$2 + AB75*KEEPA!$C$2 + AD75*KEEPA!$D$2) / (KEEPA!$B$2 + KEEPA!$C$2 + KEEPA!$D$2), 0)</f>
        <v/>
      </c>
    </row>
    <row r="76">
      <c r="E76">
        <f>IFERROR(=(Z76*KEEPA!$B$2 + AB76*KEEPA!$C$2 + AD76*KEEPA!$D$2) / (KEEPA!$B$2 + KEEPA!$C$2 + KEEPA!$D$2), 0)</f>
        <v/>
      </c>
    </row>
    <row r="77">
      <c r="E77">
        <f>IFERROR(=(Z77*KEEPA!$B$2 + AB77*KEEPA!$C$2 + AD77*KEEPA!$D$2) / (KEEPA!$B$2 + KEEPA!$C$2 + KEEPA!$D$2), 0)</f>
        <v/>
      </c>
    </row>
    <row r="78">
      <c r="E78">
        <f>IFERROR(=(Z78*KEEPA!$B$2 + AB78*KEEPA!$C$2 + AD78*KEEPA!$D$2) / (KEEPA!$B$2 + KEEPA!$C$2 + KEEPA!$D$2), 0)</f>
        <v/>
      </c>
    </row>
    <row r="79">
      <c r="E79">
        <f>IFERROR(=(Z79*KEEPA!$B$2 + AB79*KEEPA!$C$2 + AD79*KEEPA!$D$2) / (KEEPA!$B$2 + KEEPA!$C$2 + KEEPA!$D$2), 0)</f>
        <v/>
      </c>
    </row>
    <row r="80">
      <c r="E80">
        <f>IFERROR(=(Z80*KEEPA!$B$2 + AB80*KEEPA!$C$2 + AD80*KEEPA!$D$2) / (KEEPA!$B$2 + KEEPA!$C$2 + KEEPA!$D$2), 0)</f>
        <v/>
      </c>
    </row>
    <row r="81">
      <c r="E81">
        <f>IFERROR(=(Z81*KEEPA!$B$2 + AB81*KEEPA!$C$2 + AD81*KEEPA!$D$2) / (KEEPA!$B$2 + KEEPA!$C$2 + KEEPA!$D$2), 0)</f>
        <v/>
      </c>
    </row>
    <row r="82">
      <c r="E82">
        <f>IFERROR(=(Z82*KEEPA!$B$2 + AB82*KEEPA!$C$2 + AD82*KEEPA!$D$2) / (KEEPA!$B$2 + KEEPA!$C$2 + KEEPA!$D$2), 0)</f>
        <v/>
      </c>
    </row>
    <row r="83">
      <c r="E83">
        <f>IFERROR(=(Z83*KEEPA!$B$2 + AB83*KEEPA!$C$2 + AD83*KEEPA!$D$2) / (KEEPA!$B$2 + KEEPA!$C$2 + KEEPA!$D$2), 0)</f>
        <v/>
      </c>
    </row>
    <row r="84">
      <c r="E84">
        <f>IFERROR(=(Z84*KEEPA!$B$2 + AB84*KEEPA!$C$2 + AD84*KEEPA!$D$2) / (KEEPA!$B$2 + KEEPA!$C$2 + KEEPA!$D$2), 0)</f>
        <v/>
      </c>
    </row>
    <row r="85">
      <c r="E85">
        <f>IFERROR(=(Z85*KEEPA!$B$2 + AB85*KEEPA!$C$2 + AD85*KEEPA!$D$2) / (KEEPA!$B$2 + KEEPA!$C$2 + KEEPA!$D$2), 0)</f>
        <v/>
      </c>
    </row>
    <row r="86">
      <c r="E86">
        <f>IFERROR(=(Z86*KEEPA!$B$2 + AB86*KEEPA!$C$2 + AD86*KEEPA!$D$2) / (KEEPA!$B$2 + KEEPA!$C$2 + KEEPA!$D$2), 0)</f>
        <v/>
      </c>
    </row>
    <row r="87">
      <c r="E87">
        <f>IFERROR(=(Z87*KEEPA!$B$2 + AB87*KEEPA!$C$2 + AD87*KEEPA!$D$2) / (KEEPA!$B$2 + KEEPA!$C$2 + KEEPA!$D$2), 0)</f>
        <v/>
      </c>
    </row>
    <row r="88">
      <c r="E88">
        <f>IFERROR(=(Z88*KEEPA!$B$2 + AB88*KEEPA!$C$2 + AD88*KEEPA!$D$2) / (KEEPA!$B$2 + KEEPA!$C$2 + KEEPA!$D$2), 0)</f>
        <v/>
      </c>
    </row>
    <row r="89">
      <c r="E89">
        <f>IFERROR(=(Z89*KEEPA!$B$2 + AB89*KEEPA!$C$2 + AD89*KEEPA!$D$2) / (KEEPA!$B$2 + KEEPA!$C$2 + KEEPA!$D$2), 0)</f>
        <v/>
      </c>
    </row>
    <row r="90">
      <c r="E90">
        <f>IFERROR(=(Z90*KEEPA!$B$2 + AB90*KEEPA!$C$2 + AD90*KEEPA!$D$2) / (KEEPA!$B$2 + KEEPA!$C$2 + KEEPA!$D$2), 0)</f>
        <v/>
      </c>
    </row>
    <row r="91">
      <c r="E91">
        <f>IFERROR(=(Z91*KEEPA!$B$2 + AB91*KEEPA!$C$2 + AD91*KEEPA!$D$2) / (KEEPA!$B$2 + KEEPA!$C$2 + KEEPA!$D$2), 0)</f>
        <v/>
      </c>
    </row>
    <row r="92">
      <c r="E92">
        <f>IFERROR(=(Z92*KEEPA!$B$2 + AB92*KEEPA!$C$2 + AD92*KEEPA!$D$2) / (KEEPA!$B$2 + KEEPA!$C$2 + KEEPA!$D$2), 0)</f>
        <v/>
      </c>
    </row>
    <row r="93">
      <c r="E93">
        <f>IFERROR(=(Z93*KEEPA!$B$2 + AB93*KEEPA!$C$2 + AD93*KEEPA!$D$2) / (KEEPA!$B$2 + KEEPA!$C$2 + KEEPA!$D$2), 0)</f>
        <v/>
      </c>
    </row>
    <row r="94">
      <c r="E94">
        <f>IFERROR(=(Z94*KEEPA!$B$2 + AB94*KEEPA!$C$2 + AD94*KEEPA!$D$2) / (KEEPA!$B$2 + KEEPA!$C$2 + KEEPA!$D$2), 0)</f>
        <v/>
      </c>
    </row>
    <row r="95">
      <c r="E95">
        <f>IFERROR(=(Z95*KEEPA!$B$2 + AB95*KEEPA!$C$2 + AD95*KEEPA!$D$2) / (KEEPA!$B$2 + KEEPA!$C$2 + KEEPA!$D$2), 0)</f>
        <v/>
      </c>
    </row>
    <row r="96">
      <c r="E96">
        <f>IFERROR(=(Z96*KEEPA!$B$2 + AB96*KEEPA!$C$2 + AD96*KEEPA!$D$2) / (KEEPA!$B$2 + KEEPA!$C$2 + KEEPA!$D$2), 0)</f>
        <v/>
      </c>
    </row>
    <row r="97">
      <c r="E97">
        <f>IFERROR(=(Z97*KEEPA!$B$2 + AB97*KEEPA!$C$2 + AD97*KEEPA!$D$2) / (KEEPA!$B$2 + KEEPA!$C$2 + KEEPA!$D$2), 0)</f>
        <v/>
      </c>
    </row>
    <row r="98">
      <c r="E98">
        <f>IFERROR(=(Z98*KEEPA!$B$2 + AB98*KEEPA!$C$2 + AD98*KEEPA!$D$2) / (KEEPA!$B$2 + KEEPA!$C$2 + KEEPA!$D$2), 0)</f>
        <v/>
      </c>
    </row>
    <row r="99">
      <c r="E99">
        <f>IFERROR(=(Z99*KEEPA!$B$2 + AB99*KEEPA!$C$2 + AD99*KEEPA!$D$2) / (KEEPA!$B$2 + KEEPA!$C$2 + KEEPA!$D$2), 0)</f>
        <v/>
      </c>
    </row>
    <row r="100">
      <c r="E100">
        <f>IFERROR(=(Z100*KEEPA!$B$2 + AB100*KEEPA!$C$2 + AD100*KEEPA!$D$2) / (KEEPA!$B$2 + KEEPA!$C$2 + KEEPA!$D$2), 0)</f>
        <v/>
      </c>
    </row>
    <row r="101">
      <c r="E101">
        <f>IFERROR(=(Z101*KEEPA!$B$2 + AB101*KEEPA!$C$2 + AD101*KEEPA!$D$2) / (KEEPA!$B$2 + KEEPA!$C$2 + KEEPA!$D$2), 0)</f>
        <v/>
      </c>
    </row>
    <row r="102">
      <c r="E102">
        <f>IFERROR(=(Z102*KEEPA!$B$2 + AB102*KEEPA!$C$2 + AD102*KEEPA!$D$2) / (KEEPA!$B$2 + KEEPA!$C$2 + KEEPA!$D$2), 0)</f>
        <v/>
      </c>
    </row>
    <row r="103">
      <c r="E103">
        <f>IFERROR(=(Z103*KEEPA!$B$2 + AB103*KEEPA!$C$2 + AD103*KEEPA!$D$2) / (KEEPA!$B$2 + KEEPA!$C$2 + KEEPA!$D$2), 0)</f>
        <v/>
      </c>
    </row>
    <row r="104">
      <c r="E104">
        <f>IFERROR(=(Z104*KEEPA!$B$2 + AB104*KEEPA!$C$2 + AD104*KEEPA!$D$2) / (KEEPA!$B$2 + KEEPA!$C$2 + KEEPA!$D$2), 0)</f>
        <v/>
      </c>
    </row>
    <row r="105">
      <c r="E105">
        <f>IFERROR(=(Z105*KEEPA!$B$2 + AB105*KEEPA!$C$2 + AD105*KEEPA!$D$2) / (KEEPA!$B$2 + KEEPA!$C$2 + KEEPA!$D$2), 0)</f>
        <v/>
      </c>
    </row>
    <row r="106">
      <c r="E106">
        <f>IFERROR(=(Z106*KEEPA!$B$2 + AB106*KEEPA!$C$2 + AD106*KEEPA!$D$2) / (KEEPA!$B$2 + KEEPA!$C$2 + KEEPA!$D$2), 0)</f>
        <v/>
      </c>
    </row>
    <row r="107">
      <c r="E107">
        <f>IFERROR(=(Z107*KEEPA!$B$2 + AB107*KEEPA!$C$2 + AD107*KEEPA!$D$2) / (KEEPA!$B$2 + KEEPA!$C$2 + KEEPA!$D$2), 0)</f>
        <v/>
      </c>
    </row>
    <row r="108">
      <c r="E108">
        <f>IFERROR(=(Z108*KEEPA!$B$2 + AB108*KEEPA!$C$2 + AD108*KEEPA!$D$2) / (KEEPA!$B$2 + KEEPA!$C$2 + KEEPA!$D$2), 0)</f>
        <v/>
      </c>
    </row>
    <row r="109">
      <c r="E109">
        <f>IFERROR(=(Z109*KEEPA!$B$2 + AB109*KEEPA!$C$2 + AD109*KEEPA!$D$2) / (KEEPA!$B$2 + KEEPA!$C$2 + KEEPA!$D$2), 0)</f>
        <v/>
      </c>
    </row>
    <row r="110">
      <c r="E110">
        <f>IFERROR(=(Z110*KEEPA!$B$2 + AB110*KEEPA!$C$2 + AD110*KEEPA!$D$2) / (KEEPA!$B$2 + KEEPA!$C$2 + KEEPA!$D$2), 0)</f>
        <v/>
      </c>
    </row>
    <row r="111">
      <c r="E111">
        <f>IFERROR(=(Z111*KEEPA!$B$2 + AB111*KEEPA!$C$2 + AD111*KEEPA!$D$2) / (KEEPA!$B$2 + KEEPA!$C$2 + KEEPA!$D$2), 0)</f>
        <v/>
      </c>
    </row>
    <row r="112">
      <c r="E112">
        <f>IFERROR(=(Z112*KEEPA!$B$2 + AB112*KEEPA!$C$2 + AD112*KEEPA!$D$2) / (KEEPA!$B$2 + KEEPA!$C$2 + KEEPA!$D$2), 0)</f>
        <v/>
      </c>
    </row>
    <row r="113">
      <c r="E113">
        <f>IFERROR(=(Z113*KEEPA!$B$2 + AB113*KEEPA!$C$2 + AD113*KEEPA!$D$2) / (KEEPA!$B$2 + KEEPA!$C$2 + KEEPA!$D$2), 0)</f>
        <v/>
      </c>
    </row>
    <row r="114">
      <c r="E114">
        <f>IFERROR(=(Z114*KEEPA!$B$2 + AB114*KEEPA!$C$2 + AD114*KEEPA!$D$2) / (KEEPA!$B$2 + KEEPA!$C$2 + KEEPA!$D$2), 0)</f>
        <v/>
      </c>
    </row>
    <row r="115">
      <c r="E115">
        <f>IFERROR(=(Z115*KEEPA!$B$2 + AB115*KEEPA!$C$2 + AD115*KEEPA!$D$2) / (KEEPA!$B$2 + KEEPA!$C$2 + KEEPA!$D$2), 0)</f>
        <v/>
      </c>
    </row>
    <row r="116">
      <c r="E116">
        <f>IFERROR(=(Z116*KEEPA!$B$2 + AB116*KEEPA!$C$2 + AD116*KEEPA!$D$2) / (KEEPA!$B$2 + KEEPA!$C$2 + KEEPA!$D$2), 0)</f>
        <v/>
      </c>
    </row>
    <row r="117">
      <c r="E117">
        <f>IFERROR(=(Z117*KEEPA!$B$2 + AB117*KEEPA!$C$2 + AD117*KEEPA!$D$2) / (KEEPA!$B$2 + KEEPA!$C$2 + KEEPA!$D$2), 0)</f>
        <v/>
      </c>
    </row>
    <row r="118">
      <c r="E118">
        <f>IFERROR(=(Z118*KEEPA!$B$2 + AB118*KEEPA!$C$2 + AD118*KEEPA!$D$2) / (KEEPA!$B$2 + KEEPA!$C$2 + KEEPA!$D$2), 0)</f>
        <v/>
      </c>
    </row>
    <row r="119">
      <c r="E119">
        <f>IFERROR(=(Z119*KEEPA!$B$2 + AB119*KEEPA!$C$2 + AD119*KEEPA!$D$2) / (KEEPA!$B$2 + KEEPA!$C$2 + KEEPA!$D$2), 0)</f>
        <v/>
      </c>
    </row>
    <row r="120">
      <c r="E120">
        <f>IFERROR(=(Z120*KEEPA!$B$2 + AB120*KEEPA!$C$2 + AD120*KEEPA!$D$2) / (KEEPA!$B$2 + KEEPA!$C$2 + KEEPA!$D$2), 0)</f>
        <v/>
      </c>
    </row>
    <row r="121">
      <c r="E121">
        <f>IFERROR(=(Z121*KEEPA!$B$2 + AB121*KEEPA!$C$2 + AD121*KEEPA!$D$2) / (KEEPA!$B$2 + KEEPA!$C$2 + KEEPA!$D$2), 0)</f>
        <v/>
      </c>
    </row>
    <row r="122">
      <c r="E122">
        <f>IFERROR(=(Z122*KEEPA!$B$2 + AB122*KEEPA!$C$2 + AD122*KEEPA!$D$2) / (KEEPA!$B$2 + KEEPA!$C$2 + KEEPA!$D$2), 0)</f>
        <v/>
      </c>
    </row>
    <row r="123">
      <c r="E123">
        <f>IFERROR(=(Z123*KEEPA!$B$2 + AB123*KEEPA!$C$2 + AD123*KEEPA!$D$2) / (KEEPA!$B$2 + KEEPA!$C$2 + KEEPA!$D$2), 0)</f>
        <v/>
      </c>
    </row>
    <row r="124">
      <c r="E124">
        <f>IFERROR(=(Z124*KEEPA!$B$2 + AB124*KEEPA!$C$2 + AD124*KEEPA!$D$2) / (KEEPA!$B$2 + KEEPA!$C$2 + KEEPA!$D$2), 0)</f>
        <v/>
      </c>
    </row>
    <row r="125">
      <c r="E125">
        <f>IFERROR(=(Z125*KEEPA!$B$2 + AB125*KEEPA!$C$2 + AD125*KEEPA!$D$2) / (KEEPA!$B$2 + KEEPA!$C$2 + KEEPA!$D$2), 0)</f>
        <v/>
      </c>
    </row>
    <row r="126">
      <c r="E126">
        <f>IFERROR(=(Z126*KEEPA!$B$2 + AB126*KEEPA!$C$2 + AD126*KEEPA!$D$2) / (KEEPA!$B$2 + KEEPA!$C$2 + KEEPA!$D$2), 0)</f>
        <v/>
      </c>
    </row>
    <row r="127">
      <c r="E127">
        <f>IFERROR(=(Z127*KEEPA!$B$2 + AB127*KEEPA!$C$2 + AD127*KEEPA!$D$2) / (KEEPA!$B$2 + KEEPA!$C$2 + KEEPA!$D$2), 0)</f>
        <v/>
      </c>
    </row>
    <row r="128">
      <c r="E128">
        <f>IFERROR(=(Z128*KEEPA!$B$2 + AB128*KEEPA!$C$2 + AD128*KEEPA!$D$2) / (KEEPA!$B$2 + KEEPA!$C$2 + KEEPA!$D$2), 0)</f>
        <v/>
      </c>
    </row>
    <row r="129">
      <c r="E129">
        <f>IFERROR(=(Z129*KEEPA!$B$2 + AB129*KEEPA!$C$2 + AD129*KEEPA!$D$2) / (KEEPA!$B$2 + KEEPA!$C$2 + KEEPA!$D$2), 0)</f>
        <v/>
      </c>
    </row>
    <row r="130">
      <c r="E130">
        <f>IFERROR(=(Z130*KEEPA!$B$2 + AB130*KEEPA!$C$2 + AD130*KEEPA!$D$2) / (KEEPA!$B$2 + KEEPA!$C$2 + KEEPA!$D$2), 0)</f>
        <v/>
      </c>
    </row>
    <row r="131">
      <c r="E131">
        <f>IFERROR(=(Z131*KEEPA!$B$2 + AB131*KEEPA!$C$2 + AD131*KEEPA!$D$2) / (KEEPA!$B$2 + KEEPA!$C$2 + KEEPA!$D$2), 0)</f>
        <v/>
      </c>
    </row>
    <row r="132">
      <c r="E132">
        <f>IFERROR(=(Z132*KEEPA!$B$2 + AB132*KEEPA!$C$2 + AD132*KEEPA!$D$2) / (KEEPA!$B$2 + KEEPA!$C$2 + KEEPA!$D$2), 0)</f>
        <v/>
      </c>
    </row>
    <row r="133">
      <c r="E133">
        <f>IFERROR(=(Z133*KEEPA!$B$2 + AB133*KEEPA!$C$2 + AD133*KEEPA!$D$2) / (KEEPA!$B$2 + KEEPA!$C$2 + KEEPA!$D$2), 0)</f>
        <v/>
      </c>
    </row>
    <row r="134">
      <c r="E134">
        <f>IFERROR(=(Z134*KEEPA!$B$2 + AB134*KEEPA!$C$2 + AD134*KEEPA!$D$2) / (KEEPA!$B$2 + KEEPA!$C$2 + KEEPA!$D$2), 0)</f>
        <v/>
      </c>
    </row>
    <row r="135">
      <c r="E135">
        <f>IFERROR(=(Z135*KEEPA!$B$2 + AB135*KEEPA!$C$2 + AD135*KEEPA!$D$2) / (KEEPA!$B$2 + KEEPA!$C$2 + KEEPA!$D$2), 0)</f>
        <v/>
      </c>
    </row>
    <row r="136">
      <c r="E136">
        <f>IFERROR(=(Z136*KEEPA!$B$2 + AB136*KEEPA!$C$2 + AD136*KEEPA!$D$2) / (KEEPA!$B$2 + KEEPA!$C$2 + KEEPA!$D$2), 0)</f>
        <v/>
      </c>
    </row>
    <row r="137">
      <c r="E137">
        <f>IFERROR(=(Z137*KEEPA!$B$2 + AB137*KEEPA!$C$2 + AD137*KEEPA!$D$2) / (KEEPA!$B$2 + KEEPA!$C$2 + KEEPA!$D$2), 0)</f>
        <v/>
      </c>
    </row>
    <row r="138">
      <c r="E138">
        <f>IFERROR(=(Z138*KEEPA!$B$2 + AB138*KEEPA!$C$2 + AD138*KEEPA!$D$2) / (KEEPA!$B$2 + KEEPA!$C$2 + KEEPA!$D$2), 0)</f>
        <v/>
      </c>
    </row>
    <row r="139">
      <c r="E139">
        <f>IFERROR(=(Z139*KEEPA!$B$2 + AB139*KEEPA!$C$2 + AD139*KEEPA!$D$2) / (KEEPA!$B$2 + KEEPA!$C$2 + KEEPA!$D$2), 0)</f>
        <v/>
      </c>
    </row>
    <row r="140">
      <c r="E140">
        <f>IFERROR(=(Z140*KEEPA!$B$2 + AB140*KEEPA!$C$2 + AD140*KEEPA!$D$2) / (KEEPA!$B$2 + KEEPA!$C$2 + KEEPA!$D$2), 0)</f>
        <v/>
      </c>
    </row>
    <row r="141">
      <c r="E141">
        <f>IFERROR(=(Z141*KEEPA!$B$2 + AB141*KEEPA!$C$2 + AD141*KEEPA!$D$2) / (KEEPA!$B$2 + KEEPA!$C$2 + KEEPA!$D$2), 0)</f>
        <v/>
      </c>
    </row>
    <row r="142">
      <c r="E142">
        <f>IFERROR(=(Z142*KEEPA!$B$2 + AB142*KEEPA!$C$2 + AD142*KEEPA!$D$2) / (KEEPA!$B$2 + KEEPA!$C$2 + KEEPA!$D$2), 0)</f>
        <v/>
      </c>
    </row>
    <row r="143">
      <c r="E143">
        <f>IFERROR(=(Z143*KEEPA!$B$2 + AB143*KEEPA!$C$2 + AD143*KEEPA!$D$2) / (KEEPA!$B$2 + KEEPA!$C$2 + KEEPA!$D$2), 0)</f>
        <v/>
      </c>
    </row>
    <row r="144">
      <c r="E144">
        <f>IFERROR(=(Z144*KEEPA!$B$2 + AB144*KEEPA!$C$2 + AD144*KEEPA!$D$2) / (KEEPA!$B$2 + KEEPA!$C$2 + KEEPA!$D$2), 0)</f>
        <v/>
      </c>
    </row>
    <row r="145">
      <c r="E145">
        <f>IFERROR(=(Z145*KEEPA!$B$2 + AB145*KEEPA!$C$2 + AD145*KEEPA!$D$2) / (KEEPA!$B$2 + KEEPA!$C$2 + KEEPA!$D$2), 0)</f>
        <v/>
      </c>
    </row>
    <row r="146">
      <c r="E146">
        <f>IFERROR(=(Z146*KEEPA!$B$2 + AB146*KEEPA!$C$2 + AD146*KEEPA!$D$2) / (KEEPA!$B$2 + KEEPA!$C$2 + KEEPA!$D$2), 0)</f>
        <v/>
      </c>
    </row>
    <row r="147">
      <c r="E147">
        <f>IFERROR(=(Z147*KEEPA!$B$2 + AB147*KEEPA!$C$2 + AD147*KEEPA!$D$2) / (KEEPA!$B$2 + KEEPA!$C$2 + KEEPA!$D$2), 0)</f>
        <v/>
      </c>
    </row>
    <row r="148">
      <c r="E148">
        <f>IFERROR(=(Z148*KEEPA!$B$2 + AB148*KEEPA!$C$2 + AD148*KEEPA!$D$2) / (KEEPA!$B$2 + KEEPA!$C$2 + KEEPA!$D$2), 0)</f>
        <v/>
      </c>
    </row>
    <row r="149">
      <c r="E149">
        <f>IFERROR(=(Z149*KEEPA!$B$2 + AB149*KEEPA!$C$2 + AD149*KEEPA!$D$2) / (KEEPA!$B$2 + KEEPA!$C$2 + KEEPA!$D$2), 0)</f>
        <v/>
      </c>
    </row>
    <row r="150">
      <c r="E150">
        <f>IFERROR(=(Z150*KEEPA!$B$2 + AB150*KEEPA!$C$2 + AD150*KEEPA!$D$2) / (KEEPA!$B$2 + KEEPA!$C$2 + KEEPA!$D$2), 0)</f>
        <v/>
      </c>
    </row>
    <row r="151">
      <c r="E151">
        <f>IFERROR(=(Z151*KEEPA!$B$2 + AB151*KEEPA!$C$2 + AD151*KEEPA!$D$2) / (KEEPA!$B$2 + KEEPA!$C$2 + KEEPA!$D$2), 0)</f>
        <v/>
      </c>
    </row>
    <row r="152">
      <c r="E152">
        <f>IFERROR(=(Z152*KEEPA!$B$2 + AB152*KEEPA!$C$2 + AD152*KEEPA!$D$2) / (KEEPA!$B$2 + KEEPA!$C$2 + KEEPA!$D$2), 0)</f>
        <v/>
      </c>
    </row>
    <row r="153">
      <c r="E153">
        <f>IFERROR(=(Z153*KEEPA!$B$2 + AB153*KEEPA!$C$2 + AD153*KEEPA!$D$2) / (KEEPA!$B$2 + KEEPA!$C$2 + KEEPA!$D$2), 0)</f>
        <v/>
      </c>
    </row>
    <row r="154">
      <c r="E154">
        <f>IFERROR(=(Z154*KEEPA!$B$2 + AB154*KEEPA!$C$2 + AD154*KEEPA!$D$2) / (KEEPA!$B$2 + KEEPA!$C$2 + KEEPA!$D$2), 0)</f>
        <v/>
      </c>
    </row>
    <row r="155">
      <c r="E155">
        <f>IFERROR(=(Z155*KEEPA!$B$2 + AB155*KEEPA!$C$2 + AD155*KEEPA!$D$2) / (KEEPA!$B$2 + KEEPA!$C$2 + KEEPA!$D$2), 0)</f>
        <v/>
      </c>
    </row>
    <row r="156">
      <c r="E156">
        <f>IFERROR(=(Z156*KEEPA!$B$2 + AB156*KEEPA!$C$2 + AD156*KEEPA!$D$2) / (KEEPA!$B$2 + KEEPA!$C$2 + KEEPA!$D$2), 0)</f>
        <v/>
      </c>
    </row>
    <row r="157">
      <c r="E157">
        <f>IFERROR(=(Z157*KEEPA!$B$2 + AB157*KEEPA!$C$2 + AD157*KEEPA!$D$2) / (KEEPA!$B$2 + KEEPA!$C$2 + KEEPA!$D$2), 0)</f>
        <v/>
      </c>
    </row>
    <row r="158">
      <c r="E158">
        <f>IFERROR(=(Z158*KEEPA!$B$2 + AB158*KEEPA!$C$2 + AD158*KEEPA!$D$2) / (KEEPA!$B$2 + KEEPA!$C$2 + KEEPA!$D$2), 0)</f>
        <v/>
      </c>
    </row>
    <row r="159">
      <c r="E159">
        <f>IFERROR(=(Z159*KEEPA!$B$2 + AB159*KEEPA!$C$2 + AD159*KEEPA!$D$2) / (KEEPA!$B$2 + KEEPA!$C$2 + KEEPA!$D$2), 0)</f>
        <v/>
      </c>
    </row>
    <row r="160">
      <c r="E160">
        <f>IFERROR(=(Z160*KEEPA!$B$2 + AB160*KEEPA!$C$2 + AD160*KEEPA!$D$2) / (KEEPA!$B$2 + KEEPA!$C$2 + KEEPA!$D$2), 0)</f>
        <v/>
      </c>
    </row>
    <row r="161">
      <c r="E161">
        <f>IFERROR(=(Z161*KEEPA!$B$2 + AB161*KEEPA!$C$2 + AD161*KEEPA!$D$2) / (KEEPA!$B$2 + KEEPA!$C$2 + KEEPA!$D$2), 0)</f>
        <v/>
      </c>
    </row>
    <row r="162">
      <c r="E162">
        <f>IFERROR(=(Z162*KEEPA!$B$2 + AB162*KEEPA!$C$2 + AD162*KEEPA!$D$2) / (KEEPA!$B$2 + KEEPA!$C$2 + KEEPA!$D$2), 0)</f>
        <v/>
      </c>
    </row>
    <row r="163">
      <c r="E163">
        <f>IFERROR(=(Z163*KEEPA!$B$2 + AB163*KEEPA!$C$2 + AD163*KEEPA!$D$2) / (KEEPA!$B$2 + KEEPA!$C$2 + KEEPA!$D$2), 0)</f>
        <v/>
      </c>
    </row>
    <row r="164">
      <c r="E164">
        <f>IFERROR(=(Z164*KEEPA!$B$2 + AB164*KEEPA!$C$2 + AD164*KEEPA!$D$2) / (KEEPA!$B$2 + KEEPA!$C$2 + KEEPA!$D$2), 0)</f>
        <v/>
      </c>
    </row>
    <row r="165">
      <c r="E165">
        <f>IFERROR(=(Z165*KEEPA!$B$2 + AB165*KEEPA!$C$2 + AD165*KEEPA!$D$2) / (KEEPA!$B$2 + KEEPA!$C$2 + KEEPA!$D$2), 0)</f>
        <v/>
      </c>
    </row>
    <row r="166">
      <c r="E166">
        <f>IFERROR(=(Z166*KEEPA!$B$2 + AB166*KEEPA!$C$2 + AD166*KEEPA!$D$2) / (KEEPA!$B$2 + KEEPA!$C$2 + KEEPA!$D$2), 0)</f>
        <v/>
      </c>
    </row>
    <row r="167">
      <c r="E167">
        <f>IFERROR(=(Z167*KEEPA!$B$2 + AB167*KEEPA!$C$2 + AD167*KEEPA!$D$2) / (KEEPA!$B$2 + KEEPA!$C$2 + KEEPA!$D$2), 0)</f>
        <v/>
      </c>
    </row>
    <row r="168">
      <c r="E168">
        <f>IFERROR(=(Z168*KEEPA!$B$2 + AB168*KEEPA!$C$2 + AD168*KEEPA!$D$2) / (KEEPA!$B$2 + KEEPA!$C$2 + KEEPA!$D$2), 0)</f>
        <v/>
      </c>
    </row>
    <row r="169">
      <c r="E169">
        <f>IFERROR(=(Z169*KEEPA!$B$2 + AB169*KEEPA!$C$2 + AD169*KEEPA!$D$2) / (KEEPA!$B$2 + KEEPA!$C$2 + KEEPA!$D$2), 0)</f>
        <v/>
      </c>
    </row>
    <row r="170">
      <c r="E170">
        <f>IFERROR(=(Z170*KEEPA!$B$2 + AB170*KEEPA!$C$2 + AD170*KEEPA!$D$2) / (KEEPA!$B$2 + KEEPA!$C$2 + KEEPA!$D$2), 0)</f>
        <v/>
      </c>
    </row>
    <row r="171">
      <c r="E171">
        <f>IFERROR(=(Z171*KEEPA!$B$2 + AB171*KEEPA!$C$2 + AD171*KEEPA!$D$2) / (KEEPA!$B$2 + KEEPA!$C$2 + KEEPA!$D$2), 0)</f>
        <v/>
      </c>
    </row>
    <row r="172">
      <c r="E172">
        <f>IFERROR(=(Z172*KEEPA!$B$2 + AB172*KEEPA!$C$2 + AD172*KEEPA!$D$2) / (KEEPA!$B$2 + KEEPA!$C$2 + KEEPA!$D$2), 0)</f>
        <v/>
      </c>
    </row>
    <row r="173">
      <c r="E173">
        <f>IFERROR(=(Z173*KEEPA!$B$2 + AB173*KEEPA!$C$2 + AD173*KEEPA!$D$2) / (KEEPA!$B$2 + KEEPA!$C$2 + KEEPA!$D$2), 0)</f>
        <v/>
      </c>
    </row>
    <row r="174">
      <c r="E174">
        <f>IFERROR(=(Z174*KEEPA!$B$2 + AB174*KEEPA!$C$2 + AD174*KEEPA!$D$2) / (KEEPA!$B$2 + KEEPA!$C$2 + KEEPA!$D$2), 0)</f>
        <v/>
      </c>
    </row>
    <row r="175">
      <c r="E175">
        <f>IFERROR(=(Z175*KEEPA!$B$2 + AB175*KEEPA!$C$2 + AD175*KEEPA!$D$2) / (KEEPA!$B$2 + KEEPA!$C$2 + KEEPA!$D$2), 0)</f>
        <v/>
      </c>
    </row>
    <row r="176">
      <c r="E176">
        <f>IFERROR(=(Z176*KEEPA!$B$2 + AB176*KEEPA!$C$2 + AD176*KEEPA!$D$2) / (KEEPA!$B$2 + KEEPA!$C$2 + KEEPA!$D$2), 0)</f>
        <v/>
      </c>
    </row>
    <row r="177">
      <c r="E177">
        <f>IFERROR(=(Z177*KEEPA!$B$2 + AB177*KEEPA!$C$2 + AD177*KEEPA!$D$2) / (KEEPA!$B$2 + KEEPA!$C$2 + KEEPA!$D$2), 0)</f>
        <v/>
      </c>
    </row>
    <row r="178">
      <c r="E178">
        <f>IFERROR(=(Z178*KEEPA!$B$2 + AB178*KEEPA!$C$2 + AD178*KEEPA!$D$2) / (KEEPA!$B$2 + KEEPA!$C$2 + KEEPA!$D$2), 0)</f>
        <v/>
      </c>
    </row>
    <row r="179">
      <c r="E179">
        <f>IFERROR(=(Z179*KEEPA!$B$2 + AB179*KEEPA!$C$2 + AD179*KEEPA!$D$2) / (KEEPA!$B$2 + KEEPA!$C$2 + KEEPA!$D$2), 0)</f>
        <v/>
      </c>
    </row>
    <row r="180">
      <c r="E180">
        <f>IFERROR(=(Z180*KEEPA!$B$2 + AB180*KEEPA!$C$2 + AD180*KEEPA!$D$2) / (KEEPA!$B$2 + KEEPA!$C$2 + KEEPA!$D$2), 0)</f>
        <v/>
      </c>
    </row>
    <row r="181">
      <c r="E181">
        <f>IFERROR(=(Z181*KEEPA!$B$2 + AB181*KEEPA!$C$2 + AD181*KEEPA!$D$2) / (KEEPA!$B$2 + KEEPA!$C$2 + KEEPA!$D$2), 0)</f>
        <v/>
      </c>
    </row>
    <row r="182">
      <c r="E182">
        <f>IFERROR(=(Z182*KEEPA!$B$2 + AB182*KEEPA!$C$2 + AD182*KEEPA!$D$2) / (KEEPA!$B$2 + KEEPA!$C$2 + KEEPA!$D$2), 0)</f>
        <v/>
      </c>
    </row>
    <row r="183">
      <c r="E183">
        <f>IFERROR(=(Z183*KEEPA!$B$2 + AB183*KEEPA!$C$2 + AD183*KEEPA!$D$2) / (KEEPA!$B$2 + KEEPA!$C$2 + KEEPA!$D$2), 0)</f>
        <v/>
      </c>
    </row>
    <row r="184">
      <c r="E184">
        <f>IFERROR(=(Z184*KEEPA!$B$2 + AB184*KEEPA!$C$2 + AD184*KEEPA!$D$2) / (KEEPA!$B$2 + KEEPA!$C$2 + KEEPA!$D$2), 0)</f>
        <v/>
      </c>
    </row>
    <row r="185">
      <c r="E185">
        <f>IFERROR(=(Z185*KEEPA!$B$2 + AB185*KEEPA!$C$2 + AD185*KEEPA!$D$2) / (KEEPA!$B$2 + KEEPA!$C$2 + KEEPA!$D$2), 0)</f>
        <v/>
      </c>
    </row>
    <row r="186">
      <c r="E186">
        <f>IFERROR(=(Z186*KEEPA!$B$2 + AB186*KEEPA!$C$2 + AD186*KEEPA!$D$2) / (KEEPA!$B$2 + KEEPA!$C$2 + KEEPA!$D$2), 0)</f>
        <v/>
      </c>
    </row>
    <row r="187">
      <c r="E187">
        <f>IFERROR(=(Z187*KEEPA!$B$2 + AB187*KEEPA!$C$2 + AD187*KEEPA!$D$2) / (KEEPA!$B$2 + KEEPA!$C$2 + KEEPA!$D$2), 0)</f>
        <v/>
      </c>
    </row>
    <row r="188">
      <c r="E188">
        <f>IFERROR(=(Z188*KEEPA!$B$2 + AB188*KEEPA!$C$2 + AD188*KEEPA!$D$2) / (KEEPA!$B$2 + KEEPA!$C$2 + KEEPA!$D$2), 0)</f>
        <v/>
      </c>
    </row>
    <row r="189">
      <c r="E189">
        <f>IFERROR(=(Z189*KEEPA!$B$2 + AB189*KEEPA!$C$2 + AD189*KEEPA!$D$2) / (KEEPA!$B$2 + KEEPA!$C$2 + KEEPA!$D$2), 0)</f>
        <v/>
      </c>
    </row>
    <row r="190">
      <c r="E190">
        <f>IFERROR(=(Z190*KEEPA!$B$2 + AB190*KEEPA!$C$2 + AD190*KEEPA!$D$2) / (KEEPA!$B$2 + KEEPA!$C$2 + KEEPA!$D$2), 0)</f>
        <v/>
      </c>
    </row>
    <row r="191">
      <c r="E191">
        <f>IFERROR(=(Z191*KEEPA!$B$2 + AB191*KEEPA!$C$2 + AD191*KEEPA!$D$2) / (KEEPA!$B$2 + KEEPA!$C$2 + KEEPA!$D$2), 0)</f>
        <v/>
      </c>
    </row>
    <row r="192">
      <c r="E192">
        <f>IFERROR(=(Z192*KEEPA!$B$2 + AB192*KEEPA!$C$2 + AD192*KEEPA!$D$2) / (KEEPA!$B$2 + KEEPA!$C$2 + KEEPA!$D$2), 0)</f>
        <v/>
      </c>
    </row>
    <row r="193">
      <c r="E193">
        <f>IFERROR(=(Z193*KEEPA!$B$2 + AB193*KEEPA!$C$2 + AD193*KEEPA!$D$2) / (KEEPA!$B$2 + KEEPA!$C$2 + KEEPA!$D$2), 0)</f>
        <v/>
      </c>
    </row>
    <row r="194">
      <c r="E194">
        <f>IFERROR(=(Z194*KEEPA!$B$2 + AB194*KEEPA!$C$2 + AD194*KEEPA!$D$2) / (KEEPA!$B$2 + KEEPA!$C$2 + KEEPA!$D$2), 0)</f>
        <v/>
      </c>
    </row>
    <row r="195">
      <c r="E195">
        <f>IFERROR(=(Z195*KEEPA!$B$2 + AB195*KEEPA!$C$2 + AD195*KEEPA!$D$2) / (KEEPA!$B$2 + KEEPA!$C$2 + KEEPA!$D$2), 0)</f>
        <v/>
      </c>
    </row>
    <row r="196">
      <c r="E196">
        <f>IFERROR(=(Z196*KEEPA!$B$2 + AB196*KEEPA!$C$2 + AD196*KEEPA!$D$2) / (KEEPA!$B$2 + KEEPA!$C$2 + KEEPA!$D$2), 0)</f>
        <v/>
      </c>
    </row>
    <row r="197">
      <c r="E197">
        <f>IFERROR(=(Z197*KEEPA!$B$2 + AB197*KEEPA!$C$2 + AD197*KEEPA!$D$2) / (KEEPA!$B$2 + KEEPA!$C$2 + KEEPA!$D$2), 0)</f>
        <v/>
      </c>
    </row>
    <row r="198">
      <c r="E198">
        <f>IFERROR(=(Z198*KEEPA!$B$2 + AB198*KEEPA!$C$2 + AD198*KEEPA!$D$2) / (KEEPA!$B$2 + KEEPA!$C$2 + KEEPA!$D$2), 0)</f>
        <v/>
      </c>
    </row>
    <row r="199">
      <c r="E199">
        <f>IFERROR(=(Z199*KEEPA!$B$2 + AB199*KEEPA!$C$2 + AD199*KEEPA!$D$2) / (KEEPA!$B$2 + KEEPA!$C$2 + KEEPA!$D$2), 0)</f>
        <v/>
      </c>
    </row>
    <row r="200">
      <c r="E200">
        <f>IFERROR(=(Z200*KEEPA!$B$2 + AB200*KEEPA!$C$2 + AD200*KEEPA!$D$2) / (KEEPA!$B$2 + KEEPA!$C$2 + KEEPA!$D$2), 0)</f>
        <v/>
      </c>
    </row>
    <row r="201">
      <c r="E201">
        <f>IFERROR(=(Z201*KEEPA!$B$2 + AB201*KEEPA!$C$2 + AD201*KEEPA!$D$2) / (KEEPA!$B$2 + KEEPA!$C$2 + KEEPA!$D$2), 0)</f>
        <v/>
      </c>
    </row>
    <row r="202">
      <c r="E202">
        <f>IFERROR(=(Z202*KEEPA!$B$2 + AB202*KEEPA!$C$2 + AD202*KEEPA!$D$2) / (KEEPA!$B$2 + KEEPA!$C$2 + KEEPA!$D$2), 0)</f>
        <v/>
      </c>
    </row>
    <row r="203">
      <c r="E203">
        <f>IFERROR(=(Z203*KEEPA!$B$2 + AB203*KEEPA!$C$2 + AD203*KEEPA!$D$2) / (KEEPA!$B$2 + KEEPA!$C$2 + KEEPA!$D$2),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Image</t>
        </is>
      </c>
      <c r="B1" s="5" t="inlineStr">
        <is>
          <t>Name</t>
        </is>
      </c>
      <c r="C1" s="5" t="inlineStr">
        <is>
          <t>SKU</t>
        </is>
      </c>
      <c r="D1" s="5" t="inlineStr">
        <is>
          <t>Barcode</t>
        </is>
      </c>
      <c r="E1" s="5" t="inlineStr">
        <is>
          <t>Cost Price</t>
        </is>
      </c>
      <c r="F1" s="5" t="inlineStr">
        <is>
          <t>Price</t>
        </is>
      </c>
      <c r="G1" s="5" t="inlineStr">
        <is>
          <t>Replenishment</t>
        </is>
      </c>
      <c r="H1" s="5" t="inlineStr">
        <is>
          <t>To Order</t>
        </is>
      </c>
      <c r="I1" s="5" t="inlineStr">
        <is>
          <t>Stock</t>
        </is>
      </c>
      <c r="J1" s="5" t="inlineStr">
        <is>
          <t>On Order</t>
        </is>
      </c>
      <c r="K1" s="5" t="inlineStr">
        <is>
          <t>Sales</t>
        </is>
      </c>
      <c r="L1" s="5" t="inlineStr">
        <is>
          <t>Adjusted Sales Velocity/mo</t>
        </is>
      </c>
      <c r="M1" s="5" t="inlineStr">
        <is>
          <t>Lead Time</t>
        </is>
      </c>
      <c r="N1" s="5" t="inlineStr">
        <is>
          <t>Days of Stock</t>
        </is>
      </c>
      <c r="O1" s="5" t="inlineStr">
        <is>
          <t>Vendors</t>
        </is>
      </c>
      <c r="P1" s="5" t="inlineStr">
        <is>
          <t>Brand</t>
        </is>
      </c>
      <c r="Q1" s="5" t="inlineStr">
        <is>
          <t>AVG Retail Price</t>
        </is>
      </c>
      <c r="R1" s="5" t="inlineStr">
        <is>
          <t>Replenishable</t>
        </is>
      </c>
      <c r="S1" s="5" t="inlineStr">
        <is>
          <t>In Buy Sheet?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2026-01-05T14:52:12Z</dcterms:created>
  <dcterms:modified xsi:type="dcterms:W3CDTF">2026-01-05T14:52:12Z</dcterms:modified>
</cp:coreProperties>
</file>