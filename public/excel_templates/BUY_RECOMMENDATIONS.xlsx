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Y" sheetId="1" state="visible" r:id="rId1"/>
    <sheet name="RESEARCH" sheetId="2" state="visible" r:id="rId2"/>
    <sheet name="ORDER" sheetId="3" state="visible" r:id="rId3"/>
    <sheet name="KEEPA" sheetId="4" state="visible" r:id="rId4"/>
    <sheet name="IP Q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D966"/>
        <b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ASIN</t>
        </is>
      </c>
      <c r="B1" s="1" t="inlineStr">
        <is>
          <t>AMZ Title</t>
        </is>
      </c>
      <c r="C1" s="1" t="inlineStr">
        <is>
          <t>Est. Qty</t>
        </is>
      </c>
      <c r="D1" s="1" t="inlineStr">
        <is>
          <t>Sell Price</t>
        </is>
      </c>
      <c r="E1" s="1" t="inlineStr">
        <is>
          <t>Current BSR</t>
        </is>
      </c>
      <c r="F1" s="1" t="inlineStr">
        <is>
          <t>Profit</t>
        </is>
      </c>
      <c r="G1" s="1" t="inlineStr">
        <is>
          <t>ROI</t>
        </is>
      </c>
      <c r="H1" s="1" t="inlineStr">
        <is>
          <t>Sales Opp.</t>
        </is>
      </c>
      <c r="I1" s="1" t="inlineStr">
        <is>
          <t>Suggested Pk</t>
        </is>
      </c>
      <c r="J1" s="1" t="inlineStr">
        <is>
          <t>Pack Qty</t>
        </is>
      </c>
      <c r="K1" s="1" t="inlineStr">
        <is>
          <t>Odr Qty (Pk)</t>
        </is>
      </c>
      <c r="L1" s="1" t="inlineStr">
        <is>
          <t>Item Code</t>
        </is>
      </c>
      <c r="M1" s="1" t="inlineStr">
        <is>
          <t>Description</t>
        </is>
      </c>
      <c r="N1" s="1" t="inlineStr">
        <is>
          <t>Cost</t>
        </is>
      </c>
      <c r="O1" s="1" t="inlineStr">
        <is>
          <t>Order Qty (Unit)</t>
        </is>
      </c>
      <c r="P1" s="1" t="inlineStr">
        <is>
          <t>Order Amount</t>
        </is>
      </c>
      <c r="Q1" s="1" t="inlineStr">
        <is>
          <t>Var Weight</t>
        </is>
      </c>
      <c r="R1" s="1" t="inlineStr">
        <is>
          <t>Case Pack</t>
        </is>
      </c>
      <c r="S1" s="1" t="inlineStr">
        <is>
          <t>Offers 90d</t>
        </is>
      </c>
      <c r="T1" s="1" t="inlineStr">
        <is>
          <t>ROI/Profit</t>
        </is>
      </c>
      <c r="U1" s="1" t="inlineStr">
        <is>
          <t>Visible</t>
        </is>
      </c>
      <c r="V1" s="1" t="inlineStr">
        <is>
          <t>Var. Opp.</t>
        </is>
      </c>
      <c r="W1" s="1" t="inlineStr">
        <is>
          <t>Use Qty</t>
        </is>
      </c>
      <c r="X1" s="1" t="inlineStr">
        <is>
          <t>BSR 30 Avg</t>
        </is>
      </c>
      <c r="Y1" s="1" t="inlineStr">
        <is>
          <t>% Chng30</t>
        </is>
      </c>
      <c r="Z1" s="1" t="inlineStr">
        <is>
          <t>BSR 90 Avg</t>
        </is>
      </c>
      <c r="AA1" s="1" t="inlineStr">
        <is>
          <t>% Chng90</t>
        </is>
      </c>
      <c r="AB1" s="1" t="inlineStr">
        <is>
          <t>Avail. Qty</t>
        </is>
      </c>
      <c r="AC1" s="1" t="inlineStr">
        <is>
          <t>AMZ Boss</t>
        </is>
      </c>
      <c r="AD1" s="1" t="inlineStr">
        <is>
          <t>AMZ OOS</t>
        </is>
      </c>
      <c r="AE1" s="1" t="inlineStr">
        <is>
          <t>Bbox OOS</t>
        </is>
      </c>
      <c r="AF1" s="1" t="inlineStr">
        <is>
          <t>Brand</t>
        </is>
      </c>
      <c r="AG1" s="1" t="inlineStr">
        <is>
          <t>Keepa Link</t>
        </is>
      </c>
      <c r="AH1" s="1" t="inlineStr">
        <is>
          <t>AMZ Product Page</t>
        </is>
      </c>
      <c r="AI1" s="1" t="inlineStr">
        <is>
          <t>Check Gated in SC</t>
        </is>
      </c>
      <c r="AJ1" s="1" t="inlineStr">
        <is>
          <t>Extra1</t>
        </is>
      </c>
      <c r="AK1" s="1" t="inlineStr">
        <is>
          <t>Extra2</t>
        </is>
      </c>
      <c r="AL1" s="1" t="inlineStr">
        <is>
          <t>Extra3</t>
        </is>
      </c>
    </row>
    <row r="2">
      <c r="F2">
        <f>D2-N2</f>
        <v/>
      </c>
      <c r="G2">
        <f>IF(N2=0,0,F2/N2)</f>
        <v/>
      </c>
      <c r="L2">
        <f>IF(Y2=0,0,Z2/Y2)</f>
        <v/>
      </c>
      <c r="O2">
        <f>MAX(0,(30*Y2)-P2)</f>
        <v/>
      </c>
      <c r="X2">
        <f>MAX([@[BSR 30 Avg]],C2)</f>
        <v/>
      </c>
      <c r="Y2">
        <f>IF(C2=0,0,(C2-X2)/C2)</f>
        <v/>
      </c>
      <c r="Z2">
        <f>MAX([@[BSR 90 Avg]],C2)</f>
        <v/>
      </c>
      <c r="AA2">
        <f>IF(C2=0,0,(C2-Z2)/C2)</f>
        <v/>
      </c>
      <c r="AB2">
        <f>IF(D2=0,0,F2/D2)</f>
        <v/>
      </c>
    </row>
    <row r="3">
      <c r="F3">
        <f>D3-N3</f>
        <v/>
      </c>
      <c r="G3">
        <f>IF(N3=0,0,F3/N3)</f>
        <v/>
      </c>
      <c r="L3">
        <f>IF(Y3=0,0,Z3/Y3)</f>
        <v/>
      </c>
      <c r="O3">
        <f>MAX(0,(30*Y3)-P3)</f>
        <v/>
      </c>
      <c r="X3">
        <f>MAX([@[BSR 30 Avg]],C3)</f>
        <v/>
      </c>
      <c r="Y3">
        <f>IF(C3=0,0,(C3-X3)/C3)</f>
        <v/>
      </c>
      <c r="Z3">
        <f>MAX([@[BSR 90 Avg]],C3)</f>
        <v/>
      </c>
      <c r="AA3">
        <f>IF(C3=0,0,(C3-Z3)/C3)</f>
        <v/>
      </c>
      <c r="AB3">
        <f>IF(D3=0,0,F3/D3)</f>
        <v/>
      </c>
    </row>
    <row r="4">
      <c r="F4">
        <f>D4-N4</f>
        <v/>
      </c>
      <c r="G4">
        <f>IF(N4=0,0,F4/N4)</f>
        <v/>
      </c>
      <c r="L4">
        <f>IF(Y4=0,0,Z4/Y4)</f>
        <v/>
      </c>
      <c r="O4">
        <f>MAX(0,(30*Y4)-P4)</f>
        <v/>
      </c>
      <c r="X4">
        <f>MAX([@[BSR 30 Avg]],C4)</f>
        <v/>
      </c>
      <c r="Y4">
        <f>IF(C4=0,0,(C4-X4)/C4)</f>
        <v/>
      </c>
      <c r="Z4">
        <f>MAX([@[BSR 90 Avg]],C4)</f>
        <v/>
      </c>
      <c r="AA4">
        <f>IF(C4=0,0,(C4-Z4)/C4)</f>
        <v/>
      </c>
      <c r="AB4">
        <f>IF(D4=0,0,F4/D4)</f>
        <v/>
      </c>
    </row>
    <row r="5">
      <c r="F5">
        <f>D5-N5</f>
        <v/>
      </c>
      <c r="G5">
        <f>IF(N5=0,0,F5/N5)</f>
        <v/>
      </c>
      <c r="L5">
        <f>IF(Y5=0,0,Z5/Y5)</f>
        <v/>
      </c>
      <c r="O5">
        <f>MAX(0,(30*Y5)-P5)</f>
        <v/>
      </c>
      <c r="X5">
        <f>MAX([@[BSR 30 Avg]],C5)</f>
        <v/>
      </c>
      <c r="Y5">
        <f>IF(C5=0,0,(C5-X5)/C5)</f>
        <v/>
      </c>
      <c r="Z5">
        <f>MAX([@[BSR 90 Avg]],C5)</f>
        <v/>
      </c>
      <c r="AA5">
        <f>IF(C5=0,0,(C5-Z5)/C5)</f>
        <v/>
      </c>
      <c r="AB5">
        <f>IF(D5=0,0,F5/D5)</f>
        <v/>
      </c>
    </row>
    <row r="6">
      <c r="F6">
        <f>D6-N6</f>
        <v/>
      </c>
      <c r="G6">
        <f>IF(N6=0,0,F6/N6)</f>
        <v/>
      </c>
      <c r="L6">
        <f>IF(Y6=0,0,Z6/Y6)</f>
        <v/>
      </c>
      <c r="O6">
        <f>MAX(0,(30*Y6)-P6)</f>
        <v/>
      </c>
      <c r="X6">
        <f>MAX([@[BSR 30 Avg]],C6)</f>
        <v/>
      </c>
      <c r="Y6">
        <f>IF(C6=0,0,(C6-X6)/C6)</f>
        <v/>
      </c>
      <c r="Z6">
        <f>MAX([@[BSR 90 Avg]],C6)</f>
        <v/>
      </c>
      <c r="AA6">
        <f>IF(C6=0,0,(C6-Z6)/C6)</f>
        <v/>
      </c>
      <c r="AB6">
        <f>IF(D6=0,0,F6/D6)</f>
        <v/>
      </c>
    </row>
    <row r="7">
      <c r="F7">
        <f>D7-N7</f>
        <v/>
      </c>
      <c r="G7">
        <f>IF(N7=0,0,F7/N7)</f>
        <v/>
      </c>
      <c r="L7">
        <f>IF(Y7=0,0,Z7/Y7)</f>
        <v/>
      </c>
      <c r="O7">
        <f>MAX(0,(30*Y7)-P7)</f>
        <v/>
      </c>
      <c r="X7">
        <f>MAX([@[BSR 30 Avg]],C7)</f>
        <v/>
      </c>
      <c r="Y7">
        <f>IF(C7=0,0,(C7-X7)/C7)</f>
        <v/>
      </c>
      <c r="Z7">
        <f>MAX([@[BSR 90 Avg]],C7)</f>
        <v/>
      </c>
      <c r="AA7">
        <f>IF(C7=0,0,(C7-Z7)/C7)</f>
        <v/>
      </c>
      <c r="AB7">
        <f>IF(D7=0,0,F7/D7)</f>
        <v/>
      </c>
    </row>
    <row r="8">
      <c r="F8">
        <f>D8-N8</f>
        <v/>
      </c>
      <c r="G8">
        <f>IF(N8=0,0,F8/N8)</f>
        <v/>
      </c>
      <c r="L8">
        <f>IF(Y8=0,0,Z8/Y8)</f>
        <v/>
      </c>
      <c r="O8">
        <f>MAX(0,(30*Y8)-P8)</f>
        <v/>
      </c>
      <c r="X8">
        <f>MAX([@[BSR 30 Avg]],C8)</f>
        <v/>
      </c>
      <c r="Y8">
        <f>IF(C8=0,0,(C8-X8)/C8)</f>
        <v/>
      </c>
      <c r="Z8">
        <f>MAX([@[BSR 90 Avg]],C8)</f>
        <v/>
      </c>
      <c r="AA8">
        <f>IF(C8=0,0,(C8-Z8)/C8)</f>
        <v/>
      </c>
      <c r="AB8">
        <f>IF(D8=0,0,F8/D8)</f>
        <v/>
      </c>
    </row>
    <row r="9">
      <c r="F9">
        <f>D9-N9</f>
        <v/>
      </c>
      <c r="G9">
        <f>IF(N9=0,0,F9/N9)</f>
        <v/>
      </c>
      <c r="L9">
        <f>IF(Y9=0,0,Z9/Y9)</f>
        <v/>
      </c>
      <c r="O9">
        <f>MAX(0,(30*Y9)-P9)</f>
        <v/>
      </c>
      <c r="X9">
        <f>MAX([@[BSR 30 Avg]],C9)</f>
        <v/>
      </c>
      <c r="Y9">
        <f>IF(C9=0,0,(C9-X9)/C9)</f>
        <v/>
      </c>
      <c r="Z9">
        <f>MAX([@[BSR 90 Avg]],C9)</f>
        <v/>
      </c>
      <c r="AA9">
        <f>IF(C9=0,0,(C9-Z9)/C9)</f>
        <v/>
      </c>
      <c r="AB9">
        <f>IF(D9=0,0,F9/D9)</f>
        <v/>
      </c>
    </row>
    <row r="10">
      <c r="F10">
        <f>D10-N10</f>
        <v/>
      </c>
      <c r="G10">
        <f>IF(N10=0,0,F10/N10)</f>
        <v/>
      </c>
      <c r="L10">
        <f>IF(Y10=0,0,Z10/Y10)</f>
        <v/>
      </c>
      <c r="O10">
        <f>MAX(0,(30*Y10)-P10)</f>
        <v/>
      </c>
      <c r="X10">
        <f>MAX([@[BSR 30 Avg]],C10)</f>
        <v/>
      </c>
      <c r="Y10">
        <f>IF(C10=0,0,(C10-X10)/C10)</f>
        <v/>
      </c>
      <c r="Z10">
        <f>MAX([@[BSR 90 Avg]],C10)</f>
        <v/>
      </c>
      <c r="AA10">
        <f>IF(C10=0,0,(C10-Z10)/C10)</f>
        <v/>
      </c>
      <c r="AB10">
        <f>IF(D10=0,0,F10/D10)</f>
        <v/>
      </c>
    </row>
    <row r="11">
      <c r="F11">
        <f>D11-N11</f>
        <v/>
      </c>
      <c r="G11">
        <f>IF(N11=0,0,F11/N11)</f>
        <v/>
      </c>
      <c r="L11">
        <f>IF(Y11=0,0,Z11/Y11)</f>
        <v/>
      </c>
      <c r="O11">
        <f>MAX(0,(30*Y11)-P11)</f>
        <v/>
      </c>
      <c r="X11">
        <f>MAX([@[BSR 30 Avg]],C11)</f>
        <v/>
      </c>
      <c r="Y11">
        <f>IF(C11=0,0,(C11-X11)/C11)</f>
        <v/>
      </c>
      <c r="Z11">
        <f>MAX([@[BSR 90 Avg]],C11)</f>
        <v/>
      </c>
      <c r="AA11">
        <f>IF(C11=0,0,(C11-Z11)/C11)</f>
        <v/>
      </c>
      <c r="AB11">
        <f>IF(D11=0,0,F11/D11)</f>
        <v/>
      </c>
    </row>
    <row r="12">
      <c r="F12">
        <f>D12-N12</f>
        <v/>
      </c>
      <c r="G12">
        <f>IF(N12=0,0,F12/N12)</f>
        <v/>
      </c>
      <c r="L12">
        <f>IF(Y12=0,0,Z12/Y12)</f>
        <v/>
      </c>
      <c r="O12">
        <f>MAX(0,(30*Y12)-P12)</f>
        <v/>
      </c>
      <c r="X12">
        <f>MAX([@[BSR 30 Avg]],C12)</f>
        <v/>
      </c>
      <c r="Y12">
        <f>IF(C12=0,0,(C12-X12)/C12)</f>
        <v/>
      </c>
      <c r="Z12">
        <f>MAX([@[BSR 90 Avg]],C12)</f>
        <v/>
      </c>
      <c r="AA12">
        <f>IF(C12=0,0,(C12-Z12)/C12)</f>
        <v/>
      </c>
      <c r="AB12">
        <f>IF(D12=0,0,F12/D12)</f>
        <v/>
      </c>
    </row>
    <row r="13">
      <c r="F13">
        <f>D13-N13</f>
        <v/>
      </c>
      <c r="G13">
        <f>IF(N13=0,0,F13/N13)</f>
        <v/>
      </c>
      <c r="L13">
        <f>IF(Y13=0,0,Z13/Y13)</f>
        <v/>
      </c>
      <c r="O13">
        <f>MAX(0,(30*Y13)-P13)</f>
        <v/>
      </c>
      <c r="X13">
        <f>MAX([@[BSR 30 Avg]],C13)</f>
        <v/>
      </c>
      <c r="Y13">
        <f>IF(C13=0,0,(C13-X13)/C13)</f>
        <v/>
      </c>
      <c r="Z13">
        <f>MAX([@[BSR 90 Avg]],C13)</f>
        <v/>
      </c>
      <c r="AA13">
        <f>IF(C13=0,0,(C13-Z13)/C13)</f>
        <v/>
      </c>
      <c r="AB13">
        <f>IF(D13=0,0,F13/D13)</f>
        <v/>
      </c>
    </row>
    <row r="14">
      <c r="F14">
        <f>D14-N14</f>
        <v/>
      </c>
      <c r="G14">
        <f>IF(N14=0,0,F14/N14)</f>
        <v/>
      </c>
      <c r="L14">
        <f>IF(Y14=0,0,Z14/Y14)</f>
        <v/>
      </c>
      <c r="O14">
        <f>MAX(0,(30*Y14)-P14)</f>
        <v/>
      </c>
      <c r="X14">
        <f>MAX([@[BSR 30 Avg]],C14)</f>
        <v/>
      </c>
      <c r="Y14">
        <f>IF(C14=0,0,(C14-X14)/C14)</f>
        <v/>
      </c>
      <c r="Z14">
        <f>MAX([@[BSR 90 Avg]],C14)</f>
        <v/>
      </c>
      <c r="AA14">
        <f>IF(C14=0,0,(C14-Z14)/C14)</f>
        <v/>
      </c>
      <c r="AB14">
        <f>IF(D14=0,0,F14/D14)</f>
        <v/>
      </c>
    </row>
    <row r="15">
      <c r="F15">
        <f>D15-N15</f>
        <v/>
      </c>
      <c r="G15">
        <f>IF(N15=0,0,F15/N15)</f>
        <v/>
      </c>
      <c r="L15">
        <f>IF(Y15=0,0,Z15/Y15)</f>
        <v/>
      </c>
      <c r="O15">
        <f>MAX(0,(30*Y15)-P15)</f>
        <v/>
      </c>
      <c r="X15">
        <f>MAX([@[BSR 30 Avg]],C15)</f>
        <v/>
      </c>
      <c r="Y15">
        <f>IF(C15=0,0,(C15-X15)/C15)</f>
        <v/>
      </c>
      <c r="Z15">
        <f>MAX([@[BSR 90 Avg]],C15)</f>
        <v/>
      </c>
      <c r="AA15">
        <f>IF(C15=0,0,(C15-Z15)/C15)</f>
        <v/>
      </c>
      <c r="AB15">
        <f>IF(D15=0,0,F15/D15)</f>
        <v/>
      </c>
    </row>
    <row r="16">
      <c r="F16">
        <f>D16-N16</f>
        <v/>
      </c>
      <c r="G16">
        <f>IF(N16=0,0,F16/N16)</f>
        <v/>
      </c>
      <c r="L16">
        <f>IF(Y16=0,0,Z16/Y16)</f>
        <v/>
      </c>
      <c r="O16">
        <f>MAX(0,(30*Y16)-P16)</f>
        <v/>
      </c>
      <c r="X16">
        <f>MAX([@[BSR 30 Avg]],C16)</f>
        <v/>
      </c>
      <c r="Y16">
        <f>IF(C16=0,0,(C16-X16)/C16)</f>
        <v/>
      </c>
      <c r="Z16">
        <f>MAX([@[BSR 90 Avg]],C16)</f>
        <v/>
      </c>
      <c r="AA16">
        <f>IF(C16=0,0,(C16-Z16)/C16)</f>
        <v/>
      </c>
      <c r="AB16">
        <f>IF(D16=0,0,F16/D16)</f>
        <v/>
      </c>
    </row>
    <row r="17">
      <c r="F17">
        <f>D17-N17</f>
        <v/>
      </c>
      <c r="G17">
        <f>IF(N17=0,0,F17/N17)</f>
        <v/>
      </c>
      <c r="L17">
        <f>IF(Y17=0,0,Z17/Y17)</f>
        <v/>
      </c>
      <c r="O17">
        <f>MAX(0,(30*Y17)-P17)</f>
        <v/>
      </c>
      <c r="X17">
        <f>MAX([@[BSR 30 Avg]],C17)</f>
        <v/>
      </c>
      <c r="Y17">
        <f>IF(C17=0,0,(C17-X17)/C17)</f>
        <v/>
      </c>
      <c r="Z17">
        <f>MAX([@[BSR 90 Avg]],C17)</f>
        <v/>
      </c>
      <c r="AA17">
        <f>IF(C17=0,0,(C17-Z17)/C17)</f>
        <v/>
      </c>
      <c r="AB17">
        <f>IF(D17=0,0,F17/D17)</f>
        <v/>
      </c>
    </row>
    <row r="18">
      <c r="F18">
        <f>D18-N18</f>
        <v/>
      </c>
      <c r="G18">
        <f>IF(N18=0,0,F18/N18)</f>
        <v/>
      </c>
      <c r="L18">
        <f>IF(Y18=0,0,Z18/Y18)</f>
        <v/>
      </c>
      <c r="O18">
        <f>MAX(0,(30*Y18)-P18)</f>
        <v/>
      </c>
      <c r="X18">
        <f>MAX([@[BSR 30 Avg]],C18)</f>
        <v/>
      </c>
      <c r="Y18">
        <f>IF(C18=0,0,(C18-X18)/C18)</f>
        <v/>
      </c>
      <c r="Z18">
        <f>MAX([@[BSR 90 Avg]],C18)</f>
        <v/>
      </c>
      <c r="AA18">
        <f>IF(C18=0,0,(C18-Z18)/C18)</f>
        <v/>
      </c>
      <c r="AB18">
        <f>IF(D18=0,0,F18/D18)</f>
        <v/>
      </c>
    </row>
    <row r="19">
      <c r="F19">
        <f>D19-N19</f>
        <v/>
      </c>
      <c r="G19">
        <f>IF(N19=0,0,F19/N19)</f>
        <v/>
      </c>
      <c r="L19">
        <f>IF(Y19=0,0,Z19/Y19)</f>
        <v/>
      </c>
      <c r="O19">
        <f>MAX(0,(30*Y19)-P19)</f>
        <v/>
      </c>
      <c r="X19">
        <f>MAX([@[BSR 30 Avg]],C19)</f>
        <v/>
      </c>
      <c r="Y19">
        <f>IF(C19=0,0,(C19-X19)/C19)</f>
        <v/>
      </c>
      <c r="Z19">
        <f>MAX([@[BSR 90 Avg]],C19)</f>
        <v/>
      </c>
      <c r="AA19">
        <f>IF(C19=0,0,(C19-Z19)/C19)</f>
        <v/>
      </c>
      <c r="AB19">
        <f>IF(D19=0,0,F19/D19)</f>
        <v/>
      </c>
    </row>
    <row r="20">
      <c r="F20">
        <f>D20-N20</f>
        <v/>
      </c>
      <c r="G20">
        <f>IF(N20=0,0,F20/N20)</f>
        <v/>
      </c>
      <c r="L20">
        <f>IF(Y20=0,0,Z20/Y20)</f>
        <v/>
      </c>
      <c r="O20">
        <f>MAX(0,(30*Y20)-P20)</f>
        <v/>
      </c>
      <c r="X20">
        <f>MAX([@[BSR 30 Avg]],C20)</f>
        <v/>
      </c>
      <c r="Y20">
        <f>IF(C20=0,0,(C20-X20)/C20)</f>
        <v/>
      </c>
      <c r="Z20">
        <f>MAX([@[BSR 90 Avg]],C20)</f>
        <v/>
      </c>
      <c r="AA20">
        <f>IF(C20=0,0,(C20-Z20)/C20)</f>
        <v/>
      </c>
      <c r="AB20">
        <f>IF(D20=0,0,F20/D20)</f>
        <v/>
      </c>
    </row>
    <row r="21">
      <c r="F21">
        <f>D21-N21</f>
        <v/>
      </c>
      <c r="G21">
        <f>IF(N21=0,0,F21/N21)</f>
        <v/>
      </c>
      <c r="L21">
        <f>IF(Y21=0,0,Z21/Y21)</f>
        <v/>
      </c>
      <c r="O21">
        <f>MAX(0,(30*Y21)-P21)</f>
        <v/>
      </c>
      <c r="X21">
        <f>MAX([@[BSR 30 Avg]],C21)</f>
        <v/>
      </c>
      <c r="Y21">
        <f>IF(C21=0,0,(C21-X21)/C21)</f>
        <v/>
      </c>
      <c r="Z21">
        <f>MAX([@[BSR 90 Avg]],C21)</f>
        <v/>
      </c>
      <c r="AA21">
        <f>IF(C21=0,0,(C21-Z21)/C21)</f>
        <v/>
      </c>
      <c r="AB21">
        <f>IF(D21=0,0,F21/D21)</f>
        <v/>
      </c>
    </row>
    <row r="22">
      <c r="F22">
        <f>D22-N22</f>
        <v/>
      </c>
      <c r="G22">
        <f>IF(N22=0,0,F22/N22)</f>
        <v/>
      </c>
      <c r="L22">
        <f>IF(Y22=0,0,Z22/Y22)</f>
        <v/>
      </c>
      <c r="O22">
        <f>MAX(0,(30*Y22)-P22)</f>
        <v/>
      </c>
      <c r="X22">
        <f>MAX([@[BSR 30 Avg]],C22)</f>
        <v/>
      </c>
      <c r="Y22">
        <f>IF(C22=0,0,(C22-X22)/C22)</f>
        <v/>
      </c>
      <c r="Z22">
        <f>MAX([@[BSR 90 Avg]],C22)</f>
        <v/>
      </c>
      <c r="AA22">
        <f>IF(C22=0,0,(C22-Z22)/C22)</f>
        <v/>
      </c>
      <c r="AB22">
        <f>IF(D22=0,0,F22/D22)</f>
        <v/>
      </c>
    </row>
    <row r="23">
      <c r="F23">
        <f>D23-N23</f>
        <v/>
      </c>
      <c r="G23">
        <f>IF(N23=0,0,F23/N23)</f>
        <v/>
      </c>
      <c r="L23">
        <f>IF(Y23=0,0,Z23/Y23)</f>
        <v/>
      </c>
      <c r="O23">
        <f>MAX(0,(30*Y23)-P23)</f>
        <v/>
      </c>
      <c r="X23">
        <f>MAX([@[BSR 30 Avg]],C23)</f>
        <v/>
      </c>
      <c r="Y23">
        <f>IF(C23=0,0,(C23-X23)/C23)</f>
        <v/>
      </c>
      <c r="Z23">
        <f>MAX([@[BSR 90 Avg]],C23)</f>
        <v/>
      </c>
      <c r="AA23">
        <f>IF(C23=0,0,(C23-Z23)/C23)</f>
        <v/>
      </c>
      <c r="AB23">
        <f>IF(D23=0,0,F23/D23)</f>
        <v/>
      </c>
    </row>
    <row r="24">
      <c r="F24">
        <f>D24-N24</f>
        <v/>
      </c>
      <c r="G24">
        <f>IF(N24=0,0,F24/N24)</f>
        <v/>
      </c>
      <c r="L24">
        <f>IF(Y24=0,0,Z24/Y24)</f>
        <v/>
      </c>
      <c r="O24">
        <f>MAX(0,(30*Y24)-P24)</f>
        <v/>
      </c>
      <c r="X24">
        <f>MAX([@[BSR 30 Avg]],C24)</f>
        <v/>
      </c>
      <c r="Y24">
        <f>IF(C24=0,0,(C24-X24)/C24)</f>
        <v/>
      </c>
      <c r="Z24">
        <f>MAX([@[BSR 90 Avg]],C24)</f>
        <v/>
      </c>
      <c r="AA24">
        <f>IF(C24=0,0,(C24-Z24)/C24)</f>
        <v/>
      </c>
      <c r="AB24">
        <f>IF(D24=0,0,F24/D24)</f>
        <v/>
      </c>
    </row>
    <row r="25">
      <c r="F25">
        <f>D25-N25</f>
        <v/>
      </c>
      <c r="G25">
        <f>IF(N25=0,0,F25/N25)</f>
        <v/>
      </c>
      <c r="L25">
        <f>IF(Y25=0,0,Z25/Y25)</f>
        <v/>
      </c>
      <c r="O25">
        <f>MAX(0,(30*Y25)-P25)</f>
        <v/>
      </c>
      <c r="X25">
        <f>MAX([@[BSR 30 Avg]],C25)</f>
        <v/>
      </c>
      <c r="Y25">
        <f>IF(C25=0,0,(C25-X25)/C25)</f>
        <v/>
      </c>
      <c r="Z25">
        <f>MAX([@[BSR 90 Avg]],C25)</f>
        <v/>
      </c>
      <c r="AA25">
        <f>IF(C25=0,0,(C25-Z25)/C25)</f>
        <v/>
      </c>
      <c r="AB25">
        <f>IF(D25=0,0,F25/D25)</f>
        <v/>
      </c>
    </row>
    <row r="26">
      <c r="F26">
        <f>D26-N26</f>
        <v/>
      </c>
      <c r="G26">
        <f>IF(N26=0,0,F26/N26)</f>
        <v/>
      </c>
      <c r="L26">
        <f>IF(Y26=0,0,Z26/Y26)</f>
        <v/>
      </c>
      <c r="O26">
        <f>MAX(0,(30*Y26)-P26)</f>
        <v/>
      </c>
      <c r="X26">
        <f>MAX([@[BSR 30 Avg]],C26)</f>
        <v/>
      </c>
      <c r="Y26">
        <f>IF(C26=0,0,(C26-X26)/C26)</f>
        <v/>
      </c>
      <c r="Z26">
        <f>MAX([@[BSR 90 Avg]],C26)</f>
        <v/>
      </c>
      <c r="AA26">
        <f>IF(C26=0,0,(C26-Z26)/C26)</f>
        <v/>
      </c>
      <c r="AB26">
        <f>IF(D26=0,0,F26/D26)</f>
        <v/>
      </c>
    </row>
    <row r="27">
      <c r="F27">
        <f>D27-N27</f>
        <v/>
      </c>
      <c r="G27">
        <f>IF(N27=0,0,F27/N27)</f>
        <v/>
      </c>
      <c r="L27">
        <f>IF(Y27=0,0,Z27/Y27)</f>
        <v/>
      </c>
      <c r="O27">
        <f>MAX(0,(30*Y27)-P27)</f>
        <v/>
      </c>
      <c r="X27">
        <f>MAX([@[BSR 30 Avg]],C27)</f>
        <v/>
      </c>
      <c r="Y27">
        <f>IF(C27=0,0,(C27-X27)/C27)</f>
        <v/>
      </c>
      <c r="Z27">
        <f>MAX([@[BSR 90 Avg]],C27)</f>
        <v/>
      </c>
      <c r="AA27">
        <f>IF(C27=0,0,(C27-Z27)/C27)</f>
        <v/>
      </c>
      <c r="AB27">
        <f>IF(D27=0,0,F27/D27)</f>
        <v/>
      </c>
    </row>
    <row r="28">
      <c r="F28">
        <f>D28-N28</f>
        <v/>
      </c>
      <c r="G28">
        <f>IF(N28=0,0,F28/N28)</f>
        <v/>
      </c>
      <c r="L28">
        <f>IF(Y28=0,0,Z28/Y28)</f>
        <v/>
      </c>
      <c r="O28">
        <f>MAX(0,(30*Y28)-P28)</f>
        <v/>
      </c>
      <c r="X28">
        <f>MAX([@[BSR 30 Avg]],C28)</f>
        <v/>
      </c>
      <c r="Y28">
        <f>IF(C28=0,0,(C28-X28)/C28)</f>
        <v/>
      </c>
      <c r="Z28">
        <f>MAX([@[BSR 90 Avg]],C28)</f>
        <v/>
      </c>
      <c r="AA28">
        <f>IF(C28=0,0,(C28-Z28)/C28)</f>
        <v/>
      </c>
      <c r="AB28">
        <f>IF(D28=0,0,F28/D28)</f>
        <v/>
      </c>
    </row>
    <row r="29">
      <c r="F29">
        <f>D29-N29</f>
        <v/>
      </c>
      <c r="G29">
        <f>IF(N29=0,0,F29/N29)</f>
        <v/>
      </c>
      <c r="L29">
        <f>IF(Y29=0,0,Z29/Y29)</f>
        <v/>
      </c>
      <c r="O29">
        <f>MAX(0,(30*Y29)-P29)</f>
        <v/>
      </c>
      <c r="X29">
        <f>MAX([@[BSR 30 Avg]],C29)</f>
        <v/>
      </c>
      <c r="Y29">
        <f>IF(C29=0,0,(C29-X29)/C29)</f>
        <v/>
      </c>
      <c r="Z29">
        <f>MAX([@[BSR 90 Avg]],C29)</f>
        <v/>
      </c>
      <c r="AA29">
        <f>IF(C29=0,0,(C29-Z29)/C29)</f>
        <v/>
      </c>
      <c r="AB29">
        <f>IF(D29=0,0,F29/D29)</f>
        <v/>
      </c>
    </row>
    <row r="30">
      <c r="F30">
        <f>D30-N30</f>
        <v/>
      </c>
      <c r="G30">
        <f>IF(N30=0,0,F30/N30)</f>
        <v/>
      </c>
      <c r="L30">
        <f>IF(Y30=0,0,Z30/Y30)</f>
        <v/>
      </c>
      <c r="O30">
        <f>MAX(0,(30*Y30)-P30)</f>
        <v/>
      </c>
      <c r="X30">
        <f>MAX([@[BSR 30 Avg]],C30)</f>
        <v/>
      </c>
      <c r="Y30">
        <f>IF(C30=0,0,(C30-X30)/C30)</f>
        <v/>
      </c>
      <c r="Z30">
        <f>MAX([@[BSR 90 Avg]],C30)</f>
        <v/>
      </c>
      <c r="AA30">
        <f>IF(C30=0,0,(C30-Z30)/C30)</f>
        <v/>
      </c>
      <c r="AB30">
        <f>IF(D30=0,0,F30/D30)</f>
        <v/>
      </c>
    </row>
    <row r="31">
      <c r="F31">
        <f>D31-N31</f>
        <v/>
      </c>
      <c r="G31">
        <f>IF(N31=0,0,F31/N31)</f>
        <v/>
      </c>
      <c r="L31">
        <f>IF(Y31=0,0,Z31/Y31)</f>
        <v/>
      </c>
      <c r="O31">
        <f>MAX(0,(30*Y31)-P31)</f>
        <v/>
      </c>
      <c r="X31">
        <f>MAX([@[BSR 30 Avg]],C31)</f>
        <v/>
      </c>
      <c r="Y31">
        <f>IF(C31=0,0,(C31-X31)/C31)</f>
        <v/>
      </c>
      <c r="Z31">
        <f>MAX([@[BSR 90 Avg]],C31)</f>
        <v/>
      </c>
      <c r="AA31">
        <f>IF(C31=0,0,(C31-Z31)/C31)</f>
        <v/>
      </c>
      <c r="AB31">
        <f>IF(D31=0,0,F31/D31)</f>
        <v/>
      </c>
    </row>
    <row r="32">
      <c r="F32">
        <f>D32-N32</f>
        <v/>
      </c>
      <c r="G32">
        <f>IF(N32=0,0,F32/N32)</f>
        <v/>
      </c>
      <c r="L32">
        <f>IF(Y32=0,0,Z32/Y32)</f>
        <v/>
      </c>
      <c r="O32">
        <f>MAX(0,(30*Y32)-P32)</f>
        <v/>
      </c>
      <c r="X32">
        <f>MAX([@[BSR 30 Avg]],C32)</f>
        <v/>
      </c>
      <c r="Y32">
        <f>IF(C32=0,0,(C32-X32)/C32)</f>
        <v/>
      </c>
      <c r="Z32">
        <f>MAX([@[BSR 90 Avg]],C32)</f>
        <v/>
      </c>
      <c r="AA32">
        <f>IF(C32=0,0,(C32-Z32)/C32)</f>
        <v/>
      </c>
      <c r="AB32">
        <f>IF(D32=0,0,F32/D32)</f>
        <v/>
      </c>
    </row>
    <row r="33">
      <c r="F33">
        <f>D33-N33</f>
        <v/>
      </c>
      <c r="G33">
        <f>IF(N33=0,0,F33/N33)</f>
        <v/>
      </c>
      <c r="L33">
        <f>IF(Y33=0,0,Z33/Y33)</f>
        <v/>
      </c>
      <c r="O33">
        <f>MAX(0,(30*Y33)-P33)</f>
        <v/>
      </c>
      <c r="X33">
        <f>MAX([@[BSR 30 Avg]],C33)</f>
        <v/>
      </c>
      <c r="Y33">
        <f>IF(C33=0,0,(C33-X33)/C33)</f>
        <v/>
      </c>
      <c r="Z33">
        <f>MAX([@[BSR 90 Avg]],C33)</f>
        <v/>
      </c>
      <c r="AA33">
        <f>IF(C33=0,0,(C33-Z33)/C33)</f>
        <v/>
      </c>
      <c r="AB33">
        <f>IF(D33=0,0,F33/D33)</f>
        <v/>
      </c>
    </row>
    <row r="34">
      <c r="F34">
        <f>D34-N34</f>
        <v/>
      </c>
      <c r="G34">
        <f>IF(N34=0,0,F34/N34)</f>
        <v/>
      </c>
      <c r="L34">
        <f>IF(Y34=0,0,Z34/Y34)</f>
        <v/>
      </c>
      <c r="O34">
        <f>MAX(0,(30*Y34)-P34)</f>
        <v/>
      </c>
      <c r="X34">
        <f>MAX([@[BSR 30 Avg]],C34)</f>
        <v/>
      </c>
      <c r="Y34">
        <f>IF(C34=0,0,(C34-X34)/C34)</f>
        <v/>
      </c>
      <c r="Z34">
        <f>MAX([@[BSR 90 Avg]],C34)</f>
        <v/>
      </c>
      <c r="AA34">
        <f>IF(C34=0,0,(C34-Z34)/C34)</f>
        <v/>
      </c>
      <c r="AB34">
        <f>IF(D34=0,0,F34/D34)</f>
        <v/>
      </c>
    </row>
    <row r="35">
      <c r="F35">
        <f>D35-N35</f>
        <v/>
      </c>
      <c r="G35">
        <f>IF(N35=0,0,F35/N35)</f>
        <v/>
      </c>
      <c r="L35">
        <f>IF(Y35=0,0,Z35/Y35)</f>
        <v/>
      </c>
      <c r="O35">
        <f>MAX(0,(30*Y35)-P35)</f>
        <v/>
      </c>
      <c r="X35">
        <f>MAX([@[BSR 30 Avg]],C35)</f>
        <v/>
      </c>
      <c r="Y35">
        <f>IF(C35=0,0,(C35-X35)/C35)</f>
        <v/>
      </c>
      <c r="Z35">
        <f>MAX([@[BSR 90 Avg]],C35)</f>
        <v/>
      </c>
      <c r="AA35">
        <f>IF(C35=0,0,(C35-Z35)/C35)</f>
        <v/>
      </c>
      <c r="AB35">
        <f>IF(D35=0,0,F35/D35)</f>
        <v/>
      </c>
    </row>
    <row r="36">
      <c r="F36">
        <f>D36-N36</f>
        <v/>
      </c>
      <c r="G36">
        <f>IF(N36=0,0,F36/N36)</f>
        <v/>
      </c>
      <c r="L36">
        <f>IF(Y36=0,0,Z36/Y36)</f>
        <v/>
      </c>
      <c r="O36">
        <f>MAX(0,(30*Y36)-P36)</f>
        <v/>
      </c>
      <c r="X36">
        <f>MAX([@[BSR 30 Avg]],C36)</f>
        <v/>
      </c>
      <c r="Y36">
        <f>IF(C36=0,0,(C36-X36)/C36)</f>
        <v/>
      </c>
      <c r="Z36">
        <f>MAX([@[BSR 90 Avg]],C36)</f>
        <v/>
      </c>
      <c r="AA36">
        <f>IF(C36=0,0,(C36-Z36)/C36)</f>
        <v/>
      </c>
      <c r="AB36">
        <f>IF(D36=0,0,F36/D36)</f>
        <v/>
      </c>
    </row>
    <row r="37">
      <c r="F37">
        <f>D37-N37</f>
        <v/>
      </c>
      <c r="G37">
        <f>IF(N37=0,0,F37/N37)</f>
        <v/>
      </c>
      <c r="L37">
        <f>IF(Y37=0,0,Z37/Y37)</f>
        <v/>
      </c>
      <c r="O37">
        <f>MAX(0,(30*Y37)-P37)</f>
        <v/>
      </c>
      <c r="X37">
        <f>MAX([@[BSR 30 Avg]],C37)</f>
        <v/>
      </c>
      <c r="Y37">
        <f>IF(C37=0,0,(C37-X37)/C37)</f>
        <v/>
      </c>
      <c r="Z37">
        <f>MAX([@[BSR 90 Avg]],C37)</f>
        <v/>
      </c>
      <c r="AA37">
        <f>IF(C37=0,0,(C37-Z37)/C37)</f>
        <v/>
      </c>
      <c r="AB37">
        <f>IF(D37=0,0,F37/D37)</f>
        <v/>
      </c>
    </row>
    <row r="38">
      <c r="F38">
        <f>D38-N38</f>
        <v/>
      </c>
      <c r="G38">
        <f>IF(N38=0,0,F38/N38)</f>
        <v/>
      </c>
      <c r="L38">
        <f>IF(Y38=0,0,Z38/Y38)</f>
        <v/>
      </c>
      <c r="O38">
        <f>MAX(0,(30*Y38)-P38)</f>
        <v/>
      </c>
      <c r="X38">
        <f>MAX([@[BSR 30 Avg]],C38)</f>
        <v/>
      </c>
      <c r="Y38">
        <f>IF(C38=0,0,(C38-X38)/C38)</f>
        <v/>
      </c>
      <c r="Z38">
        <f>MAX([@[BSR 90 Avg]],C38)</f>
        <v/>
      </c>
      <c r="AA38">
        <f>IF(C38=0,0,(C38-Z38)/C38)</f>
        <v/>
      </c>
      <c r="AB38">
        <f>IF(D38=0,0,F38/D38)</f>
        <v/>
      </c>
    </row>
    <row r="39">
      <c r="F39">
        <f>D39-N39</f>
        <v/>
      </c>
      <c r="G39">
        <f>IF(N39=0,0,F39/N39)</f>
        <v/>
      </c>
      <c r="L39">
        <f>IF(Y39=0,0,Z39/Y39)</f>
        <v/>
      </c>
      <c r="O39">
        <f>MAX(0,(30*Y39)-P39)</f>
        <v/>
      </c>
      <c r="X39">
        <f>MAX([@[BSR 30 Avg]],C39)</f>
        <v/>
      </c>
      <c r="Y39">
        <f>IF(C39=0,0,(C39-X39)/C39)</f>
        <v/>
      </c>
      <c r="Z39">
        <f>MAX([@[BSR 90 Avg]],C39)</f>
        <v/>
      </c>
      <c r="AA39">
        <f>IF(C39=0,0,(C39-Z39)/C39)</f>
        <v/>
      </c>
      <c r="AB39">
        <f>IF(D39=0,0,F39/D39)</f>
        <v/>
      </c>
    </row>
    <row r="40">
      <c r="F40">
        <f>D40-N40</f>
        <v/>
      </c>
      <c r="G40">
        <f>IF(N40=0,0,F40/N40)</f>
        <v/>
      </c>
      <c r="L40">
        <f>IF(Y40=0,0,Z40/Y40)</f>
        <v/>
      </c>
      <c r="O40">
        <f>MAX(0,(30*Y40)-P40)</f>
        <v/>
      </c>
      <c r="X40">
        <f>MAX([@[BSR 30 Avg]],C40)</f>
        <v/>
      </c>
      <c r="Y40">
        <f>IF(C40=0,0,(C40-X40)/C40)</f>
        <v/>
      </c>
      <c r="Z40">
        <f>MAX([@[BSR 90 Avg]],C40)</f>
        <v/>
      </c>
      <c r="AA40">
        <f>IF(C40=0,0,(C40-Z40)/C40)</f>
        <v/>
      </c>
      <c r="AB40">
        <f>IF(D40=0,0,F40/D40)</f>
        <v/>
      </c>
    </row>
    <row r="41">
      <c r="F41">
        <f>D41-N41</f>
        <v/>
      </c>
      <c r="G41">
        <f>IF(N41=0,0,F41/N41)</f>
        <v/>
      </c>
      <c r="L41">
        <f>IF(Y41=0,0,Z41/Y41)</f>
        <v/>
      </c>
      <c r="O41">
        <f>MAX(0,(30*Y41)-P41)</f>
        <v/>
      </c>
      <c r="X41">
        <f>MAX([@[BSR 30 Avg]],C41)</f>
        <v/>
      </c>
      <c r="Y41">
        <f>IF(C41=0,0,(C41-X41)/C41)</f>
        <v/>
      </c>
      <c r="Z41">
        <f>MAX([@[BSR 90 Avg]],C41)</f>
        <v/>
      </c>
      <c r="AA41">
        <f>IF(C41=0,0,(C41-Z41)/C41)</f>
        <v/>
      </c>
      <c r="AB41">
        <f>IF(D41=0,0,F41/D41)</f>
        <v/>
      </c>
    </row>
    <row r="42">
      <c r="F42">
        <f>D42-N42</f>
        <v/>
      </c>
      <c r="G42">
        <f>IF(N42=0,0,F42/N42)</f>
        <v/>
      </c>
      <c r="L42">
        <f>IF(Y42=0,0,Z42/Y42)</f>
        <v/>
      </c>
      <c r="O42">
        <f>MAX(0,(30*Y42)-P42)</f>
        <v/>
      </c>
      <c r="X42">
        <f>MAX([@[BSR 30 Avg]],C42)</f>
        <v/>
      </c>
      <c r="Y42">
        <f>IF(C42=0,0,(C42-X42)/C42)</f>
        <v/>
      </c>
      <c r="Z42">
        <f>MAX([@[BSR 90 Avg]],C42)</f>
        <v/>
      </c>
      <c r="AA42">
        <f>IF(C42=0,0,(C42-Z42)/C42)</f>
        <v/>
      </c>
      <c r="AB42">
        <f>IF(D42=0,0,F42/D42)</f>
        <v/>
      </c>
    </row>
    <row r="43">
      <c r="F43">
        <f>D43-N43</f>
        <v/>
      </c>
      <c r="G43">
        <f>IF(N43=0,0,F43/N43)</f>
        <v/>
      </c>
      <c r="L43">
        <f>IF(Y43=0,0,Z43/Y43)</f>
        <v/>
      </c>
      <c r="O43">
        <f>MAX(0,(30*Y43)-P43)</f>
        <v/>
      </c>
      <c r="X43">
        <f>MAX([@[BSR 30 Avg]],C43)</f>
        <v/>
      </c>
      <c r="Y43">
        <f>IF(C43=0,0,(C43-X43)/C43)</f>
        <v/>
      </c>
      <c r="Z43">
        <f>MAX([@[BSR 90 Avg]],C43)</f>
        <v/>
      </c>
      <c r="AA43">
        <f>IF(C43=0,0,(C43-Z43)/C43)</f>
        <v/>
      </c>
      <c r="AB43">
        <f>IF(D43=0,0,F43/D43)</f>
        <v/>
      </c>
    </row>
    <row r="44">
      <c r="F44">
        <f>D44-N44</f>
        <v/>
      </c>
      <c r="G44">
        <f>IF(N44=0,0,F44/N44)</f>
        <v/>
      </c>
      <c r="L44">
        <f>IF(Y44=0,0,Z44/Y44)</f>
        <v/>
      </c>
      <c r="O44">
        <f>MAX(0,(30*Y44)-P44)</f>
        <v/>
      </c>
      <c r="X44">
        <f>MAX([@[BSR 30 Avg]],C44)</f>
        <v/>
      </c>
      <c r="Y44">
        <f>IF(C44=0,0,(C44-X44)/C44)</f>
        <v/>
      </c>
      <c r="Z44">
        <f>MAX([@[BSR 90 Avg]],C44)</f>
        <v/>
      </c>
      <c r="AA44">
        <f>IF(C44=0,0,(C44-Z44)/C44)</f>
        <v/>
      </c>
      <c r="AB44">
        <f>IF(D44=0,0,F44/D44)</f>
        <v/>
      </c>
    </row>
    <row r="45">
      <c r="F45">
        <f>D45-N45</f>
        <v/>
      </c>
      <c r="G45">
        <f>IF(N45=0,0,F45/N45)</f>
        <v/>
      </c>
      <c r="L45">
        <f>IF(Y45=0,0,Z45/Y45)</f>
        <v/>
      </c>
      <c r="O45">
        <f>MAX(0,(30*Y45)-P45)</f>
        <v/>
      </c>
      <c r="X45">
        <f>MAX([@[BSR 30 Avg]],C45)</f>
        <v/>
      </c>
      <c r="Y45">
        <f>IF(C45=0,0,(C45-X45)/C45)</f>
        <v/>
      </c>
      <c r="Z45">
        <f>MAX([@[BSR 90 Avg]],C45)</f>
        <v/>
      </c>
      <c r="AA45">
        <f>IF(C45=0,0,(C45-Z45)/C45)</f>
        <v/>
      </c>
      <c r="AB45">
        <f>IF(D45=0,0,F45/D45)</f>
        <v/>
      </c>
    </row>
    <row r="46">
      <c r="F46">
        <f>D46-N46</f>
        <v/>
      </c>
      <c r="G46">
        <f>IF(N46=0,0,F46/N46)</f>
        <v/>
      </c>
      <c r="L46">
        <f>IF(Y46=0,0,Z46/Y46)</f>
        <v/>
      </c>
      <c r="O46">
        <f>MAX(0,(30*Y46)-P46)</f>
        <v/>
      </c>
      <c r="X46">
        <f>MAX([@[BSR 30 Avg]],C46)</f>
        <v/>
      </c>
      <c r="Y46">
        <f>IF(C46=0,0,(C46-X46)/C46)</f>
        <v/>
      </c>
      <c r="Z46">
        <f>MAX([@[BSR 90 Avg]],C46)</f>
        <v/>
      </c>
      <c r="AA46">
        <f>IF(C46=0,0,(C46-Z46)/C46)</f>
        <v/>
      </c>
      <c r="AB46">
        <f>IF(D46=0,0,F46/D46)</f>
        <v/>
      </c>
    </row>
    <row r="47">
      <c r="F47">
        <f>D47-N47</f>
        <v/>
      </c>
      <c r="G47">
        <f>IF(N47=0,0,F47/N47)</f>
        <v/>
      </c>
      <c r="L47">
        <f>IF(Y47=0,0,Z47/Y47)</f>
        <v/>
      </c>
      <c r="O47">
        <f>MAX(0,(30*Y47)-P47)</f>
        <v/>
      </c>
      <c r="X47">
        <f>MAX([@[BSR 30 Avg]],C47)</f>
        <v/>
      </c>
      <c r="Y47">
        <f>IF(C47=0,0,(C47-X47)/C47)</f>
        <v/>
      </c>
      <c r="Z47">
        <f>MAX([@[BSR 90 Avg]],C47)</f>
        <v/>
      </c>
      <c r="AA47">
        <f>IF(C47=0,0,(C47-Z47)/C47)</f>
        <v/>
      </c>
      <c r="AB47">
        <f>IF(D47=0,0,F47/D47)</f>
        <v/>
      </c>
    </row>
    <row r="48">
      <c r="F48">
        <f>D48-N48</f>
        <v/>
      </c>
      <c r="G48">
        <f>IF(N48=0,0,F48/N48)</f>
        <v/>
      </c>
      <c r="L48">
        <f>IF(Y48=0,0,Z48/Y48)</f>
        <v/>
      </c>
      <c r="O48">
        <f>MAX(0,(30*Y48)-P48)</f>
        <v/>
      </c>
      <c r="X48">
        <f>MAX([@[BSR 30 Avg]],C48)</f>
        <v/>
      </c>
      <c r="Y48">
        <f>IF(C48=0,0,(C48-X48)/C48)</f>
        <v/>
      </c>
      <c r="Z48">
        <f>MAX([@[BSR 90 Avg]],C48)</f>
        <v/>
      </c>
      <c r="AA48">
        <f>IF(C48=0,0,(C48-Z48)/C48)</f>
        <v/>
      </c>
      <c r="AB48">
        <f>IF(D48=0,0,F48/D48)</f>
        <v/>
      </c>
    </row>
    <row r="49">
      <c r="F49">
        <f>D49-N49</f>
        <v/>
      </c>
      <c r="G49">
        <f>IF(N49=0,0,F49/N49)</f>
        <v/>
      </c>
      <c r="L49">
        <f>IF(Y49=0,0,Z49/Y49)</f>
        <v/>
      </c>
      <c r="O49">
        <f>MAX(0,(30*Y49)-P49)</f>
        <v/>
      </c>
      <c r="X49">
        <f>MAX([@[BSR 30 Avg]],C49)</f>
        <v/>
      </c>
      <c r="Y49">
        <f>IF(C49=0,0,(C49-X49)/C49)</f>
        <v/>
      </c>
      <c r="Z49">
        <f>MAX([@[BSR 90 Avg]],C49)</f>
        <v/>
      </c>
      <c r="AA49">
        <f>IF(C49=0,0,(C49-Z49)/C49)</f>
        <v/>
      </c>
      <c r="AB49">
        <f>IF(D49=0,0,F49/D49)</f>
        <v/>
      </c>
    </row>
    <row r="50">
      <c r="F50">
        <f>D50-N50</f>
        <v/>
      </c>
      <c r="G50">
        <f>IF(N50=0,0,F50/N50)</f>
        <v/>
      </c>
      <c r="L50">
        <f>IF(Y50=0,0,Z50/Y50)</f>
        <v/>
      </c>
      <c r="O50">
        <f>MAX(0,(30*Y50)-P50)</f>
        <v/>
      </c>
      <c r="X50">
        <f>MAX([@[BSR 30 Avg]],C50)</f>
        <v/>
      </c>
      <c r="Y50">
        <f>IF(C50=0,0,(C50-X50)/C50)</f>
        <v/>
      </c>
      <c r="Z50">
        <f>MAX([@[BSR 90 Avg]],C50)</f>
        <v/>
      </c>
      <c r="AA50">
        <f>IF(C50=0,0,(C50-Z50)/C50)</f>
        <v/>
      </c>
      <c r="AB50">
        <f>IF(D50=0,0,F50/D50)</f>
        <v/>
      </c>
    </row>
    <row r="51">
      <c r="F51">
        <f>D51-N51</f>
        <v/>
      </c>
      <c r="G51">
        <f>IF(N51=0,0,F51/N51)</f>
        <v/>
      </c>
      <c r="L51">
        <f>IF(Y51=0,0,Z51/Y51)</f>
        <v/>
      </c>
      <c r="O51">
        <f>MAX(0,(30*Y51)-P51)</f>
        <v/>
      </c>
      <c r="X51">
        <f>MAX([@[BSR 30 Avg]],C51)</f>
        <v/>
      </c>
      <c r="Y51">
        <f>IF(C51=0,0,(C51-X51)/C51)</f>
        <v/>
      </c>
      <c r="Z51">
        <f>MAX([@[BSR 90 Avg]],C51)</f>
        <v/>
      </c>
      <c r="AA51">
        <f>IF(C51=0,0,(C51-Z51)/C51)</f>
        <v/>
      </c>
      <c r="AB51">
        <f>IF(D51=0,0,F51/D51)</f>
        <v/>
      </c>
    </row>
    <row r="52">
      <c r="F52">
        <f>D52-N52</f>
        <v/>
      </c>
      <c r="G52">
        <f>IF(N52=0,0,F52/N52)</f>
        <v/>
      </c>
      <c r="L52">
        <f>IF(Y52=0,0,Z52/Y52)</f>
        <v/>
      </c>
      <c r="O52">
        <f>MAX(0,(30*Y52)-P52)</f>
        <v/>
      </c>
      <c r="X52">
        <f>MAX([@[BSR 30 Avg]],C52)</f>
        <v/>
      </c>
      <c r="Y52">
        <f>IF(C52=0,0,(C52-X52)/C52)</f>
        <v/>
      </c>
      <c r="Z52">
        <f>MAX([@[BSR 90 Avg]],C52)</f>
        <v/>
      </c>
      <c r="AA52">
        <f>IF(C52=0,0,(C52-Z52)/C52)</f>
        <v/>
      </c>
      <c r="AB52">
        <f>IF(D52=0,0,F52/D52)</f>
        <v/>
      </c>
    </row>
    <row r="53">
      <c r="F53">
        <f>D53-N53</f>
        <v/>
      </c>
      <c r="G53">
        <f>IF(N53=0,0,F53/N53)</f>
        <v/>
      </c>
      <c r="L53">
        <f>IF(Y53=0,0,Z53/Y53)</f>
        <v/>
      </c>
      <c r="O53">
        <f>MAX(0,(30*Y53)-P53)</f>
        <v/>
      </c>
      <c r="X53">
        <f>MAX([@[BSR 30 Avg]],C53)</f>
        <v/>
      </c>
      <c r="Y53">
        <f>IF(C53=0,0,(C53-X53)/C53)</f>
        <v/>
      </c>
      <c r="Z53">
        <f>MAX([@[BSR 90 Avg]],C53)</f>
        <v/>
      </c>
      <c r="AA53">
        <f>IF(C53=0,0,(C53-Z53)/C53)</f>
        <v/>
      </c>
      <c r="AB53">
        <f>IF(D53=0,0,F53/D53)</f>
        <v/>
      </c>
    </row>
    <row r="54">
      <c r="F54">
        <f>D54-N54</f>
        <v/>
      </c>
      <c r="G54">
        <f>IF(N54=0,0,F54/N54)</f>
        <v/>
      </c>
      <c r="L54">
        <f>IF(Y54=0,0,Z54/Y54)</f>
        <v/>
      </c>
      <c r="O54">
        <f>MAX(0,(30*Y54)-P54)</f>
        <v/>
      </c>
      <c r="X54">
        <f>MAX([@[BSR 30 Avg]],C54)</f>
        <v/>
      </c>
      <c r="Y54">
        <f>IF(C54=0,0,(C54-X54)/C54)</f>
        <v/>
      </c>
      <c r="Z54">
        <f>MAX([@[BSR 90 Avg]],C54)</f>
        <v/>
      </c>
      <c r="AA54">
        <f>IF(C54=0,0,(C54-Z54)/C54)</f>
        <v/>
      </c>
      <c r="AB54">
        <f>IF(D54=0,0,F54/D54)</f>
        <v/>
      </c>
    </row>
    <row r="55">
      <c r="F55">
        <f>D55-N55</f>
        <v/>
      </c>
      <c r="G55">
        <f>IF(N55=0,0,F55/N55)</f>
        <v/>
      </c>
      <c r="L55">
        <f>IF(Y55=0,0,Z55/Y55)</f>
        <v/>
      </c>
      <c r="O55">
        <f>MAX(0,(30*Y55)-P55)</f>
        <v/>
      </c>
      <c r="X55">
        <f>MAX([@[BSR 30 Avg]],C55)</f>
        <v/>
      </c>
      <c r="Y55">
        <f>IF(C55=0,0,(C55-X55)/C55)</f>
        <v/>
      </c>
      <c r="Z55">
        <f>MAX([@[BSR 90 Avg]],C55)</f>
        <v/>
      </c>
      <c r="AA55">
        <f>IF(C55=0,0,(C55-Z55)/C55)</f>
        <v/>
      </c>
      <c r="AB55">
        <f>IF(D55=0,0,F55/D55)</f>
        <v/>
      </c>
    </row>
    <row r="56">
      <c r="F56">
        <f>D56-N56</f>
        <v/>
      </c>
      <c r="G56">
        <f>IF(N56=0,0,F56/N56)</f>
        <v/>
      </c>
      <c r="L56">
        <f>IF(Y56=0,0,Z56/Y56)</f>
        <v/>
      </c>
      <c r="O56">
        <f>MAX(0,(30*Y56)-P56)</f>
        <v/>
      </c>
      <c r="X56">
        <f>MAX([@[BSR 30 Avg]],C56)</f>
        <v/>
      </c>
      <c r="Y56">
        <f>IF(C56=0,0,(C56-X56)/C56)</f>
        <v/>
      </c>
      <c r="Z56">
        <f>MAX([@[BSR 90 Avg]],C56)</f>
        <v/>
      </c>
      <c r="AA56">
        <f>IF(C56=0,0,(C56-Z56)/C56)</f>
        <v/>
      </c>
      <c r="AB56">
        <f>IF(D56=0,0,F56/D56)</f>
        <v/>
      </c>
    </row>
    <row r="57">
      <c r="F57">
        <f>D57-N57</f>
        <v/>
      </c>
      <c r="G57">
        <f>IF(N57=0,0,F57/N57)</f>
        <v/>
      </c>
      <c r="L57">
        <f>IF(Y57=0,0,Z57/Y57)</f>
        <v/>
      </c>
      <c r="O57">
        <f>MAX(0,(30*Y57)-P57)</f>
        <v/>
      </c>
      <c r="X57">
        <f>MAX([@[BSR 30 Avg]],C57)</f>
        <v/>
      </c>
      <c r="Y57">
        <f>IF(C57=0,0,(C57-X57)/C57)</f>
        <v/>
      </c>
      <c r="Z57">
        <f>MAX([@[BSR 90 Avg]],C57)</f>
        <v/>
      </c>
      <c r="AA57">
        <f>IF(C57=0,0,(C57-Z57)/C57)</f>
        <v/>
      </c>
      <c r="AB57">
        <f>IF(D57=0,0,F57/D57)</f>
        <v/>
      </c>
    </row>
    <row r="58">
      <c r="F58">
        <f>D58-N58</f>
        <v/>
      </c>
      <c r="G58">
        <f>IF(N58=0,0,F58/N58)</f>
        <v/>
      </c>
      <c r="L58">
        <f>IF(Y58=0,0,Z58/Y58)</f>
        <v/>
      </c>
      <c r="O58">
        <f>MAX(0,(30*Y58)-P58)</f>
        <v/>
      </c>
      <c r="X58">
        <f>MAX([@[BSR 30 Avg]],C58)</f>
        <v/>
      </c>
      <c r="Y58">
        <f>IF(C58=0,0,(C58-X58)/C58)</f>
        <v/>
      </c>
      <c r="Z58">
        <f>MAX([@[BSR 90 Avg]],C58)</f>
        <v/>
      </c>
      <c r="AA58">
        <f>IF(C58=0,0,(C58-Z58)/C58)</f>
        <v/>
      </c>
      <c r="AB58">
        <f>IF(D58=0,0,F58/D58)</f>
        <v/>
      </c>
    </row>
    <row r="59">
      <c r="F59">
        <f>D59-N59</f>
        <v/>
      </c>
      <c r="G59">
        <f>IF(N59=0,0,F59/N59)</f>
        <v/>
      </c>
      <c r="L59">
        <f>IF(Y59=0,0,Z59/Y59)</f>
        <v/>
      </c>
      <c r="O59">
        <f>MAX(0,(30*Y59)-P59)</f>
        <v/>
      </c>
      <c r="X59">
        <f>MAX([@[BSR 30 Avg]],C59)</f>
        <v/>
      </c>
      <c r="Y59">
        <f>IF(C59=0,0,(C59-X59)/C59)</f>
        <v/>
      </c>
      <c r="Z59">
        <f>MAX([@[BSR 90 Avg]],C59)</f>
        <v/>
      </c>
      <c r="AA59">
        <f>IF(C59=0,0,(C59-Z59)/C59)</f>
        <v/>
      </c>
      <c r="AB59">
        <f>IF(D59=0,0,F59/D59)</f>
        <v/>
      </c>
    </row>
    <row r="60">
      <c r="F60">
        <f>D60-N60</f>
        <v/>
      </c>
      <c r="G60">
        <f>IF(N60=0,0,F60/N60)</f>
        <v/>
      </c>
      <c r="L60">
        <f>IF(Y60=0,0,Z60/Y60)</f>
        <v/>
      </c>
      <c r="O60">
        <f>MAX(0,(30*Y60)-P60)</f>
        <v/>
      </c>
      <c r="X60">
        <f>MAX([@[BSR 30 Avg]],C60)</f>
        <v/>
      </c>
      <c r="Y60">
        <f>IF(C60=0,0,(C60-X60)/C60)</f>
        <v/>
      </c>
      <c r="Z60">
        <f>MAX([@[BSR 90 Avg]],C60)</f>
        <v/>
      </c>
      <c r="AA60">
        <f>IF(C60=0,0,(C60-Z60)/C60)</f>
        <v/>
      </c>
      <c r="AB60">
        <f>IF(D60=0,0,F60/D60)</f>
        <v/>
      </c>
    </row>
    <row r="61">
      <c r="F61">
        <f>D61-N61</f>
        <v/>
      </c>
      <c r="G61">
        <f>IF(N61=0,0,F61/N61)</f>
        <v/>
      </c>
      <c r="L61">
        <f>IF(Y61=0,0,Z61/Y61)</f>
        <v/>
      </c>
      <c r="O61">
        <f>MAX(0,(30*Y61)-P61)</f>
        <v/>
      </c>
      <c r="X61">
        <f>MAX([@[BSR 30 Avg]],C61)</f>
        <v/>
      </c>
      <c r="Y61">
        <f>IF(C61=0,0,(C61-X61)/C61)</f>
        <v/>
      </c>
      <c r="Z61">
        <f>MAX([@[BSR 90 Avg]],C61)</f>
        <v/>
      </c>
      <c r="AA61">
        <f>IF(C61=0,0,(C61-Z61)/C61)</f>
        <v/>
      </c>
      <c r="AB61">
        <f>IF(D61=0,0,F61/D61)</f>
        <v/>
      </c>
    </row>
    <row r="62">
      <c r="F62">
        <f>D62-N62</f>
        <v/>
      </c>
      <c r="G62">
        <f>IF(N62=0,0,F62/N62)</f>
        <v/>
      </c>
      <c r="L62">
        <f>IF(Y62=0,0,Z62/Y62)</f>
        <v/>
      </c>
      <c r="O62">
        <f>MAX(0,(30*Y62)-P62)</f>
        <v/>
      </c>
      <c r="X62">
        <f>MAX([@[BSR 30 Avg]],C62)</f>
        <v/>
      </c>
      <c r="Y62">
        <f>IF(C62=0,0,(C62-X62)/C62)</f>
        <v/>
      </c>
      <c r="Z62">
        <f>MAX([@[BSR 90 Avg]],C62)</f>
        <v/>
      </c>
      <c r="AA62">
        <f>IF(C62=0,0,(C62-Z62)/C62)</f>
        <v/>
      </c>
      <c r="AB62">
        <f>IF(D62=0,0,F62/D62)</f>
        <v/>
      </c>
    </row>
    <row r="63">
      <c r="F63">
        <f>D63-N63</f>
        <v/>
      </c>
      <c r="G63">
        <f>IF(N63=0,0,F63/N63)</f>
        <v/>
      </c>
      <c r="L63">
        <f>IF(Y63=0,0,Z63/Y63)</f>
        <v/>
      </c>
      <c r="O63">
        <f>MAX(0,(30*Y63)-P63)</f>
        <v/>
      </c>
      <c r="X63">
        <f>MAX([@[BSR 30 Avg]],C63)</f>
        <v/>
      </c>
      <c r="Y63">
        <f>IF(C63=0,0,(C63-X63)/C63)</f>
        <v/>
      </c>
      <c r="Z63">
        <f>MAX([@[BSR 90 Avg]],C63)</f>
        <v/>
      </c>
      <c r="AA63">
        <f>IF(C63=0,0,(C63-Z63)/C63)</f>
        <v/>
      </c>
      <c r="AB63">
        <f>IF(D63=0,0,F63/D63)</f>
        <v/>
      </c>
    </row>
    <row r="64">
      <c r="F64">
        <f>D64-N64</f>
        <v/>
      </c>
      <c r="G64">
        <f>IF(N64=0,0,F64/N64)</f>
        <v/>
      </c>
      <c r="L64">
        <f>IF(Y64=0,0,Z64/Y64)</f>
        <v/>
      </c>
      <c r="O64">
        <f>MAX(0,(30*Y64)-P64)</f>
        <v/>
      </c>
      <c r="X64">
        <f>MAX([@[BSR 30 Avg]],C64)</f>
        <v/>
      </c>
      <c r="Y64">
        <f>IF(C64=0,0,(C64-X64)/C64)</f>
        <v/>
      </c>
      <c r="Z64">
        <f>MAX([@[BSR 90 Avg]],C64)</f>
        <v/>
      </c>
      <c r="AA64">
        <f>IF(C64=0,0,(C64-Z64)/C64)</f>
        <v/>
      </c>
      <c r="AB64">
        <f>IF(D64=0,0,F64/D64)</f>
        <v/>
      </c>
    </row>
    <row r="65">
      <c r="F65">
        <f>D65-N65</f>
        <v/>
      </c>
      <c r="G65">
        <f>IF(N65=0,0,F65/N65)</f>
        <v/>
      </c>
      <c r="L65">
        <f>IF(Y65=0,0,Z65/Y65)</f>
        <v/>
      </c>
      <c r="O65">
        <f>MAX(0,(30*Y65)-P65)</f>
        <v/>
      </c>
      <c r="X65">
        <f>MAX([@[BSR 30 Avg]],C65)</f>
        <v/>
      </c>
      <c r="Y65">
        <f>IF(C65=0,0,(C65-X65)/C65)</f>
        <v/>
      </c>
      <c r="Z65">
        <f>MAX([@[BSR 90 Avg]],C65)</f>
        <v/>
      </c>
      <c r="AA65">
        <f>IF(C65=0,0,(C65-Z65)/C65)</f>
        <v/>
      </c>
      <c r="AB65">
        <f>IF(D65=0,0,F65/D65)</f>
        <v/>
      </c>
    </row>
    <row r="66">
      <c r="F66">
        <f>D66-N66</f>
        <v/>
      </c>
      <c r="G66">
        <f>IF(N66=0,0,F66/N66)</f>
        <v/>
      </c>
      <c r="L66">
        <f>IF(Y66=0,0,Z66/Y66)</f>
        <v/>
      </c>
      <c r="O66">
        <f>MAX(0,(30*Y66)-P66)</f>
        <v/>
      </c>
      <c r="X66">
        <f>MAX([@[BSR 30 Avg]],C66)</f>
        <v/>
      </c>
      <c r="Y66">
        <f>IF(C66=0,0,(C66-X66)/C66)</f>
        <v/>
      </c>
      <c r="Z66">
        <f>MAX([@[BSR 90 Avg]],C66)</f>
        <v/>
      </c>
      <c r="AA66">
        <f>IF(C66=0,0,(C66-Z66)/C66)</f>
        <v/>
      </c>
      <c r="AB66">
        <f>IF(D66=0,0,F66/D66)</f>
        <v/>
      </c>
    </row>
    <row r="67">
      <c r="F67">
        <f>D67-N67</f>
        <v/>
      </c>
      <c r="G67">
        <f>IF(N67=0,0,F67/N67)</f>
        <v/>
      </c>
      <c r="L67">
        <f>IF(Y67=0,0,Z67/Y67)</f>
        <v/>
      </c>
      <c r="O67">
        <f>MAX(0,(30*Y67)-P67)</f>
        <v/>
      </c>
      <c r="X67">
        <f>MAX([@[BSR 30 Avg]],C67)</f>
        <v/>
      </c>
      <c r="Y67">
        <f>IF(C67=0,0,(C67-X67)/C67)</f>
        <v/>
      </c>
      <c r="Z67">
        <f>MAX([@[BSR 90 Avg]],C67)</f>
        <v/>
      </c>
      <c r="AA67">
        <f>IF(C67=0,0,(C67-Z67)/C67)</f>
        <v/>
      </c>
      <c r="AB67">
        <f>IF(D67=0,0,F67/D67)</f>
        <v/>
      </c>
    </row>
    <row r="68">
      <c r="F68">
        <f>D68-N68</f>
        <v/>
      </c>
      <c r="G68">
        <f>IF(N68=0,0,F68/N68)</f>
        <v/>
      </c>
      <c r="L68">
        <f>IF(Y68=0,0,Z68/Y68)</f>
        <v/>
      </c>
      <c r="O68">
        <f>MAX(0,(30*Y68)-P68)</f>
        <v/>
      </c>
      <c r="X68">
        <f>MAX([@[BSR 30 Avg]],C68)</f>
        <v/>
      </c>
      <c r="Y68">
        <f>IF(C68=0,0,(C68-X68)/C68)</f>
        <v/>
      </c>
      <c r="Z68">
        <f>MAX([@[BSR 90 Avg]],C68)</f>
        <v/>
      </c>
      <c r="AA68">
        <f>IF(C68=0,0,(C68-Z68)/C68)</f>
        <v/>
      </c>
      <c r="AB68">
        <f>IF(D68=0,0,F68/D68)</f>
        <v/>
      </c>
    </row>
    <row r="69">
      <c r="F69">
        <f>D69-N69</f>
        <v/>
      </c>
      <c r="G69">
        <f>IF(N69=0,0,F69/N69)</f>
        <v/>
      </c>
      <c r="L69">
        <f>IF(Y69=0,0,Z69/Y69)</f>
        <v/>
      </c>
      <c r="O69">
        <f>MAX(0,(30*Y69)-P69)</f>
        <v/>
      </c>
      <c r="X69">
        <f>MAX([@[BSR 30 Avg]],C69)</f>
        <v/>
      </c>
      <c r="Y69">
        <f>IF(C69=0,0,(C69-X69)/C69)</f>
        <v/>
      </c>
      <c r="Z69">
        <f>MAX([@[BSR 90 Avg]],C69)</f>
        <v/>
      </c>
      <c r="AA69">
        <f>IF(C69=0,0,(C69-Z69)/C69)</f>
        <v/>
      </c>
      <c r="AB69">
        <f>IF(D69=0,0,F69/D69)</f>
        <v/>
      </c>
    </row>
    <row r="70">
      <c r="F70">
        <f>D70-N70</f>
        <v/>
      </c>
      <c r="G70">
        <f>IF(N70=0,0,F70/N70)</f>
        <v/>
      </c>
      <c r="L70">
        <f>IF(Y70=0,0,Z70/Y70)</f>
        <v/>
      </c>
      <c r="O70">
        <f>MAX(0,(30*Y70)-P70)</f>
        <v/>
      </c>
      <c r="X70">
        <f>MAX([@[BSR 30 Avg]],C70)</f>
        <v/>
      </c>
      <c r="Y70">
        <f>IF(C70=0,0,(C70-X70)/C70)</f>
        <v/>
      </c>
      <c r="Z70">
        <f>MAX([@[BSR 90 Avg]],C70)</f>
        <v/>
      </c>
      <c r="AA70">
        <f>IF(C70=0,0,(C70-Z70)/C70)</f>
        <v/>
      </c>
      <c r="AB70">
        <f>IF(D70=0,0,F70/D70)</f>
        <v/>
      </c>
    </row>
    <row r="71">
      <c r="F71">
        <f>D71-N71</f>
        <v/>
      </c>
      <c r="G71">
        <f>IF(N71=0,0,F71/N71)</f>
        <v/>
      </c>
      <c r="L71">
        <f>IF(Y71=0,0,Z71/Y71)</f>
        <v/>
      </c>
      <c r="O71">
        <f>MAX(0,(30*Y71)-P71)</f>
        <v/>
      </c>
      <c r="X71">
        <f>MAX([@[BSR 30 Avg]],C71)</f>
        <v/>
      </c>
      <c r="Y71">
        <f>IF(C71=0,0,(C71-X71)/C71)</f>
        <v/>
      </c>
      <c r="Z71">
        <f>MAX([@[BSR 90 Avg]],C71)</f>
        <v/>
      </c>
      <c r="AA71">
        <f>IF(C71=0,0,(C71-Z71)/C71)</f>
        <v/>
      </c>
      <c r="AB71">
        <f>IF(D71=0,0,F71/D71)</f>
        <v/>
      </c>
    </row>
    <row r="72">
      <c r="F72">
        <f>D72-N72</f>
        <v/>
      </c>
      <c r="G72">
        <f>IF(N72=0,0,F72/N72)</f>
        <v/>
      </c>
      <c r="L72">
        <f>IF(Y72=0,0,Z72/Y72)</f>
        <v/>
      </c>
      <c r="O72">
        <f>MAX(0,(30*Y72)-P72)</f>
        <v/>
      </c>
      <c r="X72">
        <f>MAX([@[BSR 30 Avg]],C72)</f>
        <v/>
      </c>
      <c r="Y72">
        <f>IF(C72=0,0,(C72-X72)/C72)</f>
        <v/>
      </c>
      <c r="Z72">
        <f>MAX([@[BSR 90 Avg]],C72)</f>
        <v/>
      </c>
      <c r="AA72">
        <f>IF(C72=0,0,(C72-Z72)/C72)</f>
        <v/>
      </c>
      <c r="AB72">
        <f>IF(D72=0,0,F72/D72)</f>
        <v/>
      </c>
    </row>
    <row r="73">
      <c r="F73">
        <f>D73-N73</f>
        <v/>
      </c>
      <c r="G73">
        <f>IF(N73=0,0,F73/N73)</f>
        <v/>
      </c>
      <c r="L73">
        <f>IF(Y73=0,0,Z73/Y73)</f>
        <v/>
      </c>
      <c r="O73">
        <f>MAX(0,(30*Y73)-P73)</f>
        <v/>
      </c>
      <c r="X73">
        <f>MAX([@[BSR 30 Avg]],C73)</f>
        <v/>
      </c>
      <c r="Y73">
        <f>IF(C73=0,0,(C73-X73)/C73)</f>
        <v/>
      </c>
      <c r="Z73">
        <f>MAX([@[BSR 90 Avg]],C73)</f>
        <v/>
      </c>
      <c r="AA73">
        <f>IF(C73=0,0,(C73-Z73)/C73)</f>
        <v/>
      </c>
      <c r="AB73">
        <f>IF(D73=0,0,F73/D73)</f>
        <v/>
      </c>
    </row>
    <row r="74">
      <c r="F74">
        <f>D74-N74</f>
        <v/>
      </c>
      <c r="G74">
        <f>IF(N74=0,0,F74/N74)</f>
        <v/>
      </c>
      <c r="L74">
        <f>IF(Y74=0,0,Z74/Y74)</f>
        <v/>
      </c>
      <c r="O74">
        <f>MAX(0,(30*Y74)-P74)</f>
        <v/>
      </c>
      <c r="X74">
        <f>MAX([@[BSR 30 Avg]],C74)</f>
        <v/>
      </c>
      <c r="Y74">
        <f>IF(C74=0,0,(C74-X74)/C74)</f>
        <v/>
      </c>
      <c r="Z74">
        <f>MAX([@[BSR 90 Avg]],C74)</f>
        <v/>
      </c>
      <c r="AA74">
        <f>IF(C74=0,0,(C74-Z74)/C74)</f>
        <v/>
      </c>
      <c r="AB74">
        <f>IF(D74=0,0,F74/D74)</f>
        <v/>
      </c>
    </row>
    <row r="75">
      <c r="F75">
        <f>D75-N75</f>
        <v/>
      </c>
      <c r="G75">
        <f>IF(N75=0,0,F75/N75)</f>
        <v/>
      </c>
      <c r="L75">
        <f>IF(Y75=0,0,Z75/Y75)</f>
        <v/>
      </c>
      <c r="O75">
        <f>MAX(0,(30*Y75)-P75)</f>
        <v/>
      </c>
      <c r="X75">
        <f>MAX([@[BSR 30 Avg]],C75)</f>
        <v/>
      </c>
      <c r="Y75">
        <f>IF(C75=0,0,(C75-X75)/C75)</f>
        <v/>
      </c>
      <c r="Z75">
        <f>MAX([@[BSR 90 Avg]],C75)</f>
        <v/>
      </c>
      <c r="AA75">
        <f>IF(C75=0,0,(C75-Z75)/C75)</f>
        <v/>
      </c>
      <c r="AB75">
        <f>IF(D75=0,0,F75/D75)</f>
        <v/>
      </c>
    </row>
    <row r="76">
      <c r="F76">
        <f>D76-N76</f>
        <v/>
      </c>
      <c r="G76">
        <f>IF(N76=0,0,F76/N76)</f>
        <v/>
      </c>
      <c r="L76">
        <f>IF(Y76=0,0,Z76/Y76)</f>
        <v/>
      </c>
      <c r="O76">
        <f>MAX(0,(30*Y76)-P76)</f>
        <v/>
      </c>
      <c r="X76">
        <f>MAX([@[BSR 30 Avg]],C76)</f>
        <v/>
      </c>
      <c r="Y76">
        <f>IF(C76=0,0,(C76-X76)/C76)</f>
        <v/>
      </c>
      <c r="Z76">
        <f>MAX([@[BSR 90 Avg]],C76)</f>
        <v/>
      </c>
      <c r="AA76">
        <f>IF(C76=0,0,(C76-Z76)/C76)</f>
        <v/>
      </c>
      <c r="AB76">
        <f>IF(D76=0,0,F76/D76)</f>
        <v/>
      </c>
    </row>
    <row r="77">
      <c r="F77">
        <f>D77-N77</f>
        <v/>
      </c>
      <c r="G77">
        <f>IF(N77=0,0,F77/N77)</f>
        <v/>
      </c>
      <c r="L77">
        <f>IF(Y77=0,0,Z77/Y77)</f>
        <v/>
      </c>
      <c r="O77">
        <f>MAX(0,(30*Y77)-P77)</f>
        <v/>
      </c>
      <c r="X77">
        <f>MAX([@[BSR 30 Avg]],C77)</f>
        <v/>
      </c>
      <c r="Y77">
        <f>IF(C77=0,0,(C77-X77)/C77)</f>
        <v/>
      </c>
      <c r="Z77">
        <f>MAX([@[BSR 90 Avg]],C77)</f>
        <v/>
      </c>
      <c r="AA77">
        <f>IF(C77=0,0,(C77-Z77)/C77)</f>
        <v/>
      </c>
      <c r="AB77">
        <f>IF(D77=0,0,F77/D77)</f>
        <v/>
      </c>
    </row>
    <row r="78">
      <c r="F78">
        <f>D78-N78</f>
        <v/>
      </c>
      <c r="G78">
        <f>IF(N78=0,0,F78/N78)</f>
        <v/>
      </c>
      <c r="L78">
        <f>IF(Y78=0,0,Z78/Y78)</f>
        <v/>
      </c>
      <c r="O78">
        <f>MAX(0,(30*Y78)-P78)</f>
        <v/>
      </c>
      <c r="X78">
        <f>MAX([@[BSR 30 Avg]],C78)</f>
        <v/>
      </c>
      <c r="Y78">
        <f>IF(C78=0,0,(C78-X78)/C78)</f>
        <v/>
      </c>
      <c r="Z78">
        <f>MAX([@[BSR 90 Avg]],C78)</f>
        <v/>
      </c>
      <c r="AA78">
        <f>IF(C78=0,0,(C78-Z78)/C78)</f>
        <v/>
      </c>
      <c r="AB78">
        <f>IF(D78=0,0,F78/D78)</f>
        <v/>
      </c>
    </row>
    <row r="79">
      <c r="F79">
        <f>D79-N79</f>
        <v/>
      </c>
      <c r="G79">
        <f>IF(N79=0,0,F79/N79)</f>
        <v/>
      </c>
      <c r="L79">
        <f>IF(Y79=0,0,Z79/Y79)</f>
        <v/>
      </c>
      <c r="O79">
        <f>MAX(0,(30*Y79)-P79)</f>
        <v/>
      </c>
      <c r="X79">
        <f>MAX([@[BSR 30 Avg]],C79)</f>
        <v/>
      </c>
      <c r="Y79">
        <f>IF(C79=0,0,(C79-X79)/C79)</f>
        <v/>
      </c>
      <c r="Z79">
        <f>MAX([@[BSR 90 Avg]],C79)</f>
        <v/>
      </c>
      <c r="AA79">
        <f>IF(C79=0,0,(C79-Z79)/C79)</f>
        <v/>
      </c>
      <c r="AB79">
        <f>IF(D79=0,0,F79/D79)</f>
        <v/>
      </c>
    </row>
    <row r="80">
      <c r="F80">
        <f>D80-N80</f>
        <v/>
      </c>
      <c r="G80">
        <f>IF(N80=0,0,F80/N80)</f>
        <v/>
      </c>
      <c r="L80">
        <f>IF(Y80=0,0,Z80/Y80)</f>
        <v/>
      </c>
      <c r="O80">
        <f>MAX(0,(30*Y80)-P80)</f>
        <v/>
      </c>
      <c r="X80">
        <f>MAX([@[BSR 30 Avg]],C80)</f>
        <v/>
      </c>
      <c r="Y80">
        <f>IF(C80=0,0,(C80-X80)/C80)</f>
        <v/>
      </c>
      <c r="Z80">
        <f>MAX([@[BSR 90 Avg]],C80)</f>
        <v/>
      </c>
      <c r="AA80">
        <f>IF(C80=0,0,(C80-Z80)/C80)</f>
        <v/>
      </c>
      <c r="AB80">
        <f>IF(D80=0,0,F80/D80)</f>
        <v/>
      </c>
    </row>
    <row r="81">
      <c r="F81">
        <f>D81-N81</f>
        <v/>
      </c>
      <c r="G81">
        <f>IF(N81=0,0,F81/N81)</f>
        <v/>
      </c>
      <c r="L81">
        <f>IF(Y81=0,0,Z81/Y81)</f>
        <v/>
      </c>
      <c r="O81">
        <f>MAX(0,(30*Y81)-P81)</f>
        <v/>
      </c>
      <c r="X81">
        <f>MAX([@[BSR 30 Avg]],C81)</f>
        <v/>
      </c>
      <c r="Y81">
        <f>IF(C81=0,0,(C81-X81)/C81)</f>
        <v/>
      </c>
      <c r="Z81">
        <f>MAX([@[BSR 90 Avg]],C81)</f>
        <v/>
      </c>
      <c r="AA81">
        <f>IF(C81=0,0,(C81-Z81)/C81)</f>
        <v/>
      </c>
      <c r="AB81">
        <f>IF(D81=0,0,F81/D81)</f>
        <v/>
      </c>
    </row>
    <row r="82">
      <c r="F82">
        <f>D82-N82</f>
        <v/>
      </c>
      <c r="G82">
        <f>IF(N82=0,0,F82/N82)</f>
        <v/>
      </c>
      <c r="L82">
        <f>IF(Y82=0,0,Z82/Y82)</f>
        <v/>
      </c>
      <c r="O82">
        <f>MAX(0,(30*Y82)-P82)</f>
        <v/>
      </c>
      <c r="X82">
        <f>MAX([@[BSR 30 Avg]],C82)</f>
        <v/>
      </c>
      <c r="Y82">
        <f>IF(C82=0,0,(C82-X82)/C82)</f>
        <v/>
      </c>
      <c r="Z82">
        <f>MAX([@[BSR 90 Avg]],C82)</f>
        <v/>
      </c>
      <c r="AA82">
        <f>IF(C82=0,0,(C82-Z82)/C82)</f>
        <v/>
      </c>
      <c r="AB82">
        <f>IF(D82=0,0,F82/D82)</f>
        <v/>
      </c>
    </row>
    <row r="83">
      <c r="F83">
        <f>D83-N83</f>
        <v/>
      </c>
      <c r="G83">
        <f>IF(N83=0,0,F83/N83)</f>
        <v/>
      </c>
      <c r="L83">
        <f>IF(Y83=0,0,Z83/Y83)</f>
        <v/>
      </c>
      <c r="O83">
        <f>MAX(0,(30*Y83)-P83)</f>
        <v/>
      </c>
      <c r="X83">
        <f>MAX([@[BSR 30 Avg]],C83)</f>
        <v/>
      </c>
      <c r="Y83">
        <f>IF(C83=0,0,(C83-X83)/C83)</f>
        <v/>
      </c>
      <c r="Z83">
        <f>MAX([@[BSR 90 Avg]],C83)</f>
        <v/>
      </c>
      <c r="AA83">
        <f>IF(C83=0,0,(C83-Z83)/C83)</f>
        <v/>
      </c>
      <c r="AB83">
        <f>IF(D83=0,0,F83/D83)</f>
        <v/>
      </c>
    </row>
    <row r="84">
      <c r="F84">
        <f>D84-N84</f>
        <v/>
      </c>
      <c r="G84">
        <f>IF(N84=0,0,F84/N84)</f>
        <v/>
      </c>
      <c r="L84">
        <f>IF(Y84=0,0,Z84/Y84)</f>
        <v/>
      </c>
      <c r="O84">
        <f>MAX(0,(30*Y84)-P84)</f>
        <v/>
      </c>
      <c r="X84">
        <f>MAX([@[BSR 30 Avg]],C84)</f>
        <v/>
      </c>
      <c r="Y84">
        <f>IF(C84=0,0,(C84-X84)/C84)</f>
        <v/>
      </c>
      <c r="Z84">
        <f>MAX([@[BSR 90 Avg]],C84)</f>
        <v/>
      </c>
      <c r="AA84">
        <f>IF(C84=0,0,(C84-Z84)/C84)</f>
        <v/>
      </c>
      <c r="AB84">
        <f>IF(D84=0,0,F84/D84)</f>
        <v/>
      </c>
    </row>
    <row r="85">
      <c r="F85">
        <f>D85-N85</f>
        <v/>
      </c>
      <c r="G85">
        <f>IF(N85=0,0,F85/N85)</f>
        <v/>
      </c>
      <c r="L85">
        <f>IF(Y85=0,0,Z85/Y85)</f>
        <v/>
      </c>
      <c r="O85">
        <f>MAX(0,(30*Y85)-P85)</f>
        <v/>
      </c>
      <c r="X85">
        <f>MAX([@[BSR 30 Avg]],C85)</f>
        <v/>
      </c>
      <c r="Y85">
        <f>IF(C85=0,0,(C85-X85)/C85)</f>
        <v/>
      </c>
      <c r="Z85">
        <f>MAX([@[BSR 90 Avg]],C85)</f>
        <v/>
      </c>
      <c r="AA85">
        <f>IF(C85=0,0,(C85-Z85)/C85)</f>
        <v/>
      </c>
      <c r="AB85">
        <f>IF(D85=0,0,F85/D85)</f>
        <v/>
      </c>
    </row>
    <row r="86">
      <c r="F86">
        <f>D86-N86</f>
        <v/>
      </c>
      <c r="G86">
        <f>IF(N86=0,0,F86/N86)</f>
        <v/>
      </c>
      <c r="L86">
        <f>IF(Y86=0,0,Z86/Y86)</f>
        <v/>
      </c>
      <c r="O86">
        <f>MAX(0,(30*Y86)-P86)</f>
        <v/>
      </c>
      <c r="X86">
        <f>MAX([@[BSR 30 Avg]],C86)</f>
        <v/>
      </c>
      <c r="Y86">
        <f>IF(C86=0,0,(C86-X86)/C86)</f>
        <v/>
      </c>
      <c r="Z86">
        <f>MAX([@[BSR 90 Avg]],C86)</f>
        <v/>
      </c>
      <c r="AA86">
        <f>IF(C86=0,0,(C86-Z86)/C86)</f>
        <v/>
      </c>
      <c r="AB86">
        <f>IF(D86=0,0,F86/D86)</f>
        <v/>
      </c>
    </row>
    <row r="87">
      <c r="F87">
        <f>D87-N87</f>
        <v/>
      </c>
      <c r="G87">
        <f>IF(N87=0,0,F87/N87)</f>
        <v/>
      </c>
      <c r="L87">
        <f>IF(Y87=0,0,Z87/Y87)</f>
        <v/>
      </c>
      <c r="O87">
        <f>MAX(0,(30*Y87)-P87)</f>
        <v/>
      </c>
      <c r="X87">
        <f>MAX([@[BSR 30 Avg]],C87)</f>
        <v/>
      </c>
      <c r="Y87">
        <f>IF(C87=0,0,(C87-X87)/C87)</f>
        <v/>
      </c>
      <c r="Z87">
        <f>MAX([@[BSR 90 Avg]],C87)</f>
        <v/>
      </c>
      <c r="AA87">
        <f>IF(C87=0,0,(C87-Z87)/C87)</f>
        <v/>
      </c>
      <c r="AB87">
        <f>IF(D87=0,0,F87/D87)</f>
        <v/>
      </c>
    </row>
    <row r="88">
      <c r="F88">
        <f>D88-N88</f>
        <v/>
      </c>
      <c r="G88">
        <f>IF(N88=0,0,F88/N88)</f>
        <v/>
      </c>
      <c r="L88">
        <f>IF(Y88=0,0,Z88/Y88)</f>
        <v/>
      </c>
      <c r="O88">
        <f>MAX(0,(30*Y88)-P88)</f>
        <v/>
      </c>
      <c r="X88">
        <f>MAX([@[BSR 30 Avg]],C88)</f>
        <v/>
      </c>
      <c r="Y88">
        <f>IF(C88=0,0,(C88-X88)/C88)</f>
        <v/>
      </c>
      <c r="Z88">
        <f>MAX([@[BSR 90 Avg]],C88)</f>
        <v/>
      </c>
      <c r="AA88">
        <f>IF(C88=0,0,(C88-Z88)/C88)</f>
        <v/>
      </c>
      <c r="AB88">
        <f>IF(D88=0,0,F88/D88)</f>
        <v/>
      </c>
    </row>
    <row r="89">
      <c r="F89">
        <f>D89-N89</f>
        <v/>
      </c>
      <c r="G89">
        <f>IF(N89=0,0,F89/N89)</f>
        <v/>
      </c>
      <c r="L89">
        <f>IF(Y89=0,0,Z89/Y89)</f>
        <v/>
      </c>
      <c r="O89">
        <f>MAX(0,(30*Y89)-P89)</f>
        <v/>
      </c>
      <c r="X89">
        <f>MAX([@[BSR 30 Avg]],C89)</f>
        <v/>
      </c>
      <c r="Y89">
        <f>IF(C89=0,0,(C89-X89)/C89)</f>
        <v/>
      </c>
      <c r="Z89">
        <f>MAX([@[BSR 90 Avg]],C89)</f>
        <v/>
      </c>
      <c r="AA89">
        <f>IF(C89=0,0,(C89-Z89)/C89)</f>
        <v/>
      </c>
      <c r="AB89">
        <f>IF(D89=0,0,F89/D89)</f>
        <v/>
      </c>
    </row>
    <row r="90">
      <c r="F90">
        <f>D90-N90</f>
        <v/>
      </c>
      <c r="G90">
        <f>IF(N90=0,0,F90/N90)</f>
        <v/>
      </c>
      <c r="L90">
        <f>IF(Y90=0,0,Z90/Y90)</f>
        <v/>
      </c>
      <c r="O90">
        <f>MAX(0,(30*Y90)-P90)</f>
        <v/>
      </c>
      <c r="X90">
        <f>MAX([@[BSR 30 Avg]],C90)</f>
        <v/>
      </c>
      <c r="Y90">
        <f>IF(C90=0,0,(C90-X90)/C90)</f>
        <v/>
      </c>
      <c r="Z90">
        <f>MAX([@[BSR 90 Avg]],C90)</f>
        <v/>
      </c>
      <c r="AA90">
        <f>IF(C90=0,0,(C90-Z90)/C90)</f>
        <v/>
      </c>
      <c r="AB90">
        <f>IF(D90=0,0,F90/D90)</f>
        <v/>
      </c>
    </row>
    <row r="91">
      <c r="F91">
        <f>D91-N91</f>
        <v/>
      </c>
      <c r="G91">
        <f>IF(N91=0,0,F91/N91)</f>
        <v/>
      </c>
      <c r="L91">
        <f>IF(Y91=0,0,Z91/Y91)</f>
        <v/>
      </c>
      <c r="O91">
        <f>MAX(0,(30*Y91)-P91)</f>
        <v/>
      </c>
      <c r="X91">
        <f>MAX([@[BSR 30 Avg]],C91)</f>
        <v/>
      </c>
      <c r="Y91">
        <f>IF(C91=0,0,(C91-X91)/C91)</f>
        <v/>
      </c>
      <c r="Z91">
        <f>MAX([@[BSR 90 Avg]],C91)</f>
        <v/>
      </c>
      <c r="AA91">
        <f>IF(C91=0,0,(C91-Z91)/C91)</f>
        <v/>
      </c>
      <c r="AB91">
        <f>IF(D91=0,0,F91/D91)</f>
        <v/>
      </c>
    </row>
    <row r="92">
      <c r="F92">
        <f>D92-N92</f>
        <v/>
      </c>
      <c r="G92">
        <f>IF(N92=0,0,F92/N92)</f>
        <v/>
      </c>
      <c r="L92">
        <f>IF(Y92=0,0,Z92/Y92)</f>
        <v/>
      </c>
      <c r="O92">
        <f>MAX(0,(30*Y92)-P92)</f>
        <v/>
      </c>
      <c r="X92">
        <f>MAX([@[BSR 30 Avg]],C92)</f>
        <v/>
      </c>
      <c r="Y92">
        <f>IF(C92=0,0,(C92-X92)/C92)</f>
        <v/>
      </c>
      <c r="Z92">
        <f>MAX([@[BSR 90 Avg]],C92)</f>
        <v/>
      </c>
      <c r="AA92">
        <f>IF(C92=0,0,(C92-Z92)/C92)</f>
        <v/>
      </c>
      <c r="AB92">
        <f>IF(D92=0,0,F92/D92)</f>
        <v/>
      </c>
    </row>
    <row r="93">
      <c r="F93">
        <f>D93-N93</f>
        <v/>
      </c>
      <c r="G93">
        <f>IF(N93=0,0,F93/N93)</f>
        <v/>
      </c>
      <c r="L93">
        <f>IF(Y93=0,0,Z93/Y93)</f>
        <v/>
      </c>
      <c r="O93">
        <f>MAX(0,(30*Y93)-P93)</f>
        <v/>
      </c>
      <c r="X93">
        <f>MAX([@[BSR 30 Avg]],C93)</f>
        <v/>
      </c>
      <c r="Y93">
        <f>IF(C93=0,0,(C93-X93)/C93)</f>
        <v/>
      </c>
      <c r="Z93">
        <f>MAX([@[BSR 90 Avg]],C93)</f>
        <v/>
      </c>
      <c r="AA93">
        <f>IF(C93=0,0,(C93-Z93)/C93)</f>
        <v/>
      </c>
      <c r="AB93">
        <f>IF(D93=0,0,F93/D93)</f>
        <v/>
      </c>
    </row>
    <row r="94">
      <c r="F94">
        <f>D94-N94</f>
        <v/>
      </c>
      <c r="G94">
        <f>IF(N94=0,0,F94/N94)</f>
        <v/>
      </c>
      <c r="L94">
        <f>IF(Y94=0,0,Z94/Y94)</f>
        <v/>
      </c>
      <c r="O94">
        <f>MAX(0,(30*Y94)-P94)</f>
        <v/>
      </c>
      <c r="X94">
        <f>MAX([@[BSR 30 Avg]],C94)</f>
        <v/>
      </c>
      <c r="Y94">
        <f>IF(C94=0,0,(C94-X94)/C94)</f>
        <v/>
      </c>
      <c r="Z94">
        <f>MAX([@[BSR 90 Avg]],C94)</f>
        <v/>
      </c>
      <c r="AA94">
        <f>IF(C94=0,0,(C94-Z94)/C94)</f>
        <v/>
      </c>
      <c r="AB94">
        <f>IF(D94=0,0,F94/D94)</f>
        <v/>
      </c>
    </row>
    <row r="95">
      <c r="F95">
        <f>D95-N95</f>
        <v/>
      </c>
      <c r="G95">
        <f>IF(N95=0,0,F95/N95)</f>
        <v/>
      </c>
      <c r="L95">
        <f>IF(Y95=0,0,Z95/Y95)</f>
        <v/>
      </c>
      <c r="O95">
        <f>MAX(0,(30*Y95)-P95)</f>
        <v/>
      </c>
      <c r="X95">
        <f>MAX([@[BSR 30 Avg]],C95)</f>
        <v/>
      </c>
      <c r="Y95">
        <f>IF(C95=0,0,(C95-X95)/C95)</f>
        <v/>
      </c>
      <c r="Z95">
        <f>MAX([@[BSR 90 Avg]],C95)</f>
        <v/>
      </c>
      <c r="AA95">
        <f>IF(C95=0,0,(C95-Z95)/C95)</f>
        <v/>
      </c>
      <c r="AB95">
        <f>IF(D95=0,0,F95/D95)</f>
        <v/>
      </c>
    </row>
    <row r="96">
      <c r="F96">
        <f>D96-N96</f>
        <v/>
      </c>
      <c r="G96">
        <f>IF(N96=0,0,F96/N96)</f>
        <v/>
      </c>
      <c r="L96">
        <f>IF(Y96=0,0,Z96/Y96)</f>
        <v/>
      </c>
      <c r="O96">
        <f>MAX(0,(30*Y96)-P96)</f>
        <v/>
      </c>
      <c r="X96">
        <f>MAX([@[BSR 30 Avg]],C96)</f>
        <v/>
      </c>
      <c r="Y96">
        <f>IF(C96=0,0,(C96-X96)/C96)</f>
        <v/>
      </c>
      <c r="Z96">
        <f>MAX([@[BSR 90 Avg]],C96)</f>
        <v/>
      </c>
      <c r="AA96">
        <f>IF(C96=0,0,(C96-Z96)/C96)</f>
        <v/>
      </c>
      <c r="AB96">
        <f>IF(D96=0,0,F96/D96)</f>
        <v/>
      </c>
    </row>
    <row r="97">
      <c r="F97">
        <f>D97-N97</f>
        <v/>
      </c>
      <c r="G97">
        <f>IF(N97=0,0,F97/N97)</f>
        <v/>
      </c>
      <c r="L97">
        <f>IF(Y97=0,0,Z97/Y97)</f>
        <v/>
      </c>
      <c r="O97">
        <f>MAX(0,(30*Y97)-P97)</f>
        <v/>
      </c>
      <c r="X97">
        <f>MAX([@[BSR 30 Avg]],C97)</f>
        <v/>
      </c>
      <c r="Y97">
        <f>IF(C97=0,0,(C97-X97)/C97)</f>
        <v/>
      </c>
      <c r="Z97">
        <f>MAX([@[BSR 90 Avg]],C97)</f>
        <v/>
      </c>
      <c r="AA97">
        <f>IF(C97=0,0,(C97-Z97)/C97)</f>
        <v/>
      </c>
      <c r="AB97">
        <f>IF(D97=0,0,F97/D97)</f>
        <v/>
      </c>
    </row>
    <row r="98">
      <c r="F98">
        <f>D98-N98</f>
        <v/>
      </c>
      <c r="G98">
        <f>IF(N98=0,0,F98/N98)</f>
        <v/>
      </c>
      <c r="L98">
        <f>IF(Y98=0,0,Z98/Y98)</f>
        <v/>
      </c>
      <c r="O98">
        <f>MAX(0,(30*Y98)-P98)</f>
        <v/>
      </c>
      <c r="X98">
        <f>MAX([@[BSR 30 Avg]],C98)</f>
        <v/>
      </c>
      <c r="Y98">
        <f>IF(C98=0,0,(C98-X98)/C98)</f>
        <v/>
      </c>
      <c r="Z98">
        <f>MAX([@[BSR 90 Avg]],C98)</f>
        <v/>
      </c>
      <c r="AA98">
        <f>IF(C98=0,0,(C98-Z98)/C98)</f>
        <v/>
      </c>
      <c r="AB98">
        <f>IF(D98=0,0,F98/D98)</f>
        <v/>
      </c>
    </row>
    <row r="99">
      <c r="F99">
        <f>D99-N99</f>
        <v/>
      </c>
      <c r="G99">
        <f>IF(N99=0,0,F99/N99)</f>
        <v/>
      </c>
      <c r="L99">
        <f>IF(Y99=0,0,Z99/Y99)</f>
        <v/>
      </c>
      <c r="O99">
        <f>MAX(0,(30*Y99)-P99)</f>
        <v/>
      </c>
      <c r="X99">
        <f>MAX([@[BSR 30 Avg]],C99)</f>
        <v/>
      </c>
      <c r="Y99">
        <f>IF(C99=0,0,(C99-X99)/C99)</f>
        <v/>
      </c>
      <c r="Z99">
        <f>MAX([@[BSR 90 Avg]],C99)</f>
        <v/>
      </c>
      <c r="AA99">
        <f>IF(C99=0,0,(C99-Z99)/C99)</f>
        <v/>
      </c>
      <c r="AB99">
        <f>IF(D99=0,0,F99/D99)</f>
        <v/>
      </c>
    </row>
    <row r="100">
      <c r="F100">
        <f>D100-N100</f>
        <v/>
      </c>
      <c r="G100">
        <f>IF(N100=0,0,F100/N100)</f>
        <v/>
      </c>
      <c r="L100">
        <f>IF(Y100=0,0,Z100/Y100)</f>
        <v/>
      </c>
      <c r="O100">
        <f>MAX(0,(30*Y100)-P100)</f>
        <v/>
      </c>
      <c r="X100">
        <f>MAX([@[BSR 30 Avg]],C100)</f>
        <v/>
      </c>
      <c r="Y100">
        <f>IF(C100=0,0,(C100-X100)/C100)</f>
        <v/>
      </c>
      <c r="Z100">
        <f>MAX([@[BSR 90 Avg]],C100)</f>
        <v/>
      </c>
      <c r="AA100">
        <f>IF(C100=0,0,(C100-Z100)/C100)</f>
        <v/>
      </c>
      <c r="AB100">
        <f>IF(D100=0,0,F100/D100)</f>
        <v/>
      </c>
    </row>
    <row r="101">
      <c r="F101">
        <f>D101-N101</f>
        <v/>
      </c>
      <c r="G101">
        <f>IF(N101=0,0,F101/N101)</f>
        <v/>
      </c>
      <c r="L101">
        <f>IF(Y101=0,0,Z101/Y101)</f>
        <v/>
      </c>
      <c r="O101">
        <f>MAX(0,(30*Y101)-P101)</f>
        <v/>
      </c>
      <c r="X101">
        <f>MAX([@[BSR 30 Avg]],C101)</f>
        <v/>
      </c>
      <c r="Y101">
        <f>IF(C101=0,0,(C101-X101)/C101)</f>
        <v/>
      </c>
      <c r="Z101">
        <f>MAX([@[BSR 90 Avg]],C101)</f>
        <v/>
      </c>
      <c r="AA101">
        <f>IF(C101=0,0,(C101-Z101)/C101)</f>
        <v/>
      </c>
      <c r="AB101">
        <f>IF(D101=0,0,F101/D101)</f>
        <v/>
      </c>
    </row>
    <row r="102">
      <c r="F102">
        <f>D102-N102</f>
        <v/>
      </c>
      <c r="G102">
        <f>IF(N102=0,0,F102/N102)</f>
        <v/>
      </c>
      <c r="L102">
        <f>IF(Y102=0,0,Z102/Y102)</f>
        <v/>
      </c>
      <c r="O102">
        <f>MAX(0,(30*Y102)-P102)</f>
        <v/>
      </c>
      <c r="X102">
        <f>MAX([@[BSR 30 Avg]],C102)</f>
        <v/>
      </c>
      <c r="Y102">
        <f>IF(C102=0,0,(C102-X102)/C102)</f>
        <v/>
      </c>
      <c r="Z102">
        <f>MAX([@[BSR 90 Avg]],C102)</f>
        <v/>
      </c>
      <c r="AA102">
        <f>IF(C102=0,0,(C102-Z102)/C102)</f>
        <v/>
      </c>
      <c r="AB102">
        <f>IF(D102=0,0,F102/D102)</f>
        <v/>
      </c>
    </row>
    <row r="103">
      <c r="F103">
        <f>D103-N103</f>
        <v/>
      </c>
      <c r="G103">
        <f>IF(N103=0,0,F103/N103)</f>
        <v/>
      </c>
      <c r="L103">
        <f>IF(Y103=0,0,Z103/Y103)</f>
        <v/>
      </c>
      <c r="O103">
        <f>MAX(0,(30*Y103)-P103)</f>
        <v/>
      </c>
      <c r="X103">
        <f>MAX([@[BSR 30 Avg]],C103)</f>
        <v/>
      </c>
      <c r="Y103">
        <f>IF(C103=0,0,(C103-X103)/C103)</f>
        <v/>
      </c>
      <c r="Z103">
        <f>MAX([@[BSR 90 Avg]],C103)</f>
        <v/>
      </c>
      <c r="AA103">
        <f>IF(C103=0,0,(C103-Z103)/C103)</f>
        <v/>
      </c>
      <c r="AB103">
        <f>IF(D103=0,0,F103/D103)</f>
        <v/>
      </c>
    </row>
    <row r="104">
      <c r="F104">
        <f>D104-N104</f>
        <v/>
      </c>
      <c r="G104">
        <f>IF(N104=0,0,F104/N104)</f>
        <v/>
      </c>
      <c r="L104">
        <f>IF(Y104=0,0,Z104/Y104)</f>
        <v/>
      </c>
      <c r="O104">
        <f>MAX(0,(30*Y104)-P104)</f>
        <v/>
      </c>
      <c r="X104">
        <f>MAX([@[BSR 30 Avg]],C104)</f>
        <v/>
      </c>
      <c r="Y104">
        <f>IF(C104=0,0,(C104-X104)/C104)</f>
        <v/>
      </c>
      <c r="Z104">
        <f>MAX([@[BSR 90 Avg]],C104)</f>
        <v/>
      </c>
      <c r="AA104">
        <f>IF(C104=0,0,(C104-Z104)/C104)</f>
        <v/>
      </c>
      <c r="AB104">
        <f>IF(D104=0,0,F104/D104)</f>
        <v/>
      </c>
    </row>
    <row r="105">
      <c r="F105">
        <f>D105-N105</f>
        <v/>
      </c>
      <c r="G105">
        <f>IF(N105=0,0,F105/N105)</f>
        <v/>
      </c>
      <c r="L105">
        <f>IF(Y105=0,0,Z105/Y105)</f>
        <v/>
      </c>
      <c r="O105">
        <f>MAX(0,(30*Y105)-P105)</f>
        <v/>
      </c>
      <c r="X105">
        <f>MAX([@[BSR 30 Avg]],C105)</f>
        <v/>
      </c>
      <c r="Y105">
        <f>IF(C105=0,0,(C105-X105)/C105)</f>
        <v/>
      </c>
      <c r="Z105">
        <f>MAX([@[BSR 90 Avg]],C105)</f>
        <v/>
      </c>
      <c r="AA105">
        <f>IF(C105=0,0,(C105-Z105)/C105)</f>
        <v/>
      </c>
      <c r="AB105">
        <f>IF(D105=0,0,F105/D105)</f>
        <v/>
      </c>
    </row>
    <row r="106">
      <c r="F106">
        <f>D106-N106</f>
        <v/>
      </c>
      <c r="G106">
        <f>IF(N106=0,0,F106/N106)</f>
        <v/>
      </c>
      <c r="L106">
        <f>IF(Y106=0,0,Z106/Y106)</f>
        <v/>
      </c>
      <c r="O106">
        <f>MAX(0,(30*Y106)-P106)</f>
        <v/>
      </c>
      <c r="X106">
        <f>MAX([@[BSR 30 Avg]],C106)</f>
        <v/>
      </c>
      <c r="Y106">
        <f>IF(C106=0,0,(C106-X106)/C106)</f>
        <v/>
      </c>
      <c r="Z106">
        <f>MAX([@[BSR 90 Avg]],C106)</f>
        <v/>
      </c>
      <c r="AA106">
        <f>IF(C106=0,0,(C106-Z106)/C106)</f>
        <v/>
      </c>
      <c r="AB106">
        <f>IF(D106=0,0,F106/D106)</f>
        <v/>
      </c>
    </row>
    <row r="107">
      <c r="F107">
        <f>D107-N107</f>
        <v/>
      </c>
      <c r="G107">
        <f>IF(N107=0,0,F107/N107)</f>
        <v/>
      </c>
      <c r="L107">
        <f>IF(Y107=0,0,Z107/Y107)</f>
        <v/>
      </c>
      <c r="O107">
        <f>MAX(0,(30*Y107)-P107)</f>
        <v/>
      </c>
      <c r="X107">
        <f>MAX([@[BSR 30 Avg]],C107)</f>
        <v/>
      </c>
      <c r="Y107">
        <f>IF(C107=0,0,(C107-X107)/C107)</f>
        <v/>
      </c>
      <c r="Z107">
        <f>MAX([@[BSR 90 Avg]],C107)</f>
        <v/>
      </c>
      <c r="AA107">
        <f>IF(C107=0,0,(C107-Z107)/C107)</f>
        <v/>
      </c>
      <c r="AB107">
        <f>IF(D107=0,0,F107/D107)</f>
        <v/>
      </c>
    </row>
    <row r="108">
      <c r="F108">
        <f>D108-N108</f>
        <v/>
      </c>
      <c r="G108">
        <f>IF(N108=0,0,F108/N108)</f>
        <v/>
      </c>
      <c r="L108">
        <f>IF(Y108=0,0,Z108/Y108)</f>
        <v/>
      </c>
      <c r="O108">
        <f>MAX(0,(30*Y108)-P108)</f>
        <v/>
      </c>
      <c r="X108">
        <f>MAX([@[BSR 30 Avg]],C108)</f>
        <v/>
      </c>
      <c r="Y108">
        <f>IF(C108=0,0,(C108-X108)/C108)</f>
        <v/>
      </c>
      <c r="Z108">
        <f>MAX([@[BSR 90 Avg]],C108)</f>
        <v/>
      </c>
      <c r="AA108">
        <f>IF(C108=0,0,(C108-Z108)/C108)</f>
        <v/>
      </c>
      <c r="AB108">
        <f>IF(D108=0,0,F108/D108)</f>
        <v/>
      </c>
    </row>
    <row r="109">
      <c r="F109">
        <f>D109-N109</f>
        <v/>
      </c>
      <c r="G109">
        <f>IF(N109=0,0,F109/N109)</f>
        <v/>
      </c>
      <c r="L109">
        <f>IF(Y109=0,0,Z109/Y109)</f>
        <v/>
      </c>
      <c r="O109">
        <f>MAX(0,(30*Y109)-P109)</f>
        <v/>
      </c>
      <c r="X109">
        <f>MAX([@[BSR 30 Avg]],C109)</f>
        <v/>
      </c>
      <c r="Y109">
        <f>IF(C109=0,0,(C109-X109)/C109)</f>
        <v/>
      </c>
      <c r="Z109">
        <f>MAX([@[BSR 90 Avg]],C109)</f>
        <v/>
      </c>
      <c r="AA109">
        <f>IF(C109=0,0,(C109-Z109)/C109)</f>
        <v/>
      </c>
      <c r="AB109">
        <f>IF(D109=0,0,F109/D109)</f>
        <v/>
      </c>
    </row>
    <row r="110">
      <c r="F110">
        <f>D110-N110</f>
        <v/>
      </c>
      <c r="G110">
        <f>IF(N110=0,0,F110/N110)</f>
        <v/>
      </c>
      <c r="L110">
        <f>IF(Y110=0,0,Z110/Y110)</f>
        <v/>
      </c>
      <c r="O110">
        <f>MAX(0,(30*Y110)-P110)</f>
        <v/>
      </c>
      <c r="X110">
        <f>MAX([@[BSR 30 Avg]],C110)</f>
        <v/>
      </c>
      <c r="Y110">
        <f>IF(C110=0,0,(C110-X110)/C110)</f>
        <v/>
      </c>
      <c r="Z110">
        <f>MAX([@[BSR 90 Avg]],C110)</f>
        <v/>
      </c>
      <c r="AA110">
        <f>IF(C110=0,0,(C110-Z110)/C110)</f>
        <v/>
      </c>
      <c r="AB110">
        <f>IF(D110=0,0,F110/D110)</f>
        <v/>
      </c>
    </row>
    <row r="111">
      <c r="F111">
        <f>D111-N111</f>
        <v/>
      </c>
      <c r="G111">
        <f>IF(N111=0,0,F111/N111)</f>
        <v/>
      </c>
      <c r="L111">
        <f>IF(Y111=0,0,Z111/Y111)</f>
        <v/>
      </c>
      <c r="O111">
        <f>MAX(0,(30*Y111)-P111)</f>
        <v/>
      </c>
      <c r="X111">
        <f>MAX([@[BSR 30 Avg]],C111)</f>
        <v/>
      </c>
      <c r="Y111">
        <f>IF(C111=0,0,(C111-X111)/C111)</f>
        <v/>
      </c>
      <c r="Z111">
        <f>MAX([@[BSR 90 Avg]],C111)</f>
        <v/>
      </c>
      <c r="AA111">
        <f>IF(C111=0,0,(C111-Z111)/C111)</f>
        <v/>
      </c>
      <c r="AB111">
        <f>IF(D111=0,0,F111/D111)</f>
        <v/>
      </c>
    </row>
    <row r="112">
      <c r="F112">
        <f>D112-N112</f>
        <v/>
      </c>
      <c r="G112">
        <f>IF(N112=0,0,F112/N112)</f>
        <v/>
      </c>
      <c r="L112">
        <f>IF(Y112=0,0,Z112/Y112)</f>
        <v/>
      </c>
      <c r="O112">
        <f>MAX(0,(30*Y112)-P112)</f>
        <v/>
      </c>
      <c r="X112">
        <f>MAX([@[BSR 30 Avg]],C112)</f>
        <v/>
      </c>
      <c r="Y112">
        <f>IF(C112=0,0,(C112-X112)/C112)</f>
        <v/>
      </c>
      <c r="Z112">
        <f>MAX([@[BSR 90 Avg]],C112)</f>
        <v/>
      </c>
      <c r="AA112">
        <f>IF(C112=0,0,(C112-Z112)/C112)</f>
        <v/>
      </c>
      <c r="AB112">
        <f>IF(D112=0,0,F112/D112)</f>
        <v/>
      </c>
    </row>
    <row r="113">
      <c r="F113">
        <f>D113-N113</f>
        <v/>
      </c>
      <c r="G113">
        <f>IF(N113=0,0,F113/N113)</f>
        <v/>
      </c>
      <c r="L113">
        <f>IF(Y113=0,0,Z113/Y113)</f>
        <v/>
      </c>
      <c r="O113">
        <f>MAX(0,(30*Y113)-P113)</f>
        <v/>
      </c>
      <c r="X113">
        <f>MAX([@[BSR 30 Avg]],C113)</f>
        <v/>
      </c>
      <c r="Y113">
        <f>IF(C113=0,0,(C113-X113)/C113)</f>
        <v/>
      </c>
      <c r="Z113">
        <f>MAX([@[BSR 90 Avg]],C113)</f>
        <v/>
      </c>
      <c r="AA113">
        <f>IF(C113=0,0,(C113-Z113)/C113)</f>
        <v/>
      </c>
      <c r="AB113">
        <f>IF(D113=0,0,F113/D113)</f>
        <v/>
      </c>
    </row>
    <row r="114">
      <c r="F114">
        <f>D114-N114</f>
        <v/>
      </c>
      <c r="G114">
        <f>IF(N114=0,0,F114/N114)</f>
        <v/>
      </c>
      <c r="L114">
        <f>IF(Y114=0,0,Z114/Y114)</f>
        <v/>
      </c>
      <c r="O114">
        <f>MAX(0,(30*Y114)-P114)</f>
        <v/>
      </c>
      <c r="X114">
        <f>MAX([@[BSR 30 Avg]],C114)</f>
        <v/>
      </c>
      <c r="Y114">
        <f>IF(C114=0,0,(C114-X114)/C114)</f>
        <v/>
      </c>
      <c r="Z114">
        <f>MAX([@[BSR 90 Avg]],C114)</f>
        <v/>
      </c>
      <c r="AA114">
        <f>IF(C114=0,0,(C114-Z114)/C114)</f>
        <v/>
      </c>
      <c r="AB114">
        <f>IF(D114=0,0,F114/D114)</f>
        <v/>
      </c>
    </row>
    <row r="115">
      <c r="F115">
        <f>D115-N115</f>
        <v/>
      </c>
      <c r="G115">
        <f>IF(N115=0,0,F115/N115)</f>
        <v/>
      </c>
      <c r="L115">
        <f>IF(Y115=0,0,Z115/Y115)</f>
        <v/>
      </c>
      <c r="O115">
        <f>MAX(0,(30*Y115)-P115)</f>
        <v/>
      </c>
      <c r="X115">
        <f>MAX([@[BSR 30 Avg]],C115)</f>
        <v/>
      </c>
      <c r="Y115">
        <f>IF(C115=0,0,(C115-X115)/C115)</f>
        <v/>
      </c>
      <c r="Z115">
        <f>MAX([@[BSR 90 Avg]],C115)</f>
        <v/>
      </c>
      <c r="AA115">
        <f>IF(C115=0,0,(C115-Z115)/C115)</f>
        <v/>
      </c>
      <c r="AB115">
        <f>IF(D115=0,0,F115/D115)</f>
        <v/>
      </c>
    </row>
    <row r="116">
      <c r="F116">
        <f>D116-N116</f>
        <v/>
      </c>
      <c r="G116">
        <f>IF(N116=0,0,F116/N116)</f>
        <v/>
      </c>
      <c r="L116">
        <f>IF(Y116=0,0,Z116/Y116)</f>
        <v/>
      </c>
      <c r="O116">
        <f>MAX(0,(30*Y116)-P116)</f>
        <v/>
      </c>
      <c r="X116">
        <f>MAX([@[BSR 30 Avg]],C116)</f>
        <v/>
      </c>
      <c r="Y116">
        <f>IF(C116=0,0,(C116-X116)/C116)</f>
        <v/>
      </c>
      <c r="Z116">
        <f>MAX([@[BSR 90 Avg]],C116)</f>
        <v/>
      </c>
      <c r="AA116">
        <f>IF(C116=0,0,(C116-Z116)/C116)</f>
        <v/>
      </c>
      <c r="AB116">
        <f>IF(D116=0,0,F116/D116)</f>
        <v/>
      </c>
    </row>
    <row r="117">
      <c r="F117">
        <f>D117-N117</f>
        <v/>
      </c>
      <c r="G117">
        <f>IF(N117=0,0,F117/N117)</f>
        <v/>
      </c>
      <c r="L117">
        <f>IF(Y117=0,0,Z117/Y117)</f>
        <v/>
      </c>
      <c r="O117">
        <f>MAX(0,(30*Y117)-P117)</f>
        <v/>
      </c>
      <c r="X117">
        <f>MAX([@[BSR 30 Avg]],C117)</f>
        <v/>
      </c>
      <c r="Y117">
        <f>IF(C117=0,0,(C117-X117)/C117)</f>
        <v/>
      </c>
      <c r="Z117">
        <f>MAX([@[BSR 90 Avg]],C117)</f>
        <v/>
      </c>
      <c r="AA117">
        <f>IF(C117=0,0,(C117-Z117)/C117)</f>
        <v/>
      </c>
      <c r="AB117">
        <f>IF(D117=0,0,F117/D117)</f>
        <v/>
      </c>
    </row>
    <row r="118">
      <c r="F118">
        <f>D118-N118</f>
        <v/>
      </c>
      <c r="G118">
        <f>IF(N118=0,0,F118/N118)</f>
        <v/>
      </c>
      <c r="L118">
        <f>IF(Y118=0,0,Z118/Y118)</f>
        <v/>
      </c>
      <c r="O118">
        <f>MAX(0,(30*Y118)-P118)</f>
        <v/>
      </c>
      <c r="X118">
        <f>MAX([@[BSR 30 Avg]],C118)</f>
        <v/>
      </c>
      <c r="Y118">
        <f>IF(C118=0,0,(C118-X118)/C118)</f>
        <v/>
      </c>
      <c r="Z118">
        <f>MAX([@[BSR 90 Avg]],C118)</f>
        <v/>
      </c>
      <c r="AA118">
        <f>IF(C118=0,0,(C118-Z118)/C118)</f>
        <v/>
      </c>
      <c r="AB118">
        <f>IF(D118=0,0,F118/D118)</f>
        <v/>
      </c>
    </row>
    <row r="119">
      <c r="F119">
        <f>D119-N119</f>
        <v/>
      </c>
      <c r="G119">
        <f>IF(N119=0,0,F119/N119)</f>
        <v/>
      </c>
      <c r="L119">
        <f>IF(Y119=0,0,Z119/Y119)</f>
        <v/>
      </c>
      <c r="O119">
        <f>MAX(0,(30*Y119)-P119)</f>
        <v/>
      </c>
      <c r="X119">
        <f>MAX([@[BSR 30 Avg]],C119)</f>
        <v/>
      </c>
      <c r="Y119">
        <f>IF(C119=0,0,(C119-X119)/C119)</f>
        <v/>
      </c>
      <c r="Z119">
        <f>MAX([@[BSR 90 Avg]],C119)</f>
        <v/>
      </c>
      <c r="AA119">
        <f>IF(C119=0,0,(C119-Z119)/C119)</f>
        <v/>
      </c>
      <c r="AB119">
        <f>IF(D119=0,0,F119/D119)</f>
        <v/>
      </c>
    </row>
    <row r="120">
      <c r="F120">
        <f>D120-N120</f>
        <v/>
      </c>
      <c r="G120">
        <f>IF(N120=0,0,F120/N120)</f>
        <v/>
      </c>
      <c r="L120">
        <f>IF(Y120=0,0,Z120/Y120)</f>
        <v/>
      </c>
      <c r="O120">
        <f>MAX(0,(30*Y120)-P120)</f>
        <v/>
      </c>
      <c r="X120">
        <f>MAX([@[BSR 30 Avg]],C120)</f>
        <v/>
      </c>
      <c r="Y120">
        <f>IF(C120=0,0,(C120-X120)/C120)</f>
        <v/>
      </c>
      <c r="Z120">
        <f>MAX([@[BSR 90 Avg]],C120)</f>
        <v/>
      </c>
      <c r="AA120">
        <f>IF(C120=0,0,(C120-Z120)/C120)</f>
        <v/>
      </c>
      <c r="AB120">
        <f>IF(D120=0,0,F120/D120)</f>
        <v/>
      </c>
    </row>
    <row r="121">
      <c r="F121">
        <f>D121-N121</f>
        <v/>
      </c>
      <c r="G121">
        <f>IF(N121=0,0,F121/N121)</f>
        <v/>
      </c>
      <c r="L121">
        <f>IF(Y121=0,0,Z121/Y121)</f>
        <v/>
      </c>
      <c r="O121">
        <f>MAX(0,(30*Y121)-P121)</f>
        <v/>
      </c>
      <c r="X121">
        <f>MAX([@[BSR 30 Avg]],C121)</f>
        <v/>
      </c>
      <c r="Y121">
        <f>IF(C121=0,0,(C121-X121)/C121)</f>
        <v/>
      </c>
      <c r="Z121">
        <f>MAX([@[BSR 90 Avg]],C121)</f>
        <v/>
      </c>
      <c r="AA121">
        <f>IF(C121=0,0,(C121-Z121)/C121)</f>
        <v/>
      </c>
      <c r="AB121">
        <f>IF(D121=0,0,F121/D121)</f>
        <v/>
      </c>
    </row>
    <row r="122">
      <c r="F122">
        <f>D122-N122</f>
        <v/>
      </c>
      <c r="G122">
        <f>IF(N122=0,0,F122/N122)</f>
        <v/>
      </c>
      <c r="L122">
        <f>IF(Y122=0,0,Z122/Y122)</f>
        <v/>
      </c>
      <c r="O122">
        <f>MAX(0,(30*Y122)-P122)</f>
        <v/>
      </c>
      <c r="X122">
        <f>MAX([@[BSR 30 Avg]],C122)</f>
        <v/>
      </c>
      <c r="Y122">
        <f>IF(C122=0,0,(C122-X122)/C122)</f>
        <v/>
      </c>
      <c r="Z122">
        <f>MAX([@[BSR 90 Avg]],C122)</f>
        <v/>
      </c>
      <c r="AA122">
        <f>IF(C122=0,0,(C122-Z122)/C122)</f>
        <v/>
      </c>
      <c r="AB122">
        <f>IF(D122=0,0,F122/D122)</f>
        <v/>
      </c>
    </row>
    <row r="123">
      <c r="F123">
        <f>D123-N123</f>
        <v/>
      </c>
      <c r="G123">
        <f>IF(N123=0,0,F123/N123)</f>
        <v/>
      </c>
      <c r="L123">
        <f>IF(Y123=0,0,Z123/Y123)</f>
        <v/>
      </c>
      <c r="O123">
        <f>MAX(0,(30*Y123)-P123)</f>
        <v/>
      </c>
      <c r="X123">
        <f>MAX([@[BSR 30 Avg]],C123)</f>
        <v/>
      </c>
      <c r="Y123">
        <f>IF(C123=0,0,(C123-X123)/C123)</f>
        <v/>
      </c>
      <c r="Z123">
        <f>MAX([@[BSR 90 Avg]],C123)</f>
        <v/>
      </c>
      <c r="AA123">
        <f>IF(C123=0,0,(C123-Z123)/C123)</f>
        <v/>
      </c>
      <c r="AB123">
        <f>IF(D123=0,0,F123/D123)</f>
        <v/>
      </c>
    </row>
    <row r="124">
      <c r="F124">
        <f>D124-N124</f>
        <v/>
      </c>
      <c r="G124">
        <f>IF(N124=0,0,F124/N124)</f>
        <v/>
      </c>
      <c r="L124">
        <f>IF(Y124=0,0,Z124/Y124)</f>
        <v/>
      </c>
      <c r="O124">
        <f>MAX(0,(30*Y124)-P124)</f>
        <v/>
      </c>
      <c r="X124">
        <f>MAX([@[BSR 30 Avg]],C124)</f>
        <v/>
      </c>
      <c r="Y124">
        <f>IF(C124=0,0,(C124-X124)/C124)</f>
        <v/>
      </c>
      <c r="Z124">
        <f>MAX([@[BSR 90 Avg]],C124)</f>
        <v/>
      </c>
      <c r="AA124">
        <f>IF(C124=0,0,(C124-Z124)/C124)</f>
        <v/>
      </c>
      <c r="AB124">
        <f>IF(D124=0,0,F124/D124)</f>
        <v/>
      </c>
    </row>
    <row r="125">
      <c r="F125">
        <f>D125-N125</f>
        <v/>
      </c>
      <c r="G125">
        <f>IF(N125=0,0,F125/N125)</f>
        <v/>
      </c>
      <c r="L125">
        <f>IF(Y125=0,0,Z125/Y125)</f>
        <v/>
      </c>
      <c r="O125">
        <f>MAX(0,(30*Y125)-P125)</f>
        <v/>
      </c>
      <c r="X125">
        <f>MAX([@[BSR 30 Avg]],C125)</f>
        <v/>
      </c>
      <c r="Y125">
        <f>IF(C125=0,0,(C125-X125)/C125)</f>
        <v/>
      </c>
      <c r="Z125">
        <f>MAX([@[BSR 90 Avg]],C125)</f>
        <v/>
      </c>
      <c r="AA125">
        <f>IF(C125=0,0,(C125-Z125)/C125)</f>
        <v/>
      </c>
      <c r="AB125">
        <f>IF(D125=0,0,F125/D125)</f>
        <v/>
      </c>
    </row>
    <row r="126">
      <c r="F126">
        <f>D126-N126</f>
        <v/>
      </c>
      <c r="G126">
        <f>IF(N126=0,0,F126/N126)</f>
        <v/>
      </c>
      <c r="L126">
        <f>IF(Y126=0,0,Z126/Y126)</f>
        <v/>
      </c>
      <c r="O126">
        <f>MAX(0,(30*Y126)-P126)</f>
        <v/>
      </c>
      <c r="X126">
        <f>MAX([@[BSR 30 Avg]],C126)</f>
        <v/>
      </c>
      <c r="Y126">
        <f>IF(C126=0,0,(C126-X126)/C126)</f>
        <v/>
      </c>
      <c r="Z126">
        <f>MAX([@[BSR 90 Avg]],C126)</f>
        <v/>
      </c>
      <c r="AA126">
        <f>IF(C126=0,0,(C126-Z126)/C126)</f>
        <v/>
      </c>
      <c r="AB126">
        <f>IF(D126=0,0,F126/D126)</f>
        <v/>
      </c>
    </row>
    <row r="127">
      <c r="F127">
        <f>D127-N127</f>
        <v/>
      </c>
      <c r="G127">
        <f>IF(N127=0,0,F127/N127)</f>
        <v/>
      </c>
      <c r="L127">
        <f>IF(Y127=0,0,Z127/Y127)</f>
        <v/>
      </c>
      <c r="O127">
        <f>MAX(0,(30*Y127)-P127)</f>
        <v/>
      </c>
      <c r="X127">
        <f>MAX([@[BSR 30 Avg]],C127)</f>
        <v/>
      </c>
      <c r="Y127">
        <f>IF(C127=0,0,(C127-X127)/C127)</f>
        <v/>
      </c>
      <c r="Z127">
        <f>MAX([@[BSR 90 Avg]],C127)</f>
        <v/>
      </c>
      <c r="AA127">
        <f>IF(C127=0,0,(C127-Z127)/C127)</f>
        <v/>
      </c>
      <c r="AB127">
        <f>IF(D127=0,0,F127/D127)</f>
        <v/>
      </c>
    </row>
    <row r="128">
      <c r="F128">
        <f>D128-N128</f>
        <v/>
      </c>
      <c r="G128">
        <f>IF(N128=0,0,F128/N128)</f>
        <v/>
      </c>
      <c r="L128">
        <f>IF(Y128=0,0,Z128/Y128)</f>
        <v/>
      </c>
      <c r="O128">
        <f>MAX(0,(30*Y128)-P128)</f>
        <v/>
      </c>
      <c r="X128">
        <f>MAX([@[BSR 30 Avg]],C128)</f>
        <v/>
      </c>
      <c r="Y128">
        <f>IF(C128=0,0,(C128-X128)/C128)</f>
        <v/>
      </c>
      <c r="Z128">
        <f>MAX([@[BSR 90 Avg]],C128)</f>
        <v/>
      </c>
      <c r="AA128">
        <f>IF(C128=0,0,(C128-Z128)/C128)</f>
        <v/>
      </c>
      <c r="AB128">
        <f>IF(D128=0,0,F128/D128)</f>
        <v/>
      </c>
    </row>
    <row r="129">
      <c r="F129">
        <f>D129-N129</f>
        <v/>
      </c>
      <c r="G129">
        <f>IF(N129=0,0,F129/N129)</f>
        <v/>
      </c>
      <c r="L129">
        <f>IF(Y129=0,0,Z129/Y129)</f>
        <v/>
      </c>
      <c r="O129">
        <f>MAX(0,(30*Y129)-P129)</f>
        <v/>
      </c>
      <c r="X129">
        <f>MAX([@[BSR 30 Avg]],C129)</f>
        <v/>
      </c>
      <c r="Y129">
        <f>IF(C129=0,0,(C129-X129)/C129)</f>
        <v/>
      </c>
      <c r="Z129">
        <f>MAX([@[BSR 90 Avg]],C129)</f>
        <v/>
      </c>
      <c r="AA129">
        <f>IF(C129=0,0,(C129-Z129)/C129)</f>
        <v/>
      </c>
      <c r="AB129">
        <f>IF(D129=0,0,F129/D129)</f>
        <v/>
      </c>
    </row>
    <row r="130">
      <c r="F130">
        <f>D130-N130</f>
        <v/>
      </c>
      <c r="G130">
        <f>IF(N130=0,0,F130/N130)</f>
        <v/>
      </c>
      <c r="L130">
        <f>IF(Y130=0,0,Z130/Y130)</f>
        <v/>
      </c>
      <c r="O130">
        <f>MAX(0,(30*Y130)-P130)</f>
        <v/>
      </c>
      <c r="X130">
        <f>MAX([@[BSR 30 Avg]],C130)</f>
        <v/>
      </c>
      <c r="Y130">
        <f>IF(C130=0,0,(C130-X130)/C130)</f>
        <v/>
      </c>
      <c r="Z130">
        <f>MAX([@[BSR 90 Avg]],C130)</f>
        <v/>
      </c>
      <c r="AA130">
        <f>IF(C130=0,0,(C130-Z130)/C130)</f>
        <v/>
      </c>
      <c r="AB130">
        <f>IF(D130=0,0,F130/D130)</f>
        <v/>
      </c>
    </row>
    <row r="131">
      <c r="F131">
        <f>D131-N131</f>
        <v/>
      </c>
      <c r="G131">
        <f>IF(N131=0,0,F131/N131)</f>
        <v/>
      </c>
      <c r="L131">
        <f>IF(Y131=0,0,Z131/Y131)</f>
        <v/>
      </c>
      <c r="O131">
        <f>MAX(0,(30*Y131)-P131)</f>
        <v/>
      </c>
      <c r="X131">
        <f>MAX([@[BSR 30 Avg]],C131)</f>
        <v/>
      </c>
      <c r="Y131">
        <f>IF(C131=0,0,(C131-X131)/C131)</f>
        <v/>
      </c>
      <c r="Z131">
        <f>MAX([@[BSR 90 Avg]],C131)</f>
        <v/>
      </c>
      <c r="AA131">
        <f>IF(C131=0,0,(C131-Z131)/C131)</f>
        <v/>
      </c>
      <c r="AB131">
        <f>IF(D131=0,0,F131/D131)</f>
        <v/>
      </c>
    </row>
    <row r="132">
      <c r="F132">
        <f>D132-N132</f>
        <v/>
      </c>
      <c r="G132">
        <f>IF(N132=0,0,F132/N132)</f>
        <v/>
      </c>
      <c r="L132">
        <f>IF(Y132=0,0,Z132/Y132)</f>
        <v/>
      </c>
      <c r="O132">
        <f>MAX(0,(30*Y132)-P132)</f>
        <v/>
      </c>
      <c r="X132">
        <f>MAX([@[BSR 30 Avg]],C132)</f>
        <v/>
      </c>
      <c r="Y132">
        <f>IF(C132=0,0,(C132-X132)/C132)</f>
        <v/>
      </c>
      <c r="Z132">
        <f>MAX([@[BSR 90 Avg]],C132)</f>
        <v/>
      </c>
      <c r="AA132">
        <f>IF(C132=0,0,(C132-Z132)/C132)</f>
        <v/>
      </c>
      <c r="AB132">
        <f>IF(D132=0,0,F132/D132)</f>
        <v/>
      </c>
    </row>
    <row r="133">
      <c r="F133">
        <f>D133-N133</f>
        <v/>
      </c>
      <c r="G133">
        <f>IF(N133=0,0,F133/N133)</f>
        <v/>
      </c>
      <c r="L133">
        <f>IF(Y133=0,0,Z133/Y133)</f>
        <v/>
      </c>
      <c r="O133">
        <f>MAX(0,(30*Y133)-P133)</f>
        <v/>
      </c>
      <c r="X133">
        <f>MAX([@[BSR 30 Avg]],C133)</f>
        <v/>
      </c>
      <c r="Y133">
        <f>IF(C133=0,0,(C133-X133)/C133)</f>
        <v/>
      </c>
      <c r="Z133">
        <f>MAX([@[BSR 90 Avg]],C133)</f>
        <v/>
      </c>
      <c r="AA133">
        <f>IF(C133=0,0,(C133-Z133)/C133)</f>
        <v/>
      </c>
      <c r="AB133">
        <f>IF(D133=0,0,F133/D133)</f>
        <v/>
      </c>
    </row>
    <row r="134">
      <c r="F134">
        <f>D134-N134</f>
        <v/>
      </c>
      <c r="G134">
        <f>IF(N134=0,0,F134/N134)</f>
        <v/>
      </c>
      <c r="L134">
        <f>IF(Y134=0,0,Z134/Y134)</f>
        <v/>
      </c>
      <c r="O134">
        <f>MAX(0,(30*Y134)-P134)</f>
        <v/>
      </c>
      <c r="X134">
        <f>MAX([@[BSR 30 Avg]],C134)</f>
        <v/>
      </c>
      <c r="Y134">
        <f>IF(C134=0,0,(C134-X134)/C134)</f>
        <v/>
      </c>
      <c r="Z134">
        <f>MAX([@[BSR 90 Avg]],C134)</f>
        <v/>
      </c>
      <c r="AA134">
        <f>IF(C134=0,0,(C134-Z134)/C134)</f>
        <v/>
      </c>
      <c r="AB134">
        <f>IF(D134=0,0,F134/D134)</f>
        <v/>
      </c>
    </row>
    <row r="135">
      <c r="F135">
        <f>D135-N135</f>
        <v/>
      </c>
      <c r="G135">
        <f>IF(N135=0,0,F135/N135)</f>
        <v/>
      </c>
      <c r="L135">
        <f>IF(Y135=0,0,Z135/Y135)</f>
        <v/>
      </c>
      <c r="O135">
        <f>MAX(0,(30*Y135)-P135)</f>
        <v/>
      </c>
      <c r="X135">
        <f>MAX([@[BSR 30 Avg]],C135)</f>
        <v/>
      </c>
      <c r="Y135">
        <f>IF(C135=0,0,(C135-X135)/C135)</f>
        <v/>
      </c>
      <c r="Z135">
        <f>MAX([@[BSR 90 Avg]],C135)</f>
        <v/>
      </c>
      <c r="AA135">
        <f>IF(C135=0,0,(C135-Z135)/C135)</f>
        <v/>
      </c>
      <c r="AB135">
        <f>IF(D135=0,0,F135/D135)</f>
        <v/>
      </c>
    </row>
    <row r="136">
      <c r="F136">
        <f>D136-N136</f>
        <v/>
      </c>
      <c r="G136">
        <f>IF(N136=0,0,F136/N136)</f>
        <v/>
      </c>
      <c r="L136">
        <f>IF(Y136=0,0,Z136/Y136)</f>
        <v/>
      </c>
      <c r="O136">
        <f>MAX(0,(30*Y136)-P136)</f>
        <v/>
      </c>
      <c r="X136">
        <f>MAX([@[BSR 30 Avg]],C136)</f>
        <v/>
      </c>
      <c r="Y136">
        <f>IF(C136=0,0,(C136-X136)/C136)</f>
        <v/>
      </c>
      <c r="Z136">
        <f>MAX([@[BSR 90 Avg]],C136)</f>
        <v/>
      </c>
      <c r="AA136">
        <f>IF(C136=0,0,(C136-Z136)/C136)</f>
        <v/>
      </c>
      <c r="AB136">
        <f>IF(D136=0,0,F136/D136)</f>
        <v/>
      </c>
    </row>
    <row r="137">
      <c r="F137">
        <f>D137-N137</f>
        <v/>
      </c>
      <c r="G137">
        <f>IF(N137=0,0,F137/N137)</f>
        <v/>
      </c>
      <c r="L137">
        <f>IF(Y137=0,0,Z137/Y137)</f>
        <v/>
      </c>
      <c r="O137">
        <f>MAX(0,(30*Y137)-P137)</f>
        <v/>
      </c>
      <c r="X137">
        <f>MAX([@[BSR 30 Avg]],C137)</f>
        <v/>
      </c>
      <c r="Y137">
        <f>IF(C137=0,0,(C137-X137)/C137)</f>
        <v/>
      </c>
      <c r="Z137">
        <f>MAX([@[BSR 90 Avg]],C137)</f>
        <v/>
      </c>
      <c r="AA137">
        <f>IF(C137=0,0,(C137-Z137)/C137)</f>
        <v/>
      </c>
      <c r="AB137">
        <f>IF(D137=0,0,F137/D137)</f>
        <v/>
      </c>
    </row>
    <row r="138">
      <c r="F138">
        <f>D138-N138</f>
        <v/>
      </c>
      <c r="G138">
        <f>IF(N138=0,0,F138/N138)</f>
        <v/>
      </c>
      <c r="L138">
        <f>IF(Y138=0,0,Z138/Y138)</f>
        <v/>
      </c>
      <c r="O138">
        <f>MAX(0,(30*Y138)-P138)</f>
        <v/>
      </c>
      <c r="X138">
        <f>MAX([@[BSR 30 Avg]],C138)</f>
        <v/>
      </c>
      <c r="Y138">
        <f>IF(C138=0,0,(C138-X138)/C138)</f>
        <v/>
      </c>
      <c r="Z138">
        <f>MAX([@[BSR 90 Avg]],C138)</f>
        <v/>
      </c>
      <c r="AA138">
        <f>IF(C138=0,0,(C138-Z138)/C138)</f>
        <v/>
      </c>
      <c r="AB138">
        <f>IF(D138=0,0,F138/D138)</f>
        <v/>
      </c>
    </row>
    <row r="139">
      <c r="F139">
        <f>D139-N139</f>
        <v/>
      </c>
      <c r="G139">
        <f>IF(N139=0,0,F139/N139)</f>
        <v/>
      </c>
      <c r="L139">
        <f>IF(Y139=0,0,Z139/Y139)</f>
        <v/>
      </c>
      <c r="O139">
        <f>MAX(0,(30*Y139)-P139)</f>
        <v/>
      </c>
      <c r="X139">
        <f>MAX([@[BSR 30 Avg]],C139)</f>
        <v/>
      </c>
      <c r="Y139">
        <f>IF(C139=0,0,(C139-X139)/C139)</f>
        <v/>
      </c>
      <c r="Z139">
        <f>MAX([@[BSR 90 Avg]],C139)</f>
        <v/>
      </c>
      <c r="AA139">
        <f>IF(C139=0,0,(C139-Z139)/C139)</f>
        <v/>
      </c>
      <c r="AB139">
        <f>IF(D139=0,0,F139/D139)</f>
        <v/>
      </c>
    </row>
    <row r="140">
      <c r="F140">
        <f>D140-N140</f>
        <v/>
      </c>
      <c r="G140">
        <f>IF(N140=0,0,F140/N140)</f>
        <v/>
      </c>
      <c r="L140">
        <f>IF(Y140=0,0,Z140/Y140)</f>
        <v/>
      </c>
      <c r="O140">
        <f>MAX(0,(30*Y140)-P140)</f>
        <v/>
      </c>
      <c r="X140">
        <f>MAX([@[BSR 30 Avg]],C140)</f>
        <v/>
      </c>
      <c r="Y140">
        <f>IF(C140=0,0,(C140-X140)/C140)</f>
        <v/>
      </c>
      <c r="Z140">
        <f>MAX([@[BSR 90 Avg]],C140)</f>
        <v/>
      </c>
      <c r="AA140">
        <f>IF(C140=0,0,(C140-Z140)/C140)</f>
        <v/>
      </c>
      <c r="AB140">
        <f>IF(D140=0,0,F140/D140)</f>
        <v/>
      </c>
    </row>
    <row r="141">
      <c r="F141">
        <f>D141-N141</f>
        <v/>
      </c>
      <c r="G141">
        <f>IF(N141=0,0,F141/N141)</f>
        <v/>
      </c>
      <c r="L141">
        <f>IF(Y141=0,0,Z141/Y141)</f>
        <v/>
      </c>
      <c r="O141">
        <f>MAX(0,(30*Y141)-P141)</f>
        <v/>
      </c>
      <c r="X141">
        <f>MAX([@[BSR 30 Avg]],C141)</f>
        <v/>
      </c>
      <c r="Y141">
        <f>IF(C141=0,0,(C141-X141)/C141)</f>
        <v/>
      </c>
      <c r="Z141">
        <f>MAX([@[BSR 90 Avg]],C141)</f>
        <v/>
      </c>
      <c r="AA141">
        <f>IF(C141=0,0,(C141-Z141)/C141)</f>
        <v/>
      </c>
      <c r="AB141">
        <f>IF(D141=0,0,F141/D141)</f>
        <v/>
      </c>
    </row>
    <row r="142">
      <c r="F142">
        <f>D142-N142</f>
        <v/>
      </c>
      <c r="G142">
        <f>IF(N142=0,0,F142/N142)</f>
        <v/>
      </c>
      <c r="L142">
        <f>IF(Y142=0,0,Z142/Y142)</f>
        <v/>
      </c>
      <c r="O142">
        <f>MAX(0,(30*Y142)-P142)</f>
        <v/>
      </c>
      <c r="X142">
        <f>MAX([@[BSR 30 Avg]],C142)</f>
        <v/>
      </c>
      <c r="Y142">
        <f>IF(C142=0,0,(C142-X142)/C142)</f>
        <v/>
      </c>
      <c r="Z142">
        <f>MAX([@[BSR 90 Avg]],C142)</f>
        <v/>
      </c>
      <c r="AA142">
        <f>IF(C142=0,0,(C142-Z142)/C142)</f>
        <v/>
      </c>
      <c r="AB142">
        <f>IF(D142=0,0,F142/D142)</f>
        <v/>
      </c>
    </row>
    <row r="143">
      <c r="F143">
        <f>D143-N143</f>
        <v/>
      </c>
      <c r="G143">
        <f>IF(N143=0,0,F143/N143)</f>
        <v/>
      </c>
      <c r="L143">
        <f>IF(Y143=0,0,Z143/Y143)</f>
        <v/>
      </c>
      <c r="O143">
        <f>MAX(0,(30*Y143)-P143)</f>
        <v/>
      </c>
      <c r="X143">
        <f>MAX([@[BSR 30 Avg]],C143)</f>
        <v/>
      </c>
      <c r="Y143">
        <f>IF(C143=0,0,(C143-X143)/C143)</f>
        <v/>
      </c>
      <c r="Z143">
        <f>MAX([@[BSR 90 Avg]],C143)</f>
        <v/>
      </c>
      <c r="AA143">
        <f>IF(C143=0,0,(C143-Z143)/C143)</f>
        <v/>
      </c>
      <c r="AB143">
        <f>IF(D143=0,0,F143/D143)</f>
        <v/>
      </c>
    </row>
    <row r="144">
      <c r="F144">
        <f>D144-N144</f>
        <v/>
      </c>
      <c r="G144">
        <f>IF(N144=0,0,F144/N144)</f>
        <v/>
      </c>
      <c r="L144">
        <f>IF(Y144=0,0,Z144/Y144)</f>
        <v/>
      </c>
      <c r="O144">
        <f>MAX(0,(30*Y144)-P144)</f>
        <v/>
      </c>
      <c r="X144">
        <f>MAX([@[BSR 30 Avg]],C144)</f>
        <v/>
      </c>
      <c r="Y144">
        <f>IF(C144=0,0,(C144-X144)/C144)</f>
        <v/>
      </c>
      <c r="Z144">
        <f>MAX([@[BSR 90 Avg]],C144)</f>
        <v/>
      </c>
      <c r="AA144">
        <f>IF(C144=0,0,(C144-Z144)/C144)</f>
        <v/>
      </c>
      <c r="AB144">
        <f>IF(D144=0,0,F144/D144)</f>
        <v/>
      </c>
    </row>
    <row r="145">
      <c r="F145">
        <f>D145-N145</f>
        <v/>
      </c>
      <c r="G145">
        <f>IF(N145=0,0,F145/N145)</f>
        <v/>
      </c>
      <c r="L145">
        <f>IF(Y145=0,0,Z145/Y145)</f>
        <v/>
      </c>
      <c r="O145">
        <f>MAX(0,(30*Y145)-P145)</f>
        <v/>
      </c>
      <c r="X145">
        <f>MAX([@[BSR 30 Avg]],C145)</f>
        <v/>
      </c>
      <c r="Y145">
        <f>IF(C145=0,0,(C145-X145)/C145)</f>
        <v/>
      </c>
      <c r="Z145">
        <f>MAX([@[BSR 90 Avg]],C145)</f>
        <v/>
      </c>
      <c r="AA145">
        <f>IF(C145=0,0,(C145-Z145)/C145)</f>
        <v/>
      </c>
      <c r="AB145">
        <f>IF(D145=0,0,F145/D145)</f>
        <v/>
      </c>
    </row>
    <row r="146">
      <c r="F146">
        <f>D146-N146</f>
        <v/>
      </c>
      <c r="G146">
        <f>IF(N146=0,0,F146/N146)</f>
        <v/>
      </c>
      <c r="L146">
        <f>IF(Y146=0,0,Z146/Y146)</f>
        <v/>
      </c>
      <c r="O146">
        <f>MAX(0,(30*Y146)-P146)</f>
        <v/>
      </c>
      <c r="X146">
        <f>MAX([@[BSR 30 Avg]],C146)</f>
        <v/>
      </c>
      <c r="Y146">
        <f>IF(C146=0,0,(C146-X146)/C146)</f>
        <v/>
      </c>
      <c r="Z146">
        <f>MAX([@[BSR 90 Avg]],C146)</f>
        <v/>
      </c>
      <c r="AA146">
        <f>IF(C146=0,0,(C146-Z146)/C146)</f>
        <v/>
      </c>
      <c r="AB146">
        <f>IF(D146=0,0,F146/D146)</f>
        <v/>
      </c>
    </row>
    <row r="147">
      <c r="F147">
        <f>D147-N147</f>
        <v/>
      </c>
      <c r="G147">
        <f>IF(N147=0,0,F147/N147)</f>
        <v/>
      </c>
      <c r="L147">
        <f>IF(Y147=0,0,Z147/Y147)</f>
        <v/>
      </c>
      <c r="O147">
        <f>MAX(0,(30*Y147)-P147)</f>
        <v/>
      </c>
      <c r="X147">
        <f>MAX([@[BSR 30 Avg]],C147)</f>
        <v/>
      </c>
      <c r="Y147">
        <f>IF(C147=0,0,(C147-X147)/C147)</f>
        <v/>
      </c>
      <c r="Z147">
        <f>MAX([@[BSR 90 Avg]],C147)</f>
        <v/>
      </c>
      <c r="AA147">
        <f>IF(C147=0,0,(C147-Z147)/C147)</f>
        <v/>
      </c>
      <c r="AB147">
        <f>IF(D147=0,0,F147/D147)</f>
        <v/>
      </c>
    </row>
    <row r="148">
      <c r="F148">
        <f>D148-N148</f>
        <v/>
      </c>
      <c r="G148">
        <f>IF(N148=0,0,F148/N148)</f>
        <v/>
      </c>
      <c r="L148">
        <f>IF(Y148=0,0,Z148/Y148)</f>
        <v/>
      </c>
      <c r="O148">
        <f>MAX(0,(30*Y148)-P148)</f>
        <v/>
      </c>
      <c r="X148">
        <f>MAX([@[BSR 30 Avg]],C148)</f>
        <v/>
      </c>
      <c r="Y148">
        <f>IF(C148=0,0,(C148-X148)/C148)</f>
        <v/>
      </c>
      <c r="Z148">
        <f>MAX([@[BSR 90 Avg]],C148)</f>
        <v/>
      </c>
      <c r="AA148">
        <f>IF(C148=0,0,(C148-Z148)/C148)</f>
        <v/>
      </c>
      <c r="AB148">
        <f>IF(D148=0,0,F148/D148)</f>
        <v/>
      </c>
    </row>
    <row r="149">
      <c r="F149">
        <f>D149-N149</f>
        <v/>
      </c>
      <c r="G149">
        <f>IF(N149=0,0,F149/N149)</f>
        <v/>
      </c>
      <c r="L149">
        <f>IF(Y149=0,0,Z149/Y149)</f>
        <v/>
      </c>
      <c r="O149">
        <f>MAX(0,(30*Y149)-P149)</f>
        <v/>
      </c>
      <c r="X149">
        <f>MAX([@[BSR 30 Avg]],C149)</f>
        <v/>
      </c>
      <c r="Y149">
        <f>IF(C149=0,0,(C149-X149)/C149)</f>
        <v/>
      </c>
      <c r="Z149">
        <f>MAX([@[BSR 90 Avg]],C149)</f>
        <v/>
      </c>
      <c r="AA149">
        <f>IF(C149=0,0,(C149-Z149)/C149)</f>
        <v/>
      </c>
      <c r="AB149">
        <f>IF(D149=0,0,F149/D149)</f>
        <v/>
      </c>
    </row>
    <row r="150">
      <c r="F150">
        <f>D150-N150</f>
        <v/>
      </c>
      <c r="G150">
        <f>IF(N150=0,0,F150/N150)</f>
        <v/>
      </c>
      <c r="L150">
        <f>IF(Y150=0,0,Z150/Y150)</f>
        <v/>
      </c>
      <c r="O150">
        <f>MAX(0,(30*Y150)-P150)</f>
        <v/>
      </c>
      <c r="X150">
        <f>MAX([@[BSR 30 Avg]],C150)</f>
        <v/>
      </c>
      <c r="Y150">
        <f>IF(C150=0,0,(C150-X150)/C150)</f>
        <v/>
      </c>
      <c r="Z150">
        <f>MAX([@[BSR 90 Avg]],C150)</f>
        <v/>
      </c>
      <c r="AA150">
        <f>IF(C150=0,0,(C150-Z150)/C150)</f>
        <v/>
      </c>
      <c r="AB150">
        <f>IF(D150=0,0,F150/D150)</f>
        <v/>
      </c>
    </row>
    <row r="151">
      <c r="F151">
        <f>D151-N151</f>
        <v/>
      </c>
      <c r="G151">
        <f>IF(N151=0,0,F151/N151)</f>
        <v/>
      </c>
      <c r="L151">
        <f>IF(Y151=0,0,Z151/Y151)</f>
        <v/>
      </c>
      <c r="O151">
        <f>MAX(0,(30*Y151)-P151)</f>
        <v/>
      </c>
      <c r="X151">
        <f>MAX([@[BSR 30 Avg]],C151)</f>
        <v/>
      </c>
      <c r="Y151">
        <f>IF(C151=0,0,(C151-X151)/C151)</f>
        <v/>
      </c>
      <c r="Z151">
        <f>MAX([@[BSR 90 Avg]],C151)</f>
        <v/>
      </c>
      <c r="AA151">
        <f>IF(C151=0,0,(C151-Z151)/C151)</f>
        <v/>
      </c>
      <c r="AB151">
        <f>IF(D151=0,0,F151/D151)</f>
        <v/>
      </c>
    </row>
    <row r="152">
      <c r="F152">
        <f>D152-N152</f>
        <v/>
      </c>
      <c r="G152">
        <f>IF(N152=0,0,F152/N152)</f>
        <v/>
      </c>
      <c r="L152">
        <f>IF(Y152=0,0,Z152/Y152)</f>
        <v/>
      </c>
      <c r="O152">
        <f>MAX(0,(30*Y152)-P152)</f>
        <v/>
      </c>
      <c r="X152">
        <f>MAX([@[BSR 30 Avg]],C152)</f>
        <v/>
      </c>
      <c r="Y152">
        <f>IF(C152=0,0,(C152-X152)/C152)</f>
        <v/>
      </c>
      <c r="Z152">
        <f>MAX([@[BSR 90 Avg]],C152)</f>
        <v/>
      </c>
      <c r="AA152">
        <f>IF(C152=0,0,(C152-Z152)/C152)</f>
        <v/>
      </c>
      <c r="AB152">
        <f>IF(D152=0,0,F152/D152)</f>
        <v/>
      </c>
    </row>
    <row r="153">
      <c r="F153">
        <f>D153-N153</f>
        <v/>
      </c>
      <c r="G153">
        <f>IF(N153=0,0,F153/N153)</f>
        <v/>
      </c>
      <c r="L153">
        <f>IF(Y153=0,0,Z153/Y153)</f>
        <v/>
      </c>
      <c r="O153">
        <f>MAX(0,(30*Y153)-P153)</f>
        <v/>
      </c>
      <c r="X153">
        <f>MAX([@[BSR 30 Avg]],C153)</f>
        <v/>
      </c>
      <c r="Y153">
        <f>IF(C153=0,0,(C153-X153)/C153)</f>
        <v/>
      </c>
      <c r="Z153">
        <f>MAX([@[BSR 90 Avg]],C153)</f>
        <v/>
      </c>
      <c r="AA153">
        <f>IF(C153=0,0,(C153-Z153)/C153)</f>
        <v/>
      </c>
      <c r="AB153">
        <f>IF(D153=0,0,F153/D153)</f>
        <v/>
      </c>
    </row>
    <row r="154">
      <c r="F154">
        <f>D154-N154</f>
        <v/>
      </c>
      <c r="G154">
        <f>IF(N154=0,0,F154/N154)</f>
        <v/>
      </c>
      <c r="L154">
        <f>IF(Y154=0,0,Z154/Y154)</f>
        <v/>
      </c>
      <c r="O154">
        <f>MAX(0,(30*Y154)-P154)</f>
        <v/>
      </c>
      <c r="X154">
        <f>MAX([@[BSR 30 Avg]],C154)</f>
        <v/>
      </c>
      <c r="Y154">
        <f>IF(C154=0,0,(C154-X154)/C154)</f>
        <v/>
      </c>
      <c r="Z154">
        <f>MAX([@[BSR 90 Avg]],C154)</f>
        <v/>
      </c>
      <c r="AA154">
        <f>IF(C154=0,0,(C154-Z154)/C154)</f>
        <v/>
      </c>
      <c r="AB154">
        <f>IF(D154=0,0,F154/D154)</f>
        <v/>
      </c>
    </row>
    <row r="155">
      <c r="F155">
        <f>D155-N155</f>
        <v/>
      </c>
      <c r="G155">
        <f>IF(N155=0,0,F155/N155)</f>
        <v/>
      </c>
      <c r="L155">
        <f>IF(Y155=0,0,Z155/Y155)</f>
        <v/>
      </c>
      <c r="O155">
        <f>MAX(0,(30*Y155)-P155)</f>
        <v/>
      </c>
      <c r="X155">
        <f>MAX([@[BSR 30 Avg]],C155)</f>
        <v/>
      </c>
      <c r="Y155">
        <f>IF(C155=0,0,(C155-X155)/C155)</f>
        <v/>
      </c>
      <c r="Z155">
        <f>MAX([@[BSR 90 Avg]],C155)</f>
        <v/>
      </c>
      <c r="AA155">
        <f>IF(C155=0,0,(C155-Z155)/C155)</f>
        <v/>
      </c>
      <c r="AB155">
        <f>IF(D155=0,0,F155/D155)</f>
        <v/>
      </c>
    </row>
    <row r="156">
      <c r="F156">
        <f>D156-N156</f>
        <v/>
      </c>
      <c r="G156">
        <f>IF(N156=0,0,F156/N156)</f>
        <v/>
      </c>
      <c r="L156">
        <f>IF(Y156=0,0,Z156/Y156)</f>
        <v/>
      </c>
      <c r="O156">
        <f>MAX(0,(30*Y156)-P156)</f>
        <v/>
      </c>
      <c r="X156">
        <f>MAX([@[BSR 30 Avg]],C156)</f>
        <v/>
      </c>
      <c r="Y156">
        <f>IF(C156=0,0,(C156-X156)/C156)</f>
        <v/>
      </c>
      <c r="Z156">
        <f>MAX([@[BSR 90 Avg]],C156)</f>
        <v/>
      </c>
      <c r="AA156">
        <f>IF(C156=0,0,(C156-Z156)/C156)</f>
        <v/>
      </c>
      <c r="AB156">
        <f>IF(D156=0,0,F156/D156)</f>
        <v/>
      </c>
    </row>
    <row r="157">
      <c r="F157">
        <f>D157-N157</f>
        <v/>
      </c>
      <c r="G157">
        <f>IF(N157=0,0,F157/N157)</f>
        <v/>
      </c>
      <c r="L157">
        <f>IF(Y157=0,0,Z157/Y157)</f>
        <v/>
      </c>
      <c r="O157">
        <f>MAX(0,(30*Y157)-P157)</f>
        <v/>
      </c>
      <c r="X157">
        <f>MAX([@[BSR 30 Avg]],C157)</f>
        <v/>
      </c>
      <c r="Y157">
        <f>IF(C157=0,0,(C157-X157)/C157)</f>
        <v/>
      </c>
      <c r="Z157">
        <f>MAX([@[BSR 90 Avg]],C157)</f>
        <v/>
      </c>
      <c r="AA157">
        <f>IF(C157=0,0,(C157-Z157)/C157)</f>
        <v/>
      </c>
      <c r="AB157">
        <f>IF(D157=0,0,F157/D157)</f>
        <v/>
      </c>
    </row>
    <row r="158">
      <c r="F158">
        <f>D158-N158</f>
        <v/>
      </c>
      <c r="G158">
        <f>IF(N158=0,0,F158/N158)</f>
        <v/>
      </c>
      <c r="L158">
        <f>IF(Y158=0,0,Z158/Y158)</f>
        <v/>
      </c>
      <c r="O158">
        <f>MAX(0,(30*Y158)-P158)</f>
        <v/>
      </c>
      <c r="X158">
        <f>MAX([@[BSR 30 Avg]],C158)</f>
        <v/>
      </c>
      <c r="Y158">
        <f>IF(C158=0,0,(C158-X158)/C158)</f>
        <v/>
      </c>
      <c r="Z158">
        <f>MAX([@[BSR 90 Avg]],C158)</f>
        <v/>
      </c>
      <c r="AA158">
        <f>IF(C158=0,0,(C158-Z158)/C158)</f>
        <v/>
      </c>
      <c r="AB158">
        <f>IF(D158=0,0,F158/D158)</f>
        <v/>
      </c>
    </row>
    <row r="159">
      <c r="F159">
        <f>D159-N159</f>
        <v/>
      </c>
      <c r="G159">
        <f>IF(N159=0,0,F159/N159)</f>
        <v/>
      </c>
      <c r="L159">
        <f>IF(Y159=0,0,Z159/Y159)</f>
        <v/>
      </c>
      <c r="O159">
        <f>MAX(0,(30*Y159)-P159)</f>
        <v/>
      </c>
      <c r="X159">
        <f>MAX([@[BSR 30 Avg]],C159)</f>
        <v/>
      </c>
      <c r="Y159">
        <f>IF(C159=0,0,(C159-X159)/C159)</f>
        <v/>
      </c>
      <c r="Z159">
        <f>MAX([@[BSR 90 Avg]],C159)</f>
        <v/>
      </c>
      <c r="AA159">
        <f>IF(C159=0,0,(C159-Z159)/C159)</f>
        <v/>
      </c>
      <c r="AB159">
        <f>IF(D159=0,0,F159/D159)</f>
        <v/>
      </c>
    </row>
    <row r="160">
      <c r="F160">
        <f>D160-N160</f>
        <v/>
      </c>
      <c r="G160">
        <f>IF(N160=0,0,F160/N160)</f>
        <v/>
      </c>
      <c r="L160">
        <f>IF(Y160=0,0,Z160/Y160)</f>
        <v/>
      </c>
      <c r="O160">
        <f>MAX(0,(30*Y160)-P160)</f>
        <v/>
      </c>
      <c r="X160">
        <f>MAX([@[BSR 30 Avg]],C160)</f>
        <v/>
      </c>
      <c r="Y160">
        <f>IF(C160=0,0,(C160-X160)/C160)</f>
        <v/>
      </c>
      <c r="Z160">
        <f>MAX([@[BSR 90 Avg]],C160)</f>
        <v/>
      </c>
      <c r="AA160">
        <f>IF(C160=0,0,(C160-Z160)/C160)</f>
        <v/>
      </c>
      <c r="AB160">
        <f>IF(D160=0,0,F160/D160)</f>
        <v/>
      </c>
    </row>
    <row r="161">
      <c r="F161">
        <f>D161-N161</f>
        <v/>
      </c>
      <c r="G161">
        <f>IF(N161=0,0,F161/N161)</f>
        <v/>
      </c>
      <c r="L161">
        <f>IF(Y161=0,0,Z161/Y161)</f>
        <v/>
      </c>
      <c r="O161">
        <f>MAX(0,(30*Y161)-P161)</f>
        <v/>
      </c>
      <c r="X161">
        <f>MAX([@[BSR 30 Avg]],C161)</f>
        <v/>
      </c>
      <c r="Y161">
        <f>IF(C161=0,0,(C161-X161)/C161)</f>
        <v/>
      </c>
      <c r="Z161">
        <f>MAX([@[BSR 90 Avg]],C161)</f>
        <v/>
      </c>
      <c r="AA161">
        <f>IF(C161=0,0,(C161-Z161)/C161)</f>
        <v/>
      </c>
      <c r="AB161">
        <f>IF(D161=0,0,F161/D161)</f>
        <v/>
      </c>
    </row>
    <row r="162">
      <c r="F162">
        <f>D162-N162</f>
        <v/>
      </c>
      <c r="G162">
        <f>IF(N162=0,0,F162/N162)</f>
        <v/>
      </c>
      <c r="L162">
        <f>IF(Y162=0,0,Z162/Y162)</f>
        <v/>
      </c>
      <c r="O162">
        <f>MAX(0,(30*Y162)-P162)</f>
        <v/>
      </c>
      <c r="X162">
        <f>MAX([@[BSR 30 Avg]],C162)</f>
        <v/>
      </c>
      <c r="Y162">
        <f>IF(C162=0,0,(C162-X162)/C162)</f>
        <v/>
      </c>
      <c r="Z162">
        <f>MAX([@[BSR 90 Avg]],C162)</f>
        <v/>
      </c>
      <c r="AA162">
        <f>IF(C162=0,0,(C162-Z162)/C162)</f>
        <v/>
      </c>
      <c r="AB162">
        <f>IF(D162=0,0,F162/D162)</f>
        <v/>
      </c>
    </row>
    <row r="163">
      <c r="F163">
        <f>D163-N163</f>
        <v/>
      </c>
      <c r="G163">
        <f>IF(N163=0,0,F163/N163)</f>
        <v/>
      </c>
      <c r="L163">
        <f>IF(Y163=0,0,Z163/Y163)</f>
        <v/>
      </c>
      <c r="O163">
        <f>MAX(0,(30*Y163)-P163)</f>
        <v/>
      </c>
      <c r="X163">
        <f>MAX([@[BSR 30 Avg]],C163)</f>
        <v/>
      </c>
      <c r="Y163">
        <f>IF(C163=0,0,(C163-X163)/C163)</f>
        <v/>
      </c>
      <c r="Z163">
        <f>MAX([@[BSR 90 Avg]],C163)</f>
        <v/>
      </c>
      <c r="AA163">
        <f>IF(C163=0,0,(C163-Z163)/C163)</f>
        <v/>
      </c>
      <c r="AB163">
        <f>IF(D163=0,0,F163/D163)</f>
        <v/>
      </c>
    </row>
    <row r="164">
      <c r="F164">
        <f>D164-N164</f>
        <v/>
      </c>
      <c r="G164">
        <f>IF(N164=0,0,F164/N164)</f>
        <v/>
      </c>
      <c r="L164">
        <f>IF(Y164=0,0,Z164/Y164)</f>
        <v/>
      </c>
      <c r="O164">
        <f>MAX(0,(30*Y164)-P164)</f>
        <v/>
      </c>
      <c r="X164">
        <f>MAX([@[BSR 30 Avg]],C164)</f>
        <v/>
      </c>
      <c r="Y164">
        <f>IF(C164=0,0,(C164-X164)/C164)</f>
        <v/>
      </c>
      <c r="Z164">
        <f>MAX([@[BSR 90 Avg]],C164)</f>
        <v/>
      </c>
      <c r="AA164">
        <f>IF(C164=0,0,(C164-Z164)/C164)</f>
        <v/>
      </c>
      <c r="AB164">
        <f>IF(D164=0,0,F164/D164)</f>
        <v/>
      </c>
    </row>
    <row r="165">
      <c r="F165">
        <f>D165-N165</f>
        <v/>
      </c>
      <c r="G165">
        <f>IF(N165=0,0,F165/N165)</f>
        <v/>
      </c>
      <c r="L165">
        <f>IF(Y165=0,0,Z165/Y165)</f>
        <v/>
      </c>
      <c r="O165">
        <f>MAX(0,(30*Y165)-P165)</f>
        <v/>
      </c>
      <c r="X165">
        <f>MAX([@[BSR 30 Avg]],C165)</f>
        <v/>
      </c>
      <c r="Y165">
        <f>IF(C165=0,0,(C165-X165)/C165)</f>
        <v/>
      </c>
      <c r="Z165">
        <f>MAX([@[BSR 90 Avg]],C165)</f>
        <v/>
      </c>
      <c r="AA165">
        <f>IF(C165=0,0,(C165-Z165)/C165)</f>
        <v/>
      </c>
      <c r="AB165">
        <f>IF(D165=0,0,F165/D165)</f>
        <v/>
      </c>
    </row>
    <row r="166">
      <c r="F166">
        <f>D166-N166</f>
        <v/>
      </c>
      <c r="G166">
        <f>IF(N166=0,0,F166/N166)</f>
        <v/>
      </c>
      <c r="L166">
        <f>IF(Y166=0,0,Z166/Y166)</f>
        <v/>
      </c>
      <c r="O166">
        <f>MAX(0,(30*Y166)-P166)</f>
        <v/>
      </c>
      <c r="X166">
        <f>MAX([@[BSR 30 Avg]],C166)</f>
        <v/>
      </c>
      <c r="Y166">
        <f>IF(C166=0,0,(C166-X166)/C166)</f>
        <v/>
      </c>
      <c r="Z166">
        <f>MAX([@[BSR 90 Avg]],C166)</f>
        <v/>
      </c>
      <c r="AA166">
        <f>IF(C166=0,0,(C166-Z166)/C166)</f>
        <v/>
      </c>
      <c r="AB166">
        <f>IF(D166=0,0,F166/D166)</f>
        <v/>
      </c>
    </row>
    <row r="167">
      <c r="F167">
        <f>D167-N167</f>
        <v/>
      </c>
      <c r="G167">
        <f>IF(N167=0,0,F167/N167)</f>
        <v/>
      </c>
      <c r="L167">
        <f>IF(Y167=0,0,Z167/Y167)</f>
        <v/>
      </c>
      <c r="O167">
        <f>MAX(0,(30*Y167)-P167)</f>
        <v/>
      </c>
      <c r="X167">
        <f>MAX([@[BSR 30 Avg]],C167)</f>
        <v/>
      </c>
      <c r="Y167">
        <f>IF(C167=0,0,(C167-X167)/C167)</f>
        <v/>
      </c>
      <c r="Z167">
        <f>MAX([@[BSR 90 Avg]],C167)</f>
        <v/>
      </c>
      <c r="AA167">
        <f>IF(C167=0,0,(C167-Z167)/C167)</f>
        <v/>
      </c>
      <c r="AB167">
        <f>IF(D167=0,0,F167/D167)</f>
        <v/>
      </c>
    </row>
    <row r="168">
      <c r="F168">
        <f>D168-N168</f>
        <v/>
      </c>
      <c r="G168">
        <f>IF(N168=0,0,F168/N168)</f>
        <v/>
      </c>
      <c r="L168">
        <f>IF(Y168=0,0,Z168/Y168)</f>
        <v/>
      </c>
      <c r="O168">
        <f>MAX(0,(30*Y168)-P168)</f>
        <v/>
      </c>
      <c r="X168">
        <f>MAX([@[BSR 30 Avg]],C168)</f>
        <v/>
      </c>
      <c r="Y168">
        <f>IF(C168=0,0,(C168-X168)/C168)</f>
        <v/>
      </c>
      <c r="Z168">
        <f>MAX([@[BSR 90 Avg]],C168)</f>
        <v/>
      </c>
      <c r="AA168">
        <f>IF(C168=0,0,(C168-Z168)/C168)</f>
        <v/>
      </c>
      <c r="AB168">
        <f>IF(D168=0,0,F168/D168)</f>
        <v/>
      </c>
    </row>
    <row r="169">
      <c r="F169">
        <f>D169-N169</f>
        <v/>
      </c>
      <c r="G169">
        <f>IF(N169=0,0,F169/N169)</f>
        <v/>
      </c>
      <c r="L169">
        <f>IF(Y169=0,0,Z169/Y169)</f>
        <v/>
      </c>
      <c r="O169">
        <f>MAX(0,(30*Y169)-P169)</f>
        <v/>
      </c>
      <c r="X169">
        <f>MAX([@[BSR 30 Avg]],C169)</f>
        <v/>
      </c>
      <c r="Y169">
        <f>IF(C169=0,0,(C169-X169)/C169)</f>
        <v/>
      </c>
      <c r="Z169">
        <f>MAX([@[BSR 90 Avg]],C169)</f>
        <v/>
      </c>
      <c r="AA169">
        <f>IF(C169=0,0,(C169-Z169)/C169)</f>
        <v/>
      </c>
      <c r="AB169">
        <f>IF(D169=0,0,F169/D169)</f>
        <v/>
      </c>
    </row>
    <row r="170">
      <c r="F170">
        <f>D170-N170</f>
        <v/>
      </c>
      <c r="G170">
        <f>IF(N170=0,0,F170/N170)</f>
        <v/>
      </c>
      <c r="L170">
        <f>IF(Y170=0,0,Z170/Y170)</f>
        <v/>
      </c>
      <c r="O170">
        <f>MAX(0,(30*Y170)-P170)</f>
        <v/>
      </c>
      <c r="X170">
        <f>MAX([@[BSR 30 Avg]],C170)</f>
        <v/>
      </c>
      <c r="Y170">
        <f>IF(C170=0,0,(C170-X170)/C170)</f>
        <v/>
      </c>
      <c r="Z170">
        <f>MAX([@[BSR 90 Avg]],C170)</f>
        <v/>
      </c>
      <c r="AA170">
        <f>IF(C170=0,0,(C170-Z170)/C170)</f>
        <v/>
      </c>
      <c r="AB170">
        <f>IF(D170=0,0,F170/D170)</f>
        <v/>
      </c>
    </row>
    <row r="171">
      <c r="F171">
        <f>D171-N171</f>
        <v/>
      </c>
      <c r="G171">
        <f>IF(N171=0,0,F171/N171)</f>
        <v/>
      </c>
      <c r="L171">
        <f>IF(Y171=0,0,Z171/Y171)</f>
        <v/>
      </c>
      <c r="O171">
        <f>MAX(0,(30*Y171)-P171)</f>
        <v/>
      </c>
      <c r="X171">
        <f>MAX([@[BSR 30 Avg]],C171)</f>
        <v/>
      </c>
      <c r="Y171">
        <f>IF(C171=0,0,(C171-X171)/C171)</f>
        <v/>
      </c>
      <c r="Z171">
        <f>MAX([@[BSR 90 Avg]],C171)</f>
        <v/>
      </c>
      <c r="AA171">
        <f>IF(C171=0,0,(C171-Z171)/C171)</f>
        <v/>
      </c>
      <c r="AB171">
        <f>IF(D171=0,0,F171/D171)</f>
        <v/>
      </c>
    </row>
    <row r="172">
      <c r="F172">
        <f>D172-N172</f>
        <v/>
      </c>
      <c r="G172">
        <f>IF(N172=0,0,F172/N172)</f>
        <v/>
      </c>
      <c r="L172">
        <f>IF(Y172=0,0,Z172/Y172)</f>
        <v/>
      </c>
      <c r="O172">
        <f>MAX(0,(30*Y172)-P172)</f>
        <v/>
      </c>
      <c r="X172">
        <f>MAX([@[BSR 30 Avg]],C172)</f>
        <v/>
      </c>
      <c r="Y172">
        <f>IF(C172=0,0,(C172-X172)/C172)</f>
        <v/>
      </c>
      <c r="Z172">
        <f>MAX([@[BSR 90 Avg]],C172)</f>
        <v/>
      </c>
      <c r="AA172">
        <f>IF(C172=0,0,(C172-Z172)/C172)</f>
        <v/>
      </c>
      <c r="AB172">
        <f>IF(D172=0,0,F172/D172)</f>
        <v/>
      </c>
    </row>
    <row r="173">
      <c r="F173">
        <f>D173-N173</f>
        <v/>
      </c>
      <c r="G173">
        <f>IF(N173=0,0,F173/N173)</f>
        <v/>
      </c>
      <c r="L173">
        <f>IF(Y173=0,0,Z173/Y173)</f>
        <v/>
      </c>
      <c r="O173">
        <f>MAX(0,(30*Y173)-P173)</f>
        <v/>
      </c>
      <c r="X173">
        <f>MAX([@[BSR 30 Avg]],C173)</f>
        <v/>
      </c>
      <c r="Y173">
        <f>IF(C173=0,0,(C173-X173)/C173)</f>
        <v/>
      </c>
      <c r="Z173">
        <f>MAX([@[BSR 90 Avg]],C173)</f>
        <v/>
      </c>
      <c r="AA173">
        <f>IF(C173=0,0,(C173-Z173)/C173)</f>
        <v/>
      </c>
      <c r="AB173">
        <f>IF(D173=0,0,F173/D173)</f>
        <v/>
      </c>
    </row>
    <row r="174">
      <c r="F174">
        <f>D174-N174</f>
        <v/>
      </c>
      <c r="G174">
        <f>IF(N174=0,0,F174/N174)</f>
        <v/>
      </c>
      <c r="L174">
        <f>IF(Y174=0,0,Z174/Y174)</f>
        <v/>
      </c>
      <c r="O174">
        <f>MAX(0,(30*Y174)-P174)</f>
        <v/>
      </c>
      <c r="X174">
        <f>MAX([@[BSR 30 Avg]],C174)</f>
        <v/>
      </c>
      <c r="Y174">
        <f>IF(C174=0,0,(C174-X174)/C174)</f>
        <v/>
      </c>
      <c r="Z174">
        <f>MAX([@[BSR 90 Avg]],C174)</f>
        <v/>
      </c>
      <c r="AA174">
        <f>IF(C174=0,0,(C174-Z174)/C174)</f>
        <v/>
      </c>
      <c r="AB174">
        <f>IF(D174=0,0,F174/D174)</f>
        <v/>
      </c>
    </row>
    <row r="175">
      <c r="F175">
        <f>D175-N175</f>
        <v/>
      </c>
      <c r="G175">
        <f>IF(N175=0,0,F175/N175)</f>
        <v/>
      </c>
      <c r="L175">
        <f>IF(Y175=0,0,Z175/Y175)</f>
        <v/>
      </c>
      <c r="O175">
        <f>MAX(0,(30*Y175)-P175)</f>
        <v/>
      </c>
      <c r="X175">
        <f>MAX([@[BSR 30 Avg]],C175)</f>
        <v/>
      </c>
      <c r="Y175">
        <f>IF(C175=0,0,(C175-X175)/C175)</f>
        <v/>
      </c>
      <c r="Z175">
        <f>MAX([@[BSR 90 Avg]],C175)</f>
        <v/>
      </c>
      <c r="AA175">
        <f>IF(C175=0,0,(C175-Z175)/C175)</f>
        <v/>
      </c>
      <c r="AB175">
        <f>IF(D175=0,0,F175/D175)</f>
        <v/>
      </c>
    </row>
    <row r="176">
      <c r="F176">
        <f>D176-N176</f>
        <v/>
      </c>
      <c r="G176">
        <f>IF(N176=0,0,F176/N176)</f>
        <v/>
      </c>
      <c r="L176">
        <f>IF(Y176=0,0,Z176/Y176)</f>
        <v/>
      </c>
      <c r="O176">
        <f>MAX(0,(30*Y176)-P176)</f>
        <v/>
      </c>
      <c r="X176">
        <f>MAX([@[BSR 30 Avg]],C176)</f>
        <v/>
      </c>
      <c r="Y176">
        <f>IF(C176=0,0,(C176-X176)/C176)</f>
        <v/>
      </c>
      <c r="Z176">
        <f>MAX([@[BSR 90 Avg]],C176)</f>
        <v/>
      </c>
      <c r="AA176">
        <f>IF(C176=0,0,(C176-Z176)/C176)</f>
        <v/>
      </c>
      <c r="AB176">
        <f>IF(D176=0,0,F176/D176)</f>
        <v/>
      </c>
    </row>
    <row r="177">
      <c r="F177">
        <f>D177-N177</f>
        <v/>
      </c>
      <c r="G177">
        <f>IF(N177=0,0,F177/N177)</f>
        <v/>
      </c>
      <c r="L177">
        <f>IF(Y177=0,0,Z177/Y177)</f>
        <v/>
      </c>
      <c r="O177">
        <f>MAX(0,(30*Y177)-P177)</f>
        <v/>
      </c>
      <c r="X177">
        <f>MAX([@[BSR 30 Avg]],C177)</f>
        <v/>
      </c>
      <c r="Y177">
        <f>IF(C177=0,0,(C177-X177)/C177)</f>
        <v/>
      </c>
      <c r="Z177">
        <f>MAX([@[BSR 90 Avg]],C177)</f>
        <v/>
      </c>
      <c r="AA177">
        <f>IF(C177=0,0,(C177-Z177)/C177)</f>
        <v/>
      </c>
      <c r="AB177">
        <f>IF(D177=0,0,F177/D177)</f>
        <v/>
      </c>
    </row>
    <row r="178">
      <c r="F178">
        <f>D178-N178</f>
        <v/>
      </c>
      <c r="G178">
        <f>IF(N178=0,0,F178/N178)</f>
        <v/>
      </c>
      <c r="L178">
        <f>IF(Y178=0,0,Z178/Y178)</f>
        <v/>
      </c>
      <c r="O178">
        <f>MAX(0,(30*Y178)-P178)</f>
        <v/>
      </c>
      <c r="X178">
        <f>MAX([@[BSR 30 Avg]],C178)</f>
        <v/>
      </c>
      <c r="Y178">
        <f>IF(C178=0,0,(C178-X178)/C178)</f>
        <v/>
      </c>
      <c r="Z178">
        <f>MAX([@[BSR 90 Avg]],C178)</f>
        <v/>
      </c>
      <c r="AA178">
        <f>IF(C178=0,0,(C178-Z178)/C178)</f>
        <v/>
      </c>
      <c r="AB178">
        <f>IF(D178=0,0,F178/D178)</f>
        <v/>
      </c>
    </row>
    <row r="179">
      <c r="F179">
        <f>D179-N179</f>
        <v/>
      </c>
      <c r="G179">
        <f>IF(N179=0,0,F179/N179)</f>
        <v/>
      </c>
      <c r="L179">
        <f>IF(Y179=0,0,Z179/Y179)</f>
        <v/>
      </c>
      <c r="O179">
        <f>MAX(0,(30*Y179)-P179)</f>
        <v/>
      </c>
      <c r="X179">
        <f>MAX([@[BSR 30 Avg]],C179)</f>
        <v/>
      </c>
      <c r="Y179">
        <f>IF(C179=0,0,(C179-X179)/C179)</f>
        <v/>
      </c>
      <c r="Z179">
        <f>MAX([@[BSR 90 Avg]],C179)</f>
        <v/>
      </c>
      <c r="AA179">
        <f>IF(C179=0,0,(C179-Z179)/C179)</f>
        <v/>
      </c>
      <c r="AB179">
        <f>IF(D179=0,0,F179/D179)</f>
        <v/>
      </c>
    </row>
    <row r="180">
      <c r="F180">
        <f>D180-N180</f>
        <v/>
      </c>
      <c r="G180">
        <f>IF(N180=0,0,F180/N180)</f>
        <v/>
      </c>
      <c r="L180">
        <f>IF(Y180=0,0,Z180/Y180)</f>
        <v/>
      </c>
      <c r="O180">
        <f>MAX(0,(30*Y180)-P180)</f>
        <v/>
      </c>
      <c r="X180">
        <f>MAX([@[BSR 30 Avg]],C180)</f>
        <v/>
      </c>
      <c r="Y180">
        <f>IF(C180=0,0,(C180-X180)/C180)</f>
        <v/>
      </c>
      <c r="Z180">
        <f>MAX([@[BSR 90 Avg]],C180)</f>
        <v/>
      </c>
      <c r="AA180">
        <f>IF(C180=0,0,(C180-Z180)/C180)</f>
        <v/>
      </c>
      <c r="AB180">
        <f>IF(D180=0,0,F180/D180)</f>
        <v/>
      </c>
    </row>
    <row r="181">
      <c r="F181">
        <f>D181-N181</f>
        <v/>
      </c>
      <c r="G181">
        <f>IF(N181=0,0,F181/N181)</f>
        <v/>
      </c>
      <c r="L181">
        <f>IF(Y181=0,0,Z181/Y181)</f>
        <v/>
      </c>
      <c r="O181">
        <f>MAX(0,(30*Y181)-P181)</f>
        <v/>
      </c>
      <c r="X181">
        <f>MAX([@[BSR 30 Avg]],C181)</f>
        <v/>
      </c>
      <c r="Y181">
        <f>IF(C181=0,0,(C181-X181)/C181)</f>
        <v/>
      </c>
      <c r="Z181">
        <f>MAX([@[BSR 90 Avg]],C181)</f>
        <v/>
      </c>
      <c r="AA181">
        <f>IF(C181=0,0,(C181-Z181)/C181)</f>
        <v/>
      </c>
      <c r="AB181">
        <f>IF(D181=0,0,F181/D181)</f>
        <v/>
      </c>
    </row>
    <row r="182">
      <c r="F182">
        <f>D182-N182</f>
        <v/>
      </c>
      <c r="G182">
        <f>IF(N182=0,0,F182/N182)</f>
        <v/>
      </c>
      <c r="L182">
        <f>IF(Y182=0,0,Z182/Y182)</f>
        <v/>
      </c>
      <c r="O182">
        <f>MAX(0,(30*Y182)-P182)</f>
        <v/>
      </c>
      <c r="X182">
        <f>MAX([@[BSR 30 Avg]],C182)</f>
        <v/>
      </c>
      <c r="Y182">
        <f>IF(C182=0,0,(C182-X182)/C182)</f>
        <v/>
      </c>
      <c r="Z182">
        <f>MAX([@[BSR 90 Avg]],C182)</f>
        <v/>
      </c>
      <c r="AA182">
        <f>IF(C182=0,0,(C182-Z182)/C182)</f>
        <v/>
      </c>
      <c r="AB182">
        <f>IF(D182=0,0,F182/D182)</f>
        <v/>
      </c>
    </row>
    <row r="183">
      <c r="F183">
        <f>D183-N183</f>
        <v/>
      </c>
      <c r="G183">
        <f>IF(N183=0,0,F183/N183)</f>
        <v/>
      </c>
      <c r="L183">
        <f>IF(Y183=0,0,Z183/Y183)</f>
        <v/>
      </c>
      <c r="O183">
        <f>MAX(0,(30*Y183)-P183)</f>
        <v/>
      </c>
      <c r="X183">
        <f>MAX([@[BSR 30 Avg]],C183)</f>
        <v/>
      </c>
      <c r="Y183">
        <f>IF(C183=0,0,(C183-X183)/C183)</f>
        <v/>
      </c>
      <c r="Z183">
        <f>MAX([@[BSR 90 Avg]],C183)</f>
        <v/>
      </c>
      <c r="AA183">
        <f>IF(C183=0,0,(C183-Z183)/C183)</f>
        <v/>
      </c>
      <c r="AB183">
        <f>IF(D183=0,0,F183/D183)</f>
        <v/>
      </c>
    </row>
    <row r="184">
      <c r="F184">
        <f>D184-N184</f>
        <v/>
      </c>
      <c r="G184">
        <f>IF(N184=0,0,F184/N184)</f>
        <v/>
      </c>
      <c r="L184">
        <f>IF(Y184=0,0,Z184/Y184)</f>
        <v/>
      </c>
      <c r="O184">
        <f>MAX(0,(30*Y184)-P184)</f>
        <v/>
      </c>
      <c r="X184">
        <f>MAX([@[BSR 30 Avg]],C184)</f>
        <v/>
      </c>
      <c r="Y184">
        <f>IF(C184=0,0,(C184-X184)/C184)</f>
        <v/>
      </c>
      <c r="Z184">
        <f>MAX([@[BSR 90 Avg]],C184)</f>
        <v/>
      </c>
      <c r="AA184">
        <f>IF(C184=0,0,(C184-Z184)/C184)</f>
        <v/>
      </c>
      <c r="AB184">
        <f>IF(D184=0,0,F184/D184)</f>
        <v/>
      </c>
    </row>
    <row r="185">
      <c r="F185">
        <f>D185-N185</f>
        <v/>
      </c>
      <c r="G185">
        <f>IF(N185=0,0,F185/N185)</f>
        <v/>
      </c>
      <c r="L185">
        <f>IF(Y185=0,0,Z185/Y185)</f>
        <v/>
      </c>
      <c r="O185">
        <f>MAX(0,(30*Y185)-P185)</f>
        <v/>
      </c>
      <c r="X185">
        <f>MAX([@[BSR 30 Avg]],C185)</f>
        <v/>
      </c>
      <c r="Y185">
        <f>IF(C185=0,0,(C185-X185)/C185)</f>
        <v/>
      </c>
      <c r="Z185">
        <f>MAX([@[BSR 90 Avg]],C185)</f>
        <v/>
      </c>
      <c r="AA185">
        <f>IF(C185=0,0,(C185-Z185)/C185)</f>
        <v/>
      </c>
      <c r="AB185">
        <f>IF(D185=0,0,F185/D185)</f>
        <v/>
      </c>
    </row>
    <row r="186">
      <c r="F186">
        <f>D186-N186</f>
        <v/>
      </c>
      <c r="G186">
        <f>IF(N186=0,0,F186/N186)</f>
        <v/>
      </c>
      <c r="L186">
        <f>IF(Y186=0,0,Z186/Y186)</f>
        <v/>
      </c>
      <c r="O186">
        <f>MAX(0,(30*Y186)-P186)</f>
        <v/>
      </c>
      <c r="X186">
        <f>MAX([@[BSR 30 Avg]],C186)</f>
        <v/>
      </c>
      <c r="Y186">
        <f>IF(C186=0,0,(C186-X186)/C186)</f>
        <v/>
      </c>
      <c r="Z186">
        <f>MAX([@[BSR 90 Avg]],C186)</f>
        <v/>
      </c>
      <c r="AA186">
        <f>IF(C186=0,0,(C186-Z186)/C186)</f>
        <v/>
      </c>
      <c r="AB186">
        <f>IF(D186=0,0,F186/D186)</f>
        <v/>
      </c>
    </row>
    <row r="187">
      <c r="F187">
        <f>D187-N187</f>
        <v/>
      </c>
      <c r="G187">
        <f>IF(N187=0,0,F187/N187)</f>
        <v/>
      </c>
      <c r="L187">
        <f>IF(Y187=0,0,Z187/Y187)</f>
        <v/>
      </c>
      <c r="O187">
        <f>MAX(0,(30*Y187)-P187)</f>
        <v/>
      </c>
      <c r="X187">
        <f>MAX([@[BSR 30 Avg]],C187)</f>
        <v/>
      </c>
      <c r="Y187">
        <f>IF(C187=0,0,(C187-X187)/C187)</f>
        <v/>
      </c>
      <c r="Z187">
        <f>MAX([@[BSR 90 Avg]],C187)</f>
        <v/>
      </c>
      <c r="AA187">
        <f>IF(C187=0,0,(C187-Z187)/C187)</f>
        <v/>
      </c>
      <c r="AB187">
        <f>IF(D187=0,0,F187/D187)</f>
        <v/>
      </c>
    </row>
    <row r="188">
      <c r="F188">
        <f>D188-N188</f>
        <v/>
      </c>
      <c r="G188">
        <f>IF(N188=0,0,F188/N188)</f>
        <v/>
      </c>
      <c r="L188">
        <f>IF(Y188=0,0,Z188/Y188)</f>
        <v/>
      </c>
      <c r="O188">
        <f>MAX(0,(30*Y188)-P188)</f>
        <v/>
      </c>
      <c r="X188">
        <f>MAX([@[BSR 30 Avg]],C188)</f>
        <v/>
      </c>
      <c r="Y188">
        <f>IF(C188=0,0,(C188-X188)/C188)</f>
        <v/>
      </c>
      <c r="Z188">
        <f>MAX([@[BSR 90 Avg]],C188)</f>
        <v/>
      </c>
      <c r="AA188">
        <f>IF(C188=0,0,(C188-Z188)/C188)</f>
        <v/>
      </c>
      <c r="AB188">
        <f>IF(D188=0,0,F188/D188)</f>
        <v/>
      </c>
    </row>
    <row r="189">
      <c r="F189">
        <f>D189-N189</f>
        <v/>
      </c>
      <c r="G189">
        <f>IF(N189=0,0,F189/N189)</f>
        <v/>
      </c>
      <c r="L189">
        <f>IF(Y189=0,0,Z189/Y189)</f>
        <v/>
      </c>
      <c r="O189">
        <f>MAX(0,(30*Y189)-P189)</f>
        <v/>
      </c>
      <c r="X189">
        <f>MAX([@[BSR 30 Avg]],C189)</f>
        <v/>
      </c>
      <c r="Y189">
        <f>IF(C189=0,0,(C189-X189)/C189)</f>
        <v/>
      </c>
      <c r="Z189">
        <f>MAX([@[BSR 90 Avg]],C189)</f>
        <v/>
      </c>
      <c r="AA189">
        <f>IF(C189=0,0,(C189-Z189)/C189)</f>
        <v/>
      </c>
      <c r="AB189">
        <f>IF(D189=0,0,F189/D189)</f>
        <v/>
      </c>
    </row>
    <row r="190">
      <c r="F190">
        <f>D190-N190</f>
        <v/>
      </c>
      <c r="G190">
        <f>IF(N190=0,0,F190/N190)</f>
        <v/>
      </c>
      <c r="L190">
        <f>IF(Y190=0,0,Z190/Y190)</f>
        <v/>
      </c>
      <c r="O190">
        <f>MAX(0,(30*Y190)-P190)</f>
        <v/>
      </c>
      <c r="X190">
        <f>MAX([@[BSR 30 Avg]],C190)</f>
        <v/>
      </c>
      <c r="Y190">
        <f>IF(C190=0,0,(C190-X190)/C190)</f>
        <v/>
      </c>
      <c r="Z190">
        <f>MAX([@[BSR 90 Avg]],C190)</f>
        <v/>
      </c>
      <c r="AA190">
        <f>IF(C190=0,0,(C190-Z190)/C190)</f>
        <v/>
      </c>
      <c r="AB190">
        <f>IF(D190=0,0,F190/D190)</f>
        <v/>
      </c>
    </row>
    <row r="191">
      <c r="F191">
        <f>D191-N191</f>
        <v/>
      </c>
      <c r="G191">
        <f>IF(N191=0,0,F191/N191)</f>
        <v/>
      </c>
      <c r="L191">
        <f>IF(Y191=0,0,Z191/Y191)</f>
        <v/>
      </c>
      <c r="O191">
        <f>MAX(0,(30*Y191)-P191)</f>
        <v/>
      </c>
      <c r="X191">
        <f>MAX([@[BSR 30 Avg]],C191)</f>
        <v/>
      </c>
      <c r="Y191">
        <f>IF(C191=0,0,(C191-X191)/C191)</f>
        <v/>
      </c>
      <c r="Z191">
        <f>MAX([@[BSR 90 Avg]],C191)</f>
        <v/>
      </c>
      <c r="AA191">
        <f>IF(C191=0,0,(C191-Z191)/C191)</f>
        <v/>
      </c>
      <c r="AB191">
        <f>IF(D191=0,0,F191/D191)</f>
        <v/>
      </c>
    </row>
    <row r="192">
      <c r="F192">
        <f>D192-N192</f>
        <v/>
      </c>
      <c r="G192">
        <f>IF(N192=0,0,F192/N192)</f>
        <v/>
      </c>
      <c r="L192">
        <f>IF(Y192=0,0,Z192/Y192)</f>
        <v/>
      </c>
      <c r="O192">
        <f>MAX(0,(30*Y192)-P192)</f>
        <v/>
      </c>
      <c r="X192">
        <f>MAX([@[BSR 30 Avg]],C192)</f>
        <v/>
      </c>
      <c r="Y192">
        <f>IF(C192=0,0,(C192-X192)/C192)</f>
        <v/>
      </c>
      <c r="Z192">
        <f>MAX([@[BSR 90 Avg]],C192)</f>
        <v/>
      </c>
      <c r="AA192">
        <f>IF(C192=0,0,(C192-Z192)/C192)</f>
        <v/>
      </c>
      <c r="AB192">
        <f>IF(D192=0,0,F192/D192)</f>
        <v/>
      </c>
    </row>
    <row r="193">
      <c r="F193">
        <f>D193-N193</f>
        <v/>
      </c>
      <c r="G193">
        <f>IF(N193=0,0,F193/N193)</f>
        <v/>
      </c>
      <c r="L193">
        <f>IF(Y193=0,0,Z193/Y193)</f>
        <v/>
      </c>
      <c r="O193">
        <f>MAX(0,(30*Y193)-P193)</f>
        <v/>
      </c>
      <c r="X193">
        <f>MAX([@[BSR 30 Avg]],C193)</f>
        <v/>
      </c>
      <c r="Y193">
        <f>IF(C193=0,0,(C193-X193)/C193)</f>
        <v/>
      </c>
      <c r="Z193">
        <f>MAX([@[BSR 90 Avg]],C193)</f>
        <v/>
      </c>
      <c r="AA193">
        <f>IF(C193=0,0,(C193-Z193)/C193)</f>
        <v/>
      </c>
      <c r="AB193">
        <f>IF(D193=0,0,F193/D193)</f>
        <v/>
      </c>
    </row>
    <row r="194">
      <c r="F194">
        <f>D194-N194</f>
        <v/>
      </c>
      <c r="G194">
        <f>IF(N194=0,0,F194/N194)</f>
        <v/>
      </c>
      <c r="L194">
        <f>IF(Y194=0,0,Z194/Y194)</f>
        <v/>
      </c>
      <c r="O194">
        <f>MAX(0,(30*Y194)-P194)</f>
        <v/>
      </c>
      <c r="X194">
        <f>MAX([@[BSR 30 Avg]],C194)</f>
        <v/>
      </c>
      <c r="Y194">
        <f>IF(C194=0,0,(C194-X194)/C194)</f>
        <v/>
      </c>
      <c r="Z194">
        <f>MAX([@[BSR 90 Avg]],C194)</f>
        <v/>
      </c>
      <c r="AA194">
        <f>IF(C194=0,0,(C194-Z194)/C194)</f>
        <v/>
      </c>
      <c r="AB194">
        <f>IF(D194=0,0,F194/D194)</f>
        <v/>
      </c>
    </row>
    <row r="195">
      <c r="F195">
        <f>D195-N195</f>
        <v/>
      </c>
      <c r="G195">
        <f>IF(N195=0,0,F195/N195)</f>
        <v/>
      </c>
      <c r="L195">
        <f>IF(Y195=0,0,Z195/Y195)</f>
        <v/>
      </c>
      <c r="O195">
        <f>MAX(0,(30*Y195)-P195)</f>
        <v/>
      </c>
      <c r="X195">
        <f>MAX([@[BSR 30 Avg]],C195)</f>
        <v/>
      </c>
      <c r="Y195">
        <f>IF(C195=0,0,(C195-X195)/C195)</f>
        <v/>
      </c>
      <c r="Z195">
        <f>MAX([@[BSR 90 Avg]],C195)</f>
        <v/>
      </c>
      <c r="AA195">
        <f>IF(C195=0,0,(C195-Z195)/C195)</f>
        <v/>
      </c>
      <c r="AB195">
        <f>IF(D195=0,0,F195/D195)</f>
        <v/>
      </c>
    </row>
    <row r="196">
      <c r="F196">
        <f>D196-N196</f>
        <v/>
      </c>
      <c r="G196">
        <f>IF(N196=0,0,F196/N196)</f>
        <v/>
      </c>
      <c r="L196">
        <f>IF(Y196=0,0,Z196/Y196)</f>
        <v/>
      </c>
      <c r="O196">
        <f>MAX(0,(30*Y196)-P196)</f>
        <v/>
      </c>
      <c r="X196">
        <f>MAX([@[BSR 30 Avg]],C196)</f>
        <v/>
      </c>
      <c r="Y196">
        <f>IF(C196=0,0,(C196-X196)/C196)</f>
        <v/>
      </c>
      <c r="Z196">
        <f>MAX([@[BSR 90 Avg]],C196)</f>
        <v/>
      </c>
      <c r="AA196">
        <f>IF(C196=0,0,(C196-Z196)/C196)</f>
        <v/>
      </c>
      <c r="AB196">
        <f>IF(D196=0,0,F196/D196)</f>
        <v/>
      </c>
    </row>
    <row r="197">
      <c r="F197">
        <f>D197-N197</f>
        <v/>
      </c>
      <c r="G197">
        <f>IF(N197=0,0,F197/N197)</f>
        <v/>
      </c>
      <c r="L197">
        <f>IF(Y197=0,0,Z197/Y197)</f>
        <v/>
      </c>
      <c r="O197">
        <f>MAX(0,(30*Y197)-P197)</f>
        <v/>
      </c>
      <c r="X197">
        <f>MAX([@[BSR 30 Avg]],C197)</f>
        <v/>
      </c>
      <c r="Y197">
        <f>IF(C197=0,0,(C197-X197)/C197)</f>
        <v/>
      </c>
      <c r="Z197">
        <f>MAX([@[BSR 90 Avg]],C197)</f>
        <v/>
      </c>
      <c r="AA197">
        <f>IF(C197=0,0,(C197-Z197)/C197)</f>
        <v/>
      </c>
      <c r="AB197">
        <f>IF(D197=0,0,F197/D197)</f>
        <v/>
      </c>
    </row>
    <row r="198">
      <c r="F198">
        <f>D198-N198</f>
        <v/>
      </c>
      <c r="G198">
        <f>IF(N198=0,0,F198/N198)</f>
        <v/>
      </c>
      <c r="L198">
        <f>IF(Y198=0,0,Z198/Y198)</f>
        <v/>
      </c>
      <c r="O198">
        <f>MAX(0,(30*Y198)-P198)</f>
        <v/>
      </c>
      <c r="X198">
        <f>MAX([@[BSR 30 Avg]],C198)</f>
        <v/>
      </c>
      <c r="Y198">
        <f>IF(C198=0,0,(C198-X198)/C198)</f>
        <v/>
      </c>
      <c r="Z198">
        <f>MAX([@[BSR 90 Avg]],C198)</f>
        <v/>
      </c>
      <c r="AA198">
        <f>IF(C198=0,0,(C198-Z198)/C198)</f>
        <v/>
      </c>
      <c r="AB198">
        <f>IF(D198=0,0,F198/D198)</f>
        <v/>
      </c>
    </row>
    <row r="199">
      <c r="F199">
        <f>D199-N199</f>
        <v/>
      </c>
      <c r="G199">
        <f>IF(N199=0,0,F199/N199)</f>
        <v/>
      </c>
      <c r="L199">
        <f>IF(Y199=0,0,Z199/Y199)</f>
        <v/>
      </c>
      <c r="O199">
        <f>MAX(0,(30*Y199)-P199)</f>
        <v/>
      </c>
      <c r="X199">
        <f>MAX([@[BSR 30 Avg]],C199)</f>
        <v/>
      </c>
      <c r="Y199">
        <f>IF(C199=0,0,(C199-X199)/C199)</f>
        <v/>
      </c>
      <c r="Z199">
        <f>MAX([@[BSR 90 Avg]],C199)</f>
        <v/>
      </c>
      <c r="AA199">
        <f>IF(C199=0,0,(C199-Z199)/C199)</f>
        <v/>
      </c>
      <c r="AB199">
        <f>IF(D199=0,0,F199/D199)</f>
        <v/>
      </c>
    </row>
    <row r="200">
      <c r="F200">
        <f>D200-N200</f>
        <v/>
      </c>
      <c r="G200">
        <f>IF(N200=0,0,F200/N200)</f>
        <v/>
      </c>
      <c r="L200">
        <f>IF(Y200=0,0,Z200/Y200)</f>
        <v/>
      </c>
      <c r="O200">
        <f>MAX(0,(30*Y200)-P200)</f>
        <v/>
      </c>
      <c r="X200">
        <f>MAX([@[BSR 30 Avg]],C200)</f>
        <v/>
      </c>
      <c r="Y200">
        <f>IF(C200=0,0,(C200-X200)/C200)</f>
        <v/>
      </c>
      <c r="Z200">
        <f>MAX([@[BSR 90 Avg]],C200)</f>
        <v/>
      </c>
      <c r="AA200">
        <f>IF(C200=0,0,(C200-Z200)/C200)</f>
        <v/>
      </c>
      <c r="AB200">
        <f>IF(D200=0,0,F200/D200)</f>
        <v/>
      </c>
    </row>
    <row r="201">
      <c r="F201">
        <f>D201-N201</f>
        <v/>
      </c>
      <c r="G201">
        <f>IF(N201=0,0,F201/N201)</f>
        <v/>
      </c>
      <c r="L201">
        <f>IF(Y201=0,0,Z201/Y201)</f>
        <v/>
      </c>
      <c r="O201">
        <f>MAX(0,(30*Y201)-P201)</f>
        <v/>
      </c>
      <c r="X201">
        <f>MAX([@[BSR 30 Avg]],C201)</f>
        <v/>
      </c>
      <c r="Y201">
        <f>IF(C201=0,0,(C201-X201)/C201)</f>
        <v/>
      </c>
      <c r="Z201">
        <f>MAX([@[BSR 90 Avg]],C201)</f>
        <v/>
      </c>
      <c r="AA201">
        <f>IF(C201=0,0,(C201-Z201)/C201)</f>
        <v/>
      </c>
      <c r="AB201">
        <f>IF(D201=0,0,F201/D201)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ASIN</t>
        </is>
      </c>
      <c r="B1" s="1" t="inlineStr">
        <is>
          <t>Product ID</t>
        </is>
      </c>
      <c r="C1" s="1" t="inlineStr">
        <is>
          <t>Title</t>
        </is>
      </c>
      <c r="D1" s="1" t="inlineStr">
        <is>
          <t>Package Quantity</t>
        </is>
      </c>
      <c r="E1" s="1" t="inlineStr">
        <is>
          <t>Brand</t>
        </is>
      </c>
      <c r="F1" s="1" t="inlineStr">
        <is>
          <t>Product Group</t>
        </is>
      </c>
      <c r="G1" s="1" t="inlineStr">
        <is>
          <t>Total Offers</t>
        </is>
      </c>
      <c r="H1" s="1" t="inlineStr">
        <is>
          <t>Sales Rank</t>
        </is>
      </c>
      <c r="I1" s="1" t="inlineStr">
        <is>
          <t>Estimated Number of Sales</t>
        </is>
      </c>
      <c r="J1" s="1" t="inlineStr">
        <is>
          <t>Profit</t>
        </is>
      </c>
      <c r="K1" s="1" t="inlineStr">
        <is>
          <t>Margin</t>
        </is>
      </c>
      <c r="L1" s="1" t="inlineStr">
        <is>
          <t>ROI</t>
        </is>
      </c>
      <c r="M1" s="1" t="inlineStr">
        <is>
          <t>Purchase Price</t>
        </is>
      </c>
      <c r="N1" s="1" t="inlineStr">
        <is>
          <t>Sell Price</t>
        </is>
      </c>
      <c r="O1" s="1" t="inlineStr">
        <is>
          <t>Buy Box Landed</t>
        </is>
      </c>
      <c r="P1" s="1" t="inlineStr">
        <is>
          <t>Seller Proceeds</t>
        </is>
      </c>
      <c r="Q1" s="1" t="inlineStr">
        <is>
          <t>Low New Fba Price</t>
        </is>
      </c>
      <c r="R1" s="1" t="inlineStr">
        <is>
          <t>Low New Mfn Price</t>
        </is>
      </c>
      <c r="S1" s="1" t="inlineStr">
        <is>
          <t>Referral Fee</t>
        </is>
      </c>
      <c r="T1" s="1" t="inlineStr">
        <is>
          <t>Variable Closing Fee</t>
        </is>
      </c>
      <c r="U1" s="1" t="inlineStr">
        <is>
          <t>Fulfillment Subtotal</t>
        </is>
      </c>
      <c r="V1" s="1" t="inlineStr">
        <is>
          <t>Cost Sub Total</t>
        </is>
      </c>
      <c r="W1" s="1" t="inlineStr">
        <is>
          <t>VAT %</t>
        </is>
      </c>
      <c r="X1" s="1" t="inlineStr">
        <is>
          <t>VAT $</t>
        </is>
      </c>
      <c r="Y1" s="1" t="inlineStr">
        <is>
          <t>Inbound Shipping Estimate</t>
        </is>
      </c>
      <c r="Z1" s="1" t="inlineStr">
        <is>
          <t>Package Weight</t>
        </is>
      </c>
      <c r="AA1" s="1" t="inlineStr">
        <is>
          <t>Package Height</t>
        </is>
      </c>
      <c r="AB1" s="1" t="inlineStr">
        <is>
          <t>Package Length</t>
        </is>
      </c>
      <c r="AC1" s="1" t="inlineStr">
        <is>
          <t>Package Width</t>
        </is>
      </c>
      <c r="AD1" s="1" t="inlineStr">
        <is>
          <t>New FBA Num Offers</t>
        </is>
      </c>
      <c r="AE1" s="1" t="inlineStr">
        <is>
          <t>New MFN Num Offers</t>
        </is>
      </c>
      <c r="AF1" s="1" t="inlineStr">
        <is>
          <t>Keepa</t>
        </is>
      </c>
      <c r="AG1" s="1" t="inlineStr">
        <is>
          <t>CamelCC</t>
        </is>
      </c>
      <c r="AH1" s="1" t="inlineStr">
        <is>
          <t>Size</t>
        </is>
      </c>
      <c r="AI1" s="1" t="inlineStr">
        <is>
          <t>Last Run</t>
        </is>
      </c>
      <c r="AJ1" s="1" t="inlineStr">
        <is>
          <t>Item Number</t>
        </is>
      </c>
      <c r="AK1" s="1" t="inlineStr">
        <is>
          <t>PRODUCT</t>
        </is>
      </c>
      <c r="AL1" s="1" t="inlineStr">
        <is>
          <t>SKU #</t>
        </is>
      </c>
      <c r="AM1" s="1" t="inlineStr">
        <is>
          <t>Size(1)</t>
        </is>
      </c>
      <c r="AN1" s="1" t="inlineStr">
        <is>
          <t>Case Pk</t>
        </is>
      </c>
      <c r="AO1" s="1" t="inlineStr">
        <is>
          <t>Salon price / each</t>
        </is>
      </c>
      <c r="AP1" s="1" t="inlineStr">
        <is>
          <t>Salon price / case</t>
        </is>
      </c>
      <c r="AQ1" s="1" t="inlineStr">
        <is>
          <t>QTY</t>
        </is>
      </c>
      <c r="AR1" s="1" t="inlineStr">
        <is>
          <t>YOUR TOTAL COST</t>
        </is>
      </c>
      <c r="AS1" s="1" t="inlineStr">
        <is>
          <t>CASE COUNT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 Code</t>
        </is>
      </c>
      <c r="B1" s="1" t="inlineStr">
        <is>
          <t>Description</t>
        </is>
      </c>
      <c r="C1" s="1" t="inlineStr">
        <is>
          <t>Unit Cost</t>
        </is>
      </c>
      <c r="D1" s="1" t="inlineStr">
        <is>
          <t>Order Qty</t>
        </is>
      </c>
      <c r="E1" s="1" t="inlineStr">
        <is>
          <t>Total Amount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ASIN</t>
        </is>
      </c>
      <c r="B1" s="1" t="inlineStr">
        <is>
          <t>Baseline</t>
        </is>
      </c>
      <c r="C1" s="1" t="inlineStr">
        <is>
          <t>BB Avg</t>
        </is>
      </c>
      <c r="D1" s="1" t="inlineStr">
        <is>
          <t>AMZ Avg</t>
        </is>
      </c>
      <c r="E1" s="1" t="inlineStr">
        <is>
          <t>wtd avg</t>
        </is>
      </c>
      <c r="F1" s="1" t="inlineStr">
        <is>
          <t>Variations</t>
        </is>
      </c>
      <c r="G1" s="1" t="inlineStr">
        <is>
          <t>Review Wt</t>
        </is>
      </c>
      <c r="H1" s="1" t="inlineStr">
        <is>
          <t>Confidence</t>
        </is>
      </c>
      <c r="I1" s="1" t="inlineStr">
        <is>
          <t>ASIN_SRC</t>
        </is>
      </c>
      <c r="J1" s="1" t="inlineStr">
        <is>
          <t>Title</t>
        </is>
      </c>
      <c r="K1" s="1" t="inlineStr">
        <is>
          <t>Buy Box: Current</t>
        </is>
      </c>
      <c r="L1" s="1" t="inlineStr">
        <is>
          <t>Buy Box: 30 days avg.</t>
        </is>
      </c>
      <c r="M1" s="1" t="inlineStr">
        <is>
          <t>Buy Box: 30 days drop %</t>
        </is>
      </c>
      <c r="N1" s="1" t="inlineStr">
        <is>
          <t>Buy Box: 90 days avg.</t>
        </is>
      </c>
      <c r="O1" s="1" t="inlineStr">
        <is>
          <t>Buy Box: 90 days drop %</t>
        </is>
      </c>
      <c r="P1" s="1" t="inlineStr">
        <is>
          <t>Buy Box: 180 days avg.</t>
        </is>
      </c>
      <c r="Q1" s="1" t="inlineStr">
        <is>
          <t>Buy Box Seller</t>
        </is>
      </c>
      <c r="R1" s="1" t="inlineStr">
        <is>
          <t>Amazon: Current</t>
        </is>
      </c>
      <c r="S1" s="1" t="inlineStr">
        <is>
          <t>Amazon: 30 days avg.</t>
        </is>
      </c>
      <c r="T1" s="1" t="inlineStr">
        <is>
          <t>Amazon: 30 days drop %</t>
        </is>
      </c>
      <c r="U1" s="1" t="inlineStr">
        <is>
          <t>Amazon: 90 days avg.</t>
        </is>
      </c>
      <c r="V1" s="1" t="inlineStr">
        <is>
          <t>Amazon: 90 days drop %</t>
        </is>
      </c>
      <c r="W1" s="1" t="inlineStr">
        <is>
          <t>Amazon: 180 days avg.</t>
        </is>
      </c>
      <c r="X1" s="1" t="inlineStr">
        <is>
          <t>Amazon out of stock percentage: 90 days OOS %</t>
        </is>
      </c>
      <c r="Y1" s="1" t="inlineStr">
        <is>
          <t>Sales Rank: Current</t>
        </is>
      </c>
      <c r="Z1" s="1" t="inlineStr">
        <is>
          <t>Sales Rank: 30 days avg.</t>
        </is>
      </c>
      <c r="AA1" s="1" t="inlineStr">
        <is>
          <t>Sales Rank: 30 days drop %</t>
        </is>
      </c>
      <c r="AB1" s="1" t="inlineStr">
        <is>
          <t>Sales Rank: 90 days avg.</t>
        </is>
      </c>
      <c r="AC1" s="1" t="inlineStr">
        <is>
          <t>Sales Rank: 90 days drop %</t>
        </is>
      </c>
      <c r="AD1" s="1" t="inlineStr">
        <is>
          <t>Sales Rank: 180 days avg.</t>
        </is>
      </c>
      <c r="AE1" s="1" t="inlineStr">
        <is>
          <t>Count of retrieved live offers: New, FBA</t>
        </is>
      </c>
      <c r="AF1" s="1" t="inlineStr">
        <is>
          <t>Count of retrieved live offers: New, FBM</t>
        </is>
      </c>
      <c r="AG1" s="1" t="inlineStr">
        <is>
          <t>New Offer Count: Current</t>
        </is>
      </c>
      <c r="AH1" s="1" t="inlineStr">
        <is>
          <t>New Offer Count: 90 days avg.</t>
        </is>
      </c>
      <c r="AI1" s="1" t="inlineStr">
        <is>
          <t>New, 3rd Party FBA: 30 days avg.</t>
        </is>
      </c>
      <c r="AJ1" s="1" t="inlineStr">
        <is>
          <t>New, 3rd Party FBA: 90 days avg.</t>
        </is>
      </c>
      <c r="AK1" s="1" t="inlineStr">
        <is>
          <t>New, 3rd Party FBA: 180 days avg.</t>
        </is>
      </c>
      <c r="AL1" s="1" t="inlineStr">
        <is>
          <t>Variation ASINs</t>
        </is>
      </c>
      <c r="AM1" s="1" t="inlineStr">
        <is>
          <t>Parent ASIN</t>
        </is>
      </c>
      <c r="AN1" s="1" t="inlineStr">
        <is>
          <t>Reviews: Reviews - Format Specific</t>
        </is>
      </c>
      <c r="AO1" s="1" t="inlineStr">
        <is>
          <t>Variation Attributes</t>
        </is>
      </c>
      <c r="AP1" s="1" t="inlineStr">
        <is>
          <t>Reviews: Review Count</t>
        </is>
      </c>
      <c r="AQ1" s="1" t="inlineStr">
        <is>
          <t>Model</t>
        </is>
      </c>
      <c r="AR1" s="1" t="inlineStr">
        <is>
          <t>Number of Items</t>
        </is>
      </c>
      <c r="AS1" s="1" t="inlineStr">
        <is>
          <t>Categories: Root</t>
        </is>
      </c>
      <c r="AT1" s="1" t="inlineStr">
        <is>
          <t>FBA Fees: Referral Fee %</t>
        </is>
      </c>
      <c r="AU1" s="1" t="inlineStr">
        <is>
          <t>Buy Box out of stock percentage: 90 days OOS 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</t>
        </is>
      </c>
      <c r="B1" s="1" t="inlineStr">
        <is>
          <t>Name</t>
        </is>
      </c>
      <c r="C1" s="1" t="inlineStr">
        <is>
          <t>SKU</t>
        </is>
      </c>
      <c r="D1" s="1" t="inlineStr">
        <is>
          <t>Barcode</t>
        </is>
      </c>
      <c r="E1" s="1" t="inlineStr">
        <is>
          <t>Cost Price</t>
        </is>
      </c>
      <c r="F1" s="1" t="inlineStr">
        <is>
          <t>Price</t>
        </is>
      </c>
      <c r="G1" s="1" t="inlineStr">
        <is>
          <t>Replenishment</t>
        </is>
      </c>
      <c r="H1" s="1" t="inlineStr">
        <is>
          <t>To Order</t>
        </is>
      </c>
      <c r="I1" s="1" t="inlineStr">
        <is>
          <t>Stock</t>
        </is>
      </c>
      <c r="J1" s="1" t="inlineStr">
        <is>
          <t>On Order</t>
        </is>
      </c>
      <c r="K1" s="1" t="inlineStr">
        <is>
          <t>Sales</t>
        </is>
      </c>
      <c r="L1" s="1" t="inlineStr">
        <is>
          <t>Adjusted Sales Velocity/mo</t>
        </is>
      </c>
      <c r="M1" s="1" t="inlineStr">
        <is>
          <t>Lead Time</t>
        </is>
      </c>
      <c r="N1" s="1" t="inlineStr">
        <is>
          <t>Days of Stock</t>
        </is>
      </c>
      <c r="O1" s="1" t="inlineStr">
        <is>
          <t>Vendors</t>
        </is>
      </c>
      <c r="P1" s="1" t="inlineStr">
        <is>
          <t>Brand</t>
        </is>
      </c>
      <c r="Q1" s="1" t="inlineStr">
        <is>
          <t>AVG Retail Price</t>
        </is>
      </c>
      <c r="R1" s="1" t="inlineStr">
        <is>
          <t>Replenishable</t>
        </is>
      </c>
      <c r="S1" s="1" t="inlineStr">
        <is>
          <t>In Buy Sheet?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2026-01-05T14:21:10Z</dcterms:created>
  <dcterms:modified xsi:type="dcterms:W3CDTF">2026-01-05T14:21:11Z</dcterms:modified>
</cp:coreProperties>
</file>